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_Me" sheetId="1" state="visible" r:id="rId1"/>
    <sheet xmlns:r="http://schemas.openxmlformats.org/officeDocument/2006/relationships" name="Profile_Routing" sheetId="2" state="visible" r:id="rId2"/>
    <sheet xmlns:r="http://schemas.openxmlformats.org/officeDocument/2006/relationships" name="Candidate_Register" sheetId="3" state="visible" r:id="rId3"/>
    <sheet xmlns:r="http://schemas.openxmlformats.org/officeDocument/2006/relationships" name="Stage_A" sheetId="4" state="visible" r:id="rId4"/>
    <sheet xmlns:r="http://schemas.openxmlformats.org/officeDocument/2006/relationships" name="Verdict_Vector" sheetId="5" state="visible" r:id="rId5"/>
    <sheet xmlns:r="http://schemas.openxmlformats.org/officeDocument/2006/relationships" name="Independence" sheetId="6" state="visible" r:id="rId6"/>
    <sheet xmlns:r="http://schemas.openxmlformats.org/officeDocument/2006/relationships" name="Burden_Log" sheetId="7" state="visible" r:id="rId7"/>
    <sheet xmlns:r="http://schemas.openxmlformats.org/officeDocument/2006/relationships" name="Decision_Value" sheetId="8" state="visible" r:id="rId8"/>
    <sheet xmlns:r="http://schemas.openxmlformats.org/officeDocument/2006/relationships" name="Reliability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Scenario_Register" sheetId="11" state="visible" r:id="rId11"/>
    <sheet xmlns:r="http://schemas.openxmlformats.org/officeDocument/2006/relationships" name="Rating_Deposits" sheetId="12" state="visible" r:id="rId12"/>
    <sheet xmlns:r="http://schemas.openxmlformats.org/officeDocument/2006/relationships" name="Codebook" sheetId="13" state="visible" r:id="rId13"/>
    <sheet xmlns:r="http://schemas.openxmlformats.org/officeDocument/2006/relationships" name="Reliability_Results" sheetId="14" state="visible" r:id="rId14"/>
    <sheet xmlns:r="http://schemas.openxmlformats.org/officeDocument/2006/relationships" name="Study_Readiness" sheetId="15" state="visible" r:id="rId15"/>
    <sheet xmlns:r="http://schemas.openxmlformats.org/officeDocument/2006/relationships" name="Perturbation_Register" sheetId="16" state="visible" r:id="rId16"/>
    <sheet xmlns:r="http://schemas.openxmlformats.org/officeDocument/2006/relationships" name="Vocabulary" sheetId="17" state="visible" r:id="rId17"/>
    <sheet xmlns:r="http://schemas.openxmlformats.org/officeDocument/2006/relationships" name="v6.2 Controls" sheetId="18" state="visible" r:id="rId18"/>
    <sheet xmlns:r="http://schemas.openxmlformats.org/officeDocument/2006/relationships" name="v6.2 Test Vectors" sheetId="19" state="visible" r:id="rId19"/>
  </sheets>
  <definedNames>
    <definedName name="_xlnm._FilterDatabase" localSheetId="17" hidden="1">'v6.2 Controls'!$A$4:$H$204</definedName>
    <definedName name="_xlnm._FilterDatabase" localSheetId="18" hidden="1">'v6.2 Test Vectors'!$A$3:$H$11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&quot;T&quot;hh:mm:ss&quot;Z&quot;"/>
  </numFmts>
  <fonts count="1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9"/>
    </font>
    <font>
      <name val="Carlito"/>
      <b val="1"/>
      <color rgb="FF17365D"/>
      <sz val="11"/>
    </font>
    <font>
      <name val="Carlito"/>
      <sz val="9"/>
    </font>
    <font>
      <name val="Carlito"/>
      <i val="1"/>
      <color rgb="FF666666"/>
      <sz val="11"/>
    </font>
    <font>
      <name val="Carlito"/>
      <b val="1"/>
      <color rgb="FF17365D"/>
      <sz val="9"/>
    </font>
    <font>
      <name val="Carlito"/>
      <b val="1"/>
      <i val="1"/>
      <color rgb="FFFFFFFF"/>
      <sz val="9"/>
    </font>
    <font>
      <name val="Carlito"/>
      <i val="1"/>
      <color rgb="FF17365D"/>
      <sz val="11"/>
    </font>
    <font>
      <name val="Carlito"/>
      <b val="1"/>
      <i val="1"/>
      <color rgb="FF17365D"/>
      <sz val="9"/>
    </font>
    <font>
      <name val="Carlito"/>
      <b val="1"/>
      <i val="1"/>
      <color rgb="FF17365D"/>
      <sz val="11"/>
    </font>
    <font>
      <b val="1"/>
      <color rgb="00FFFFFF"/>
      <sz val="15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50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48"/>
  </cellStyleXfs>
  <cellXfs count="5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2" fillId="3" borderId="2" applyAlignment="1" pivotButton="0" quotePrefix="0" xfId="0">
      <alignment horizontal="center" vertical="top" wrapText="1"/>
    </xf>
    <xf numFmtId="0" fontId="2" fillId="3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8" applyAlignment="1" pivotButton="0" quotePrefix="0" xfId="0">
      <alignment horizontal="center" vertical="top" wrapText="1"/>
    </xf>
    <xf numFmtId="0" fontId="2" fillId="3" borderId="9" applyAlignment="1" pivotButton="0" quotePrefix="0" xfId="0">
      <alignment horizontal="center"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2" fillId="3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5" pivotButton="0" quotePrefix="0" xfId="0"/>
    <xf numFmtId="0" fontId="2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5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2" fillId="3" borderId="14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2" fillId="3" borderId="16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5" borderId="4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0" fontId="0" fillId="5" borderId="15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5" borderId="6" applyAlignment="1" pivotButton="0" quotePrefix="0" xfId="0">
      <alignment vertical="top" wrapText="1"/>
    </xf>
    <xf numFmtId="0" fontId="4" fillId="5" borderId="15" applyAlignment="1" pivotButton="0" quotePrefix="0" xfId="0">
      <alignment vertical="top" wrapText="1"/>
    </xf>
    <xf numFmtId="0" fontId="0" fillId="5" borderId="1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2" applyAlignment="1" pivotButton="0" quotePrefix="0" xfId="0">
      <alignment vertical="top" wrapText="1"/>
    </xf>
    <xf numFmtId="0" fontId="0" fillId="5" borderId="17" applyAlignment="1" pivotButton="0" quotePrefix="0" xfId="0">
      <alignment vertical="top" wrapText="1"/>
    </xf>
    <xf numFmtId="0" fontId="4" fillId="5" borderId="1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2" applyAlignment="1" pivotButton="0" quotePrefix="0" xfId="0">
      <alignment vertical="top" wrapText="1"/>
    </xf>
    <xf numFmtId="0" fontId="4" fillId="5" borderId="17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5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6" borderId="15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7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7" applyAlignment="1" pivotButton="0" quotePrefix="0" xfId="0">
      <alignment vertical="top" wrapText="1"/>
    </xf>
    <xf numFmtId="0" fontId="0" fillId="5" borderId="5" applyAlignment="1" pivotButton="0" quotePrefix="0" xfId="0">
      <alignment vertical="top" wrapText="1"/>
    </xf>
    <xf numFmtId="0" fontId="0" fillId="5" borderId="7" applyAlignment="1" pivotButton="0" quotePrefix="0" xfId="0">
      <alignment vertical="top" wrapText="1"/>
    </xf>
    <xf numFmtId="0" fontId="4" fillId="5" borderId="5" applyAlignment="1" pivotButton="0" quotePrefix="0" xfId="0">
      <alignment vertical="top" wrapText="1"/>
    </xf>
    <xf numFmtId="0" fontId="4" fillId="5" borderId="7" applyAlignment="1" pivotButton="0" quotePrefix="0" xfId="0">
      <alignment vertical="top" wrapText="1"/>
    </xf>
    <xf numFmtId="0" fontId="0" fillId="5" borderId="11" applyAlignment="1" pivotButton="0" quotePrefix="0" xfId="0">
      <alignment vertical="top" wrapText="1"/>
    </xf>
    <xf numFmtId="0" fontId="0" fillId="5" borderId="13" applyAlignment="1" pivotButton="0" quotePrefix="0" xfId="0">
      <alignment vertical="top" wrapText="1"/>
    </xf>
    <xf numFmtId="0" fontId="4" fillId="5" borderId="11" applyAlignment="1" pivotButton="0" quotePrefix="0" xfId="0">
      <alignment vertical="top" wrapText="1"/>
    </xf>
    <xf numFmtId="0" fontId="4" fillId="5" borderId="13" applyAlignment="1" pivotButton="0" quotePrefix="0" xfId="0">
      <alignment vertical="top" wrapText="1"/>
    </xf>
    <xf numFmtId="0" fontId="0" fillId="6" borderId="5" applyAlignment="1" pivotButton="0" quotePrefix="0" xfId="0">
      <alignment vertical="top" wrapText="1"/>
    </xf>
    <xf numFmtId="0" fontId="0" fillId="6" borderId="7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6" borderId="7" applyAlignment="1" pivotButton="0" quotePrefix="0" xfId="0">
      <alignment vertical="top" wrapText="1"/>
    </xf>
    <xf numFmtId="0" fontId="0" fillId="6" borderId="11" applyAlignment="1" pivotButton="0" quotePrefix="0" xfId="0">
      <alignment vertical="top" wrapText="1"/>
    </xf>
    <xf numFmtId="0" fontId="0" fillId="6" borderId="13" applyAlignment="1" pivotButton="0" quotePrefix="0" xfId="0">
      <alignment vertical="top" wrapText="1"/>
    </xf>
    <xf numFmtId="0" fontId="4" fillId="6" borderId="11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14" pivotButton="0" quotePrefix="0" xfId="0"/>
    <xf numFmtId="0" fontId="0" fillId="3" borderId="3" pivotButton="0" quotePrefix="0" xfId="0"/>
    <xf numFmtId="0" fontId="2" fillId="3" borderId="2" pivotButton="0" quotePrefix="0" xfId="0"/>
    <xf numFmtId="0" fontId="2" fillId="3" borderId="14" pivotButton="0" quotePrefix="0" xfId="0"/>
    <xf numFmtId="0" fontId="2" fillId="3" borderId="3" pivotButton="0" quotePrefix="0" xfId="0"/>
    <xf numFmtId="0" fontId="2" fillId="3" borderId="2" applyAlignment="1" pivotButton="0" quotePrefix="0" xfId="0">
      <alignment wrapText="1"/>
    </xf>
    <xf numFmtId="0" fontId="2" fillId="3" borderId="14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2" applyAlignment="1" pivotButton="0" quotePrefix="0" xfId="0">
      <alignment horizontal="center" wrapText="1"/>
    </xf>
    <xf numFmtId="0" fontId="2" fillId="3" borderId="14" applyAlignment="1" pivotButton="0" quotePrefix="0" xfId="0">
      <alignment horizontal="center" wrapText="1"/>
    </xf>
    <xf numFmtId="0" fontId="2" fillId="3" borderId="3" applyAlignment="1" pivotButton="0" quotePrefix="0" xfId="0">
      <alignment horizontal="center" wrapText="1"/>
    </xf>
    <xf numFmtId="0" fontId="0" fillId="3" borderId="8" pivotButton="0" quotePrefix="0" xfId="0"/>
    <xf numFmtId="0" fontId="0" fillId="3" borderId="16" pivotButton="0" quotePrefix="0" xfId="0"/>
    <xf numFmtId="0" fontId="0" fillId="3" borderId="9" pivotButton="0" quotePrefix="0" xfId="0"/>
    <xf numFmtId="0" fontId="2" fillId="3" borderId="8" pivotButton="0" quotePrefix="0" xfId="0"/>
    <xf numFmtId="0" fontId="2" fillId="3" borderId="16" pivotButton="0" quotePrefix="0" xfId="0"/>
    <xf numFmtId="0" fontId="2" fillId="3" borderId="9" pivotButton="0" quotePrefix="0" xfId="0"/>
    <xf numFmtId="0" fontId="2" fillId="3" borderId="8" applyAlignment="1" pivotButton="0" quotePrefix="0" xfId="0">
      <alignment wrapText="1"/>
    </xf>
    <xf numFmtId="0" fontId="2" fillId="3" borderId="16" applyAlignment="1" pivotButton="0" quotePrefix="0" xfId="0">
      <alignment wrapText="1"/>
    </xf>
    <xf numFmtId="0" fontId="2" fillId="3" borderId="9" applyAlignment="1" pivotButton="0" quotePrefix="0" xfId="0">
      <alignment wrapText="1"/>
    </xf>
    <xf numFmtId="0" fontId="2" fillId="3" borderId="8" applyAlignment="1" pivotButton="0" quotePrefix="0" xfId="0">
      <alignment horizontal="center" wrapText="1"/>
    </xf>
    <xf numFmtId="0" fontId="2" fillId="3" borderId="16" applyAlignment="1" pivotButton="0" quotePrefix="0" xfId="0">
      <alignment horizontal="center" wrapText="1"/>
    </xf>
    <xf numFmtId="0" fontId="2" fillId="3" borderId="9" applyAlignment="1" pivotButton="0" quotePrefix="0" xfId="0">
      <alignment horizontal="center" wrapText="1"/>
    </xf>
    <xf numFmtId="0" fontId="0" fillId="4" borderId="4" pivotButton="0" quotePrefix="0" xfId="0"/>
    <xf numFmtId="0" fontId="0" fillId="4" borderId="6" pivotButton="0" quotePrefix="0" xfId="0"/>
    <xf numFmtId="0" fontId="3" fillId="4" borderId="4" pivotButton="0" quotePrefix="0" xfId="0"/>
    <xf numFmtId="0" fontId="3" fillId="4" borderId="6" pivotButton="0" quotePrefix="0" xfId="0"/>
    <xf numFmtId="0" fontId="3" fillId="4" borderId="4" applyAlignment="1" pivotButton="0" quotePrefix="0" xfId="0">
      <alignment vertical="center"/>
    </xf>
    <xf numFmtId="0" fontId="3" fillId="4" borderId="6" applyAlignment="1" pivotButton="0" quotePrefix="0" xfId="0">
      <alignment vertical="center"/>
    </xf>
    <xf numFmtId="0" fontId="0" fillId="4" borderId="10" pivotButton="0" quotePrefix="0" xfId="0"/>
    <xf numFmtId="0" fontId="0" fillId="4" borderId="12" pivotButton="0" quotePrefix="0" xfId="0"/>
    <xf numFmtId="0" fontId="3" fillId="4" borderId="10" pivotButton="0" quotePrefix="0" xfId="0"/>
    <xf numFmtId="0" fontId="3" fillId="4" borderId="12" pivotButton="0" quotePrefix="0" xfId="0"/>
    <xf numFmtId="0" fontId="3" fillId="4" borderId="10" applyAlignment="1" pivotButton="0" quotePrefix="0" xfId="0">
      <alignment vertical="center"/>
    </xf>
    <xf numFmtId="0" fontId="3" fillId="4" borderId="12" applyAlignment="1" pivotButton="0" quotePrefix="0" xfId="0">
      <alignment vertical="center"/>
    </xf>
    <xf numFmtId="0" fontId="0" fillId="6" borderId="0" pivotButton="0" quotePrefix="0" xfId="0"/>
    <xf numFmtId="0" fontId="0" fillId="6" borderId="15" pivotButton="0" quotePrefix="0" xfId="0"/>
    <xf numFmtId="0" fontId="4" fillId="6" borderId="0" pivotButton="0" quotePrefix="0" xfId="0"/>
    <xf numFmtId="0" fontId="4" fillId="6" borderId="15" pivotButton="0" quotePrefix="0" xfId="0"/>
    <xf numFmtId="0" fontId="4" fillId="6" borderId="0" applyAlignment="1" pivotButton="0" quotePrefix="0" xfId="0">
      <alignment wrapText="1"/>
    </xf>
    <xf numFmtId="0" fontId="4" fillId="6" borderId="15" applyAlignment="1" pivotButton="0" quotePrefix="0" xfId="0">
      <alignment wrapText="1"/>
    </xf>
    <xf numFmtId="0" fontId="0" fillId="6" borderId="1" pivotButton="0" quotePrefix="0" xfId="0"/>
    <xf numFmtId="0" fontId="0" fillId="6" borderId="17" pivotButton="0" quotePrefix="0" xfId="0"/>
    <xf numFmtId="0" fontId="4" fillId="6" borderId="1" pivotButton="0" quotePrefix="0" xfId="0"/>
    <xf numFmtId="0" fontId="4" fillId="6" borderId="17" pivotButton="0" quotePrefix="0" xfId="0"/>
    <xf numFmtId="0" fontId="4" fillId="6" borderId="1" applyAlignment="1" pivotButton="0" quotePrefix="0" xfId="0">
      <alignment wrapText="1"/>
    </xf>
    <xf numFmtId="0" fontId="4" fillId="6" borderId="17" applyAlignment="1" pivotButton="0" quotePrefix="0" xfId="0">
      <alignment wrapText="1"/>
    </xf>
    <xf numFmtId="0" fontId="0" fillId="6" borderId="5" pivotButton="0" quotePrefix="0" xfId="0"/>
    <xf numFmtId="0" fontId="0" fillId="6" borderId="7" pivotButton="0" quotePrefix="0" xfId="0"/>
    <xf numFmtId="0" fontId="4" fillId="6" borderId="5" pivotButton="0" quotePrefix="0" xfId="0"/>
    <xf numFmtId="0" fontId="4" fillId="6" borderId="7" pivotButton="0" quotePrefix="0" xfId="0"/>
    <xf numFmtId="0" fontId="4" fillId="6" borderId="5" applyAlignment="1" pivotButton="0" quotePrefix="0" xfId="0">
      <alignment wrapText="1"/>
    </xf>
    <xf numFmtId="0" fontId="4" fillId="6" borderId="7" applyAlignment="1" pivotButton="0" quotePrefix="0" xfId="0">
      <alignment wrapText="1"/>
    </xf>
    <xf numFmtId="0" fontId="0" fillId="6" borderId="11" pivotButton="0" quotePrefix="0" xfId="0"/>
    <xf numFmtId="0" fontId="0" fillId="6" borderId="13" pivotButton="0" quotePrefix="0" xfId="0"/>
    <xf numFmtId="0" fontId="4" fillId="6" borderId="11" pivotButton="0" quotePrefix="0" xfId="0"/>
    <xf numFmtId="0" fontId="4" fillId="6" borderId="13" pivotButton="0" quotePrefix="0" xfId="0"/>
    <xf numFmtId="0" fontId="4" fillId="6" borderId="11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0" fillId="6" borderId="4" pivotButton="0" quotePrefix="0" xfId="0"/>
    <xf numFmtId="0" fontId="0" fillId="6" borderId="6" pivotButton="0" quotePrefix="0" xfId="0"/>
    <xf numFmtId="0" fontId="4" fillId="6" borderId="4" pivotButton="0" quotePrefix="0" xfId="0"/>
    <xf numFmtId="0" fontId="4" fillId="6" borderId="6" pivotButton="0" quotePrefix="0" xfId="0"/>
    <xf numFmtId="0" fontId="4" fillId="6" borderId="4" applyAlignment="1" pivotButton="0" quotePrefix="0" xfId="0">
      <alignment wrapText="1"/>
    </xf>
    <xf numFmtId="0" fontId="4" fillId="6" borderId="6" applyAlignment="1" pivotButton="0" quotePrefix="0" xfId="0">
      <alignment wrapText="1"/>
    </xf>
    <xf numFmtId="0" fontId="4" fillId="6" borderId="4" applyAlignment="1" pivotButton="0" quotePrefix="0" xfId="0">
      <alignment vertical="top" wrapText="1"/>
    </xf>
    <xf numFmtId="0" fontId="4" fillId="6" borderId="6" applyAlignment="1" pivotButton="0" quotePrefix="0" xfId="0">
      <alignment vertical="top" wrapText="1"/>
    </xf>
    <xf numFmtId="0" fontId="0" fillId="6" borderId="10" pivotButton="0" quotePrefix="0" xfId="0"/>
    <xf numFmtId="0" fontId="0" fillId="6" borderId="12" pivotButton="0" quotePrefix="0" xfId="0"/>
    <xf numFmtId="0" fontId="4" fillId="6" borderId="10" pivotButton="0" quotePrefix="0" xfId="0"/>
    <xf numFmtId="0" fontId="4" fillId="6" borderId="12" pivotButton="0" quotePrefix="0" xfId="0"/>
    <xf numFmtId="0" fontId="4" fillId="6" borderId="10" applyAlignment="1" pivotButton="0" quotePrefix="0" xfId="0">
      <alignment wrapText="1"/>
    </xf>
    <xf numFmtId="0" fontId="4" fillId="6" borderId="12" applyAlignment="1" pivotButton="0" quotePrefix="0" xfId="0">
      <alignment wrapText="1"/>
    </xf>
    <xf numFmtId="0" fontId="4" fillId="6" borderId="10" applyAlignment="1" pivotButton="0" quotePrefix="0" xfId="0">
      <alignment vertical="top" wrapText="1"/>
    </xf>
    <xf numFmtId="0" fontId="4" fillId="6" borderId="12" applyAlignment="1" pivotButton="0" quotePrefix="0" xfId="0">
      <alignment vertical="top" wrapText="1"/>
    </xf>
    <xf numFmtId="2" fontId="4" fillId="6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8" borderId="18" pivotButton="0" quotePrefix="0" xfId="0"/>
    <xf numFmtId="0" fontId="0" fillId="8" borderId="19" pivotButton="0" quotePrefix="0" xfId="0"/>
    <xf numFmtId="0" fontId="0" fillId="8" borderId="20" pivotButton="0" quotePrefix="0" xfId="0"/>
    <xf numFmtId="0" fontId="2" fillId="8" borderId="18" pivotButton="0" quotePrefix="0" xfId="0"/>
    <xf numFmtId="0" fontId="2" fillId="8" borderId="19" pivotButton="0" quotePrefix="0" xfId="0"/>
    <xf numFmtId="0" fontId="2" fillId="8" borderId="20" pivotButton="0" quotePrefix="0" xfId="0"/>
    <xf numFmtId="0" fontId="2" fillId="8" borderId="18" applyAlignment="1" pivotButton="0" quotePrefix="0" xfId="0">
      <alignment wrapText="1"/>
    </xf>
    <xf numFmtId="0" fontId="2" fillId="8" borderId="19" applyAlignment="1" pivotButton="0" quotePrefix="0" xfId="0">
      <alignment wrapText="1"/>
    </xf>
    <xf numFmtId="0" fontId="2" fillId="8" borderId="20" applyAlignment="1" pivotButton="0" quotePrefix="0" xfId="0">
      <alignment wrapText="1"/>
    </xf>
    <xf numFmtId="0" fontId="2" fillId="8" borderId="18" applyAlignment="1" pivotButton="0" quotePrefix="0" xfId="0">
      <alignment horizontal="center" wrapText="1"/>
    </xf>
    <xf numFmtId="0" fontId="2" fillId="8" borderId="19" applyAlignment="1" pivotButton="0" quotePrefix="0" xfId="0">
      <alignment horizontal="center" wrapText="1"/>
    </xf>
    <xf numFmtId="0" fontId="2" fillId="8" borderId="20" applyAlignment="1" pivotButton="0" quotePrefix="0" xfId="0">
      <alignment horizontal="center" wrapText="1"/>
    </xf>
    <xf numFmtId="0" fontId="2" fillId="8" borderId="18" applyAlignment="1" pivotButton="0" quotePrefix="0" xfId="0">
      <alignment horizontal="center" vertical="center" wrapText="1"/>
    </xf>
    <xf numFmtId="0" fontId="2" fillId="8" borderId="19" applyAlignment="1" pivotButton="0" quotePrefix="0" xfId="0">
      <alignment horizontal="center" vertical="center" wrapText="1"/>
    </xf>
    <xf numFmtId="0" fontId="2" fillId="8" borderId="20" applyAlignment="1" pivotButton="0" quotePrefix="0" xfId="0">
      <alignment horizontal="center" vertical="center" wrapText="1"/>
    </xf>
    <xf numFmtId="0" fontId="0" fillId="9" borderId="21" pivotButton="0" quotePrefix="0" xfId="0"/>
    <xf numFmtId="0" fontId="0" fillId="9" borderId="0" pivotButton="0" quotePrefix="0" xfId="0"/>
    <xf numFmtId="0" fontId="0" fillId="9" borderId="22" pivotButton="0" quotePrefix="0" xfId="0"/>
    <xf numFmtId="0" fontId="0" fillId="9" borderId="23" pivotButton="0" quotePrefix="0" xfId="0"/>
    <xf numFmtId="0" fontId="0" fillId="9" borderId="24" pivotButton="0" quotePrefix="0" xfId="0"/>
    <xf numFmtId="0" fontId="0" fillId="9" borderId="25" pivotButton="0" quotePrefix="0" xfId="0"/>
    <xf numFmtId="0" fontId="4" fillId="9" borderId="21" pivotButton="0" quotePrefix="0" xfId="0"/>
    <xf numFmtId="0" fontId="4" fillId="9" borderId="0" pivotButton="0" quotePrefix="0" xfId="0"/>
    <xf numFmtId="0" fontId="4" fillId="9" borderId="22" pivotButton="0" quotePrefix="0" xfId="0"/>
    <xf numFmtId="0" fontId="4" fillId="9" borderId="23" pivotButton="0" quotePrefix="0" xfId="0"/>
    <xf numFmtId="0" fontId="4" fillId="9" borderId="24" pivotButton="0" quotePrefix="0" xfId="0"/>
    <xf numFmtId="0" fontId="4" fillId="9" borderId="25" pivotButton="0" quotePrefix="0" xfId="0"/>
    <xf numFmtId="0" fontId="4" fillId="9" borderId="21" applyAlignment="1" pivotButton="0" quotePrefix="0" xfId="0">
      <alignment wrapText="1"/>
    </xf>
    <xf numFmtId="0" fontId="4" fillId="9" borderId="0" applyAlignment="1" pivotButton="0" quotePrefix="0" xfId="0">
      <alignment wrapText="1"/>
    </xf>
    <xf numFmtId="0" fontId="4" fillId="9" borderId="22" applyAlignment="1" pivotButton="0" quotePrefix="0" xfId="0">
      <alignment wrapText="1"/>
    </xf>
    <xf numFmtId="0" fontId="4" fillId="9" borderId="23" applyAlignment="1" pivotButton="0" quotePrefix="0" xfId="0">
      <alignment wrapText="1"/>
    </xf>
    <xf numFmtId="0" fontId="4" fillId="9" borderId="24" applyAlignment="1" pivotButton="0" quotePrefix="0" xfId="0">
      <alignment wrapText="1"/>
    </xf>
    <xf numFmtId="0" fontId="4" fillId="9" borderId="25" applyAlignment="1" pivotButton="0" quotePrefix="0" xfId="0">
      <alignment wrapText="1"/>
    </xf>
    <xf numFmtId="0" fontId="4" fillId="9" borderId="21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9" borderId="22" applyAlignment="1" pivotButton="0" quotePrefix="0" xfId="0">
      <alignment vertical="top" wrapText="1"/>
    </xf>
    <xf numFmtId="0" fontId="4" fillId="9" borderId="23" applyAlignment="1" pivotButton="0" quotePrefix="0" xfId="0">
      <alignment vertical="top" wrapText="1"/>
    </xf>
    <xf numFmtId="0" fontId="4" fillId="9" borderId="24" applyAlignment="1" pivotButton="0" quotePrefix="0" xfId="0">
      <alignment vertical="top" wrapText="1"/>
    </xf>
    <xf numFmtId="0" fontId="4" fillId="9" borderId="25" applyAlignment="1" pivotButton="0" quotePrefix="0" xfId="0">
      <alignment vertical="top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vertical="center" wrapText="1"/>
    </xf>
    <xf numFmtId="0" fontId="0" fillId="10" borderId="21" pivotButton="0" quotePrefix="0" xfId="0"/>
    <xf numFmtId="0" fontId="0" fillId="10" borderId="22" pivotButton="0" quotePrefix="0" xfId="0"/>
    <xf numFmtId="0" fontId="0" fillId="10" borderId="23" pivotButton="0" quotePrefix="0" xfId="0"/>
    <xf numFmtId="0" fontId="0" fillId="10" borderId="25" pivotButton="0" quotePrefix="0" xfId="0"/>
    <xf numFmtId="0" fontId="4" fillId="10" borderId="21" pivotButton="0" quotePrefix="0" xfId="0"/>
    <xf numFmtId="0" fontId="4" fillId="10" borderId="22" pivotButton="0" quotePrefix="0" xfId="0"/>
    <xf numFmtId="0" fontId="4" fillId="10" borderId="23" pivotButton="0" quotePrefix="0" xfId="0"/>
    <xf numFmtId="0" fontId="4" fillId="10" borderId="25" pivotButton="0" quotePrefix="0" xfId="0"/>
    <xf numFmtId="0" fontId="4" fillId="10" borderId="21" applyAlignment="1" pivotButton="0" quotePrefix="0" xfId="0">
      <alignment wrapText="1"/>
    </xf>
    <xf numFmtId="0" fontId="4" fillId="10" borderId="22" applyAlignment="1" pivotButton="0" quotePrefix="0" xfId="0">
      <alignment wrapText="1"/>
    </xf>
    <xf numFmtId="0" fontId="4" fillId="10" borderId="23" applyAlignment="1" pivotButton="0" quotePrefix="0" xfId="0">
      <alignment wrapText="1"/>
    </xf>
    <xf numFmtId="0" fontId="4" fillId="10" borderId="25" applyAlignment="1" pivotButton="0" quotePrefix="0" xfId="0">
      <alignment wrapText="1"/>
    </xf>
    <xf numFmtId="0" fontId="4" fillId="10" borderId="21" applyAlignment="1" pivotButton="0" quotePrefix="0" xfId="0">
      <alignment vertical="top" wrapText="1"/>
    </xf>
    <xf numFmtId="0" fontId="4" fillId="10" borderId="22" applyAlignment="1" pivotButton="0" quotePrefix="0" xfId="0">
      <alignment vertical="top" wrapText="1"/>
    </xf>
    <xf numFmtId="0" fontId="4" fillId="10" borderId="23" applyAlignment="1" pivotButton="0" quotePrefix="0" xfId="0">
      <alignment vertical="top" wrapText="1"/>
    </xf>
    <xf numFmtId="0" fontId="4" fillId="10" borderId="25" applyAlignment="1" pivotButton="0" quotePrefix="0" xfId="0">
      <alignment vertical="top" wrapText="1"/>
    </xf>
    <xf numFmtId="0" fontId="4" fillId="0" borderId="21" pivotButton="0" quotePrefix="0" xfId="0"/>
    <xf numFmtId="0" fontId="4" fillId="0" borderId="0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25" pivotButton="0" quotePrefix="0" xfId="0"/>
    <xf numFmtId="0" fontId="4" fillId="0" borderId="2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22" applyAlignment="1" pivotButton="0" quotePrefix="0" xfId="0">
      <alignment wrapText="1"/>
    </xf>
    <xf numFmtId="0" fontId="4" fillId="0" borderId="23" applyAlignment="1" pivotButton="0" quotePrefix="0" xfId="0">
      <alignment wrapText="1"/>
    </xf>
    <xf numFmtId="0" fontId="4" fillId="0" borderId="24" applyAlignment="1" pivotButton="0" quotePrefix="0" xfId="0">
      <alignment wrapText="1"/>
    </xf>
    <xf numFmtId="0" fontId="4" fillId="0" borderId="25" applyAlignment="1" pivotButton="0" quotePrefix="0" xfId="0">
      <alignment wrapText="1"/>
    </xf>
    <xf numFmtId="0" fontId="4" fillId="0" borderId="2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22" applyAlignment="1" pivotButton="0" quotePrefix="0" xfId="0">
      <alignment vertical="top" wrapText="1"/>
    </xf>
    <xf numFmtId="0" fontId="4" fillId="0" borderId="23" applyAlignment="1" pivotButton="0" quotePrefix="0" xfId="0">
      <alignment vertical="top" wrapText="1"/>
    </xf>
    <xf numFmtId="0" fontId="4" fillId="0" borderId="24" applyAlignment="1" pivotButton="0" quotePrefix="0" xfId="0">
      <alignment vertical="top" wrapText="1"/>
    </xf>
    <xf numFmtId="0" fontId="4" fillId="0" borderId="25" applyAlignment="1" pivotButton="0" quotePrefix="0" xfId="0">
      <alignment vertical="top" wrapText="1"/>
    </xf>
    <xf numFmtId="0" fontId="2" fillId="3" borderId="18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vertical="center" wrapText="1"/>
    </xf>
    <xf numFmtId="0" fontId="2" fillId="3" borderId="20" applyAlignment="1" pivotButton="0" quotePrefix="0" xfId="0">
      <alignment horizontal="center" vertical="center" wrapText="1"/>
    </xf>
    <xf numFmtId="0" fontId="3" fillId="4" borderId="21" applyAlignment="1" pivotButton="0" quotePrefix="0" xfId="0">
      <alignment vertical="center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2" fontId="4" fillId="6" borderId="0" applyAlignment="1" pivotButton="0" quotePrefix="0" xfId="0">
      <alignment vertical="top" wrapText="1"/>
    </xf>
    <xf numFmtId="0" fontId="3" fillId="4" borderId="26" applyAlignment="1" pivotButton="0" quotePrefix="0" xfId="0">
      <alignment vertical="center"/>
    </xf>
    <xf numFmtId="0" fontId="0" fillId="0" borderId="27" applyAlignment="1" pivotButton="0" quotePrefix="0" xfId="0">
      <alignment wrapText="1"/>
    </xf>
    <xf numFmtId="0" fontId="2" fillId="3" borderId="28" applyAlignment="1" pivotButton="0" quotePrefix="0" xfId="0">
      <alignment horizontal="center" vertical="center" wrapText="1"/>
    </xf>
    <xf numFmtId="0" fontId="4" fillId="6" borderId="29" applyAlignment="1" pivotButton="0" quotePrefix="0" xfId="0">
      <alignment vertical="top" wrapText="1"/>
    </xf>
    <xf numFmtId="0" fontId="2" fillId="3" borderId="21" applyAlignment="1" pivotButton="0" quotePrefix="0" xfId="0">
      <alignment horizontal="center" vertical="center" wrapText="1"/>
    </xf>
    <xf numFmtId="0" fontId="4" fillId="6" borderId="24" applyAlignment="1" pivotButton="0" quotePrefix="0" xfId="0">
      <alignment vertical="top" wrapText="1"/>
    </xf>
    <xf numFmtId="0" fontId="3" fillId="11" borderId="21" applyAlignment="1" pivotButton="0" quotePrefix="0" xfId="0">
      <alignment vertical="center"/>
    </xf>
    <xf numFmtId="0" fontId="3" fillId="11" borderId="26" applyAlignment="1" pivotButton="0" quotePrefix="0" xfId="0">
      <alignment vertical="center"/>
    </xf>
    <xf numFmtId="0" fontId="0" fillId="11" borderId="21" pivotButton="0" quotePrefix="0" xfId="0"/>
    <xf numFmtId="0" fontId="2" fillId="11" borderId="28" applyAlignment="1" pivotButton="0" quotePrefix="0" xfId="0">
      <alignment horizontal="center" vertical="center" wrapText="1"/>
    </xf>
    <xf numFmtId="0" fontId="0" fillId="11" borderId="23" pivotButton="0" quotePrefix="0" xfId="0"/>
    <xf numFmtId="0" fontId="3" fillId="11" borderId="21" pivotButton="0" quotePrefix="0" xfId="0"/>
    <xf numFmtId="0" fontId="6" fillId="11" borderId="28" applyAlignment="1" pivotButton="0" quotePrefix="0" xfId="0">
      <alignment horizontal="center" vertical="center" wrapText="1"/>
    </xf>
    <xf numFmtId="0" fontId="3" fillId="11" borderId="23" pivotButton="0" quotePrefix="0" xfId="0"/>
    <xf numFmtId="0" fontId="3" fillId="11" borderId="23" applyAlignment="1" pivotButton="0" quotePrefix="0" xfId="0">
      <alignment vertical="center"/>
    </xf>
    <xf numFmtId="0" fontId="2" fillId="11" borderId="21" applyAlignment="1" pivotButton="0" quotePrefix="0" xfId="0">
      <alignment horizontal="center" vertical="center" wrapText="1"/>
    </xf>
    <xf numFmtId="0" fontId="6" fillId="11" borderId="21" applyAlignment="1" pivotButton="0" quotePrefix="0" xfId="0">
      <alignment horizontal="center" vertical="center" wrapText="1"/>
    </xf>
    <xf numFmtId="0" fontId="4" fillId="10" borderId="0" applyAlignment="1" pivotButton="0" quotePrefix="0" xfId="0">
      <alignment vertical="top" wrapText="1"/>
    </xf>
    <xf numFmtId="2" fontId="4" fillId="10" borderId="0" applyAlignment="1" pivotButton="0" quotePrefix="0" xfId="0">
      <alignment vertical="top" wrapText="1"/>
    </xf>
    <xf numFmtId="0" fontId="4" fillId="10" borderId="15" applyAlignment="1" pivotButton="0" quotePrefix="0" xfId="0">
      <alignment vertical="top" wrapText="1"/>
    </xf>
    <xf numFmtId="0" fontId="0" fillId="10" borderId="0" pivotButton="0" quotePrefix="0" xfId="0"/>
    <xf numFmtId="0" fontId="2" fillId="10" borderId="3" applyAlignment="1" pivotButton="0" quotePrefix="0" xfId="0">
      <alignment horizontal="center" vertical="center" wrapText="1"/>
    </xf>
    <xf numFmtId="0" fontId="4" fillId="10" borderId="5" applyAlignment="1" pivotButton="0" quotePrefix="0" xfId="0">
      <alignment vertical="top" wrapText="1"/>
    </xf>
    <xf numFmtId="0" fontId="4" fillId="10" borderId="29" applyAlignment="1" pivotButton="0" quotePrefix="0" xfId="0">
      <alignment vertical="top" wrapText="1"/>
    </xf>
    <xf numFmtId="0" fontId="0" fillId="10" borderId="0" applyAlignment="1" pivotButton="0" quotePrefix="0" xfId="0">
      <alignment wrapText="1"/>
    </xf>
    <xf numFmtId="0" fontId="0" fillId="10" borderId="0" applyAlignment="1" pivotButton="0" quotePrefix="0" xfId="0">
      <alignment vertical="top" wrapText="1"/>
    </xf>
    <xf numFmtId="0" fontId="2" fillId="10" borderId="3" applyAlignment="1" pivotButton="0" quotePrefix="0" xfId="0">
      <alignment horizontal="center" vertical="top" wrapText="1"/>
    </xf>
    <xf numFmtId="0" fontId="4" fillId="10" borderId="0" applyAlignment="1" pivotButton="0" quotePrefix="0" xfId="0">
      <alignment vertical="top" wrapText="1"/>
    </xf>
    <xf numFmtId="0" fontId="2" fillId="10" borderId="0" applyAlignment="1" pivotButton="0" quotePrefix="0" xfId="0">
      <alignment horizontal="center" vertical="center" wrapText="1"/>
    </xf>
    <xf numFmtId="0" fontId="4" fillId="10" borderId="24" applyAlignment="1" pivotButton="0" quotePrefix="0" xfId="0">
      <alignment vertical="top" wrapText="1"/>
    </xf>
    <xf numFmtId="0" fontId="2" fillId="10" borderId="0" applyAlignment="1" pivotButton="0" quotePrefix="0" xfId="0">
      <alignment horizontal="center" vertical="top" wrapText="1"/>
    </xf>
    <xf numFmtId="0" fontId="0" fillId="0" borderId="24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2" fontId="4" fillId="10" borderId="15" applyAlignment="1" pivotButton="0" quotePrefix="0" xfId="0">
      <alignment vertical="top" wrapText="1"/>
    </xf>
    <xf numFmtId="2" fontId="0" fillId="10" borderId="0" applyAlignment="1" pivotButton="0" quotePrefix="0" xfId="0">
      <alignment vertical="top" wrapText="1"/>
    </xf>
    <xf numFmtId="2" fontId="2" fillId="10" borderId="3" applyAlignment="1" pivotButton="0" quotePrefix="0" xfId="0">
      <alignment horizontal="center" vertical="top" wrapText="1"/>
    </xf>
    <xf numFmtId="2" fontId="4" fillId="10" borderId="5" applyAlignment="1" pivotButton="0" quotePrefix="0" xfId="0">
      <alignment vertical="top" wrapText="1"/>
    </xf>
    <xf numFmtId="2" fontId="4" fillId="10" borderId="0" applyAlignment="1" pivotButton="0" quotePrefix="0" xfId="0">
      <alignment vertical="top" wrapText="1"/>
    </xf>
    <xf numFmtId="2" fontId="2" fillId="10" borderId="0" applyAlignment="1" pivotButton="0" quotePrefix="0" xfId="0">
      <alignment horizontal="center" vertical="top" wrapText="1"/>
    </xf>
    <xf numFmtId="0" fontId="5" fillId="0" borderId="18" applyAlignment="1" pivotButton="0" quotePrefix="0" xfId="0">
      <alignment vertical="top" wrapText="1"/>
    </xf>
    <xf numFmtId="0" fontId="5" fillId="8" borderId="18" applyAlignment="1" pivotButton="0" quotePrefix="0" xfId="0">
      <alignment vertical="top" wrapText="1"/>
    </xf>
    <xf numFmtId="0" fontId="7" fillId="8" borderId="18" applyAlignment="1" pivotButton="0" quotePrefix="0" xfId="0">
      <alignment vertical="top" wrapText="1"/>
    </xf>
    <xf numFmtId="0" fontId="7" fillId="8" borderId="18" applyAlignment="1" pivotButton="0" quotePrefix="0" xfId="0">
      <alignment horizontal="center" vertical="top" wrapText="1"/>
    </xf>
    <xf numFmtId="0" fontId="7" fillId="8" borderId="18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top" wrapText="1"/>
    </xf>
    <xf numFmtId="2" fontId="0" fillId="6" borderId="0" applyAlignment="1" pivotButton="0" quotePrefix="0" xfId="0">
      <alignment vertical="top" wrapText="1"/>
    </xf>
    <xf numFmtId="2" fontId="2" fillId="6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1" fillId="12" borderId="0" pivotButton="0" quotePrefix="0" xfId="0"/>
    <xf numFmtId="0" fontId="1" fillId="12" borderId="0" applyAlignment="1" pivotButton="0" quotePrefix="0" xfId="0">
      <alignment horizontal="left"/>
    </xf>
    <xf numFmtId="0" fontId="1" fillId="12" borderId="0" applyAlignment="1" pivotButton="0" quotePrefix="0" xfId="0">
      <alignment horizontal="left" vertical="center"/>
    </xf>
    <xf numFmtId="0" fontId="0" fillId="13" borderId="0" pivotButton="0" quotePrefix="0" xfId="0"/>
    <xf numFmtId="0" fontId="8" fillId="13" borderId="0" pivotButton="0" quotePrefix="0" xfId="0"/>
    <xf numFmtId="0" fontId="8" fillId="13" borderId="0" applyAlignment="1" pivotButton="0" quotePrefix="0" xfId="0">
      <alignment wrapText="1"/>
    </xf>
    <xf numFmtId="0" fontId="8" fillId="13" borderId="0" applyAlignment="1" pivotButton="0" quotePrefix="0" xfId="0">
      <alignment vertical="top" wrapText="1"/>
    </xf>
    <xf numFmtId="0" fontId="0" fillId="14" borderId="0" pivotButton="0" quotePrefix="0" xfId="0"/>
    <xf numFmtId="0" fontId="2" fillId="14" borderId="0" pivotButton="0" quotePrefix="0" xfId="0"/>
    <xf numFmtId="0" fontId="2" fillId="14" borderId="0" applyAlignment="1" pivotButton="0" quotePrefix="0" xfId="0">
      <alignment wrapText="1"/>
    </xf>
    <xf numFmtId="0" fontId="2" fillId="14" borderId="0" applyAlignment="1" pivotButton="0" quotePrefix="0" xfId="0">
      <alignment horizontal="center" wrapText="1"/>
    </xf>
    <xf numFmtId="0" fontId="2" fillId="1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0" fillId="15" borderId="0" pivotButton="0" quotePrefix="0" xfId="0"/>
    <xf numFmtId="0" fontId="1" fillId="15" borderId="0" pivotButton="0" quotePrefix="0" xfId="0"/>
    <xf numFmtId="0" fontId="1" fillId="15" borderId="0" applyAlignment="1" pivotButton="0" quotePrefix="0" xfId="0">
      <alignment horizontal="left"/>
    </xf>
    <xf numFmtId="0" fontId="1" fillId="15" borderId="0" applyAlignment="1" pivotButton="0" quotePrefix="0" xfId="0">
      <alignment horizontal="left" vertical="center"/>
    </xf>
    <xf numFmtId="0" fontId="0" fillId="16" borderId="0" pivotButton="0" quotePrefix="0" xfId="0"/>
    <xf numFmtId="0" fontId="2" fillId="16" borderId="0" pivotButton="0" quotePrefix="0" xfId="0"/>
    <xf numFmtId="0" fontId="2" fillId="16" borderId="0" applyAlignment="1" pivotButton="0" quotePrefix="0" xfId="0">
      <alignment wrapText="1"/>
    </xf>
    <xf numFmtId="0" fontId="2" fillId="16" borderId="0" applyAlignment="1" pivotButton="0" quotePrefix="0" xfId="0">
      <alignment horizontal="center" wrapText="1"/>
    </xf>
    <xf numFmtId="0" fontId="2" fillId="16" borderId="0" applyAlignment="1" pivotButton="0" quotePrefix="0" xfId="0">
      <alignment horizontal="center" vertical="center" wrapText="1"/>
    </xf>
    <xf numFmtId="0" fontId="2" fillId="16" borderId="30" applyAlignment="1" pivotButton="0" quotePrefix="0" xfId="0">
      <alignment horizontal="center" vertical="center" wrapText="1"/>
    </xf>
    <xf numFmtId="0" fontId="2" fillId="16" borderId="31" applyAlignment="1" pivotButton="0" quotePrefix="0" xfId="0">
      <alignment horizontal="center" vertical="center" wrapText="1"/>
    </xf>
    <xf numFmtId="0" fontId="2" fillId="16" borderId="3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3" applyAlignment="1" pivotButton="0" quotePrefix="0" xfId="0">
      <alignment wrapText="1"/>
    </xf>
    <xf numFmtId="0" fontId="0" fillId="0" borderId="34" applyAlignment="1" pivotButton="0" quotePrefix="0" xfId="0">
      <alignment wrapText="1"/>
    </xf>
    <xf numFmtId="0" fontId="0" fillId="0" borderId="35" applyAlignment="1" pivotButton="0" quotePrefix="0" xfId="0">
      <alignment wrapText="1"/>
    </xf>
    <xf numFmtId="0" fontId="0" fillId="0" borderId="36" applyAlignment="1" pivotButton="0" quotePrefix="0" xfId="0">
      <alignment wrapText="1"/>
    </xf>
    <xf numFmtId="0" fontId="0" fillId="0" borderId="37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8" fillId="18" borderId="0" pivotButton="0" quotePrefix="0" xfId="0"/>
    <xf numFmtId="0" fontId="8" fillId="18" borderId="0" applyAlignment="1" pivotButton="0" quotePrefix="0" xfId="0">
      <alignment wrapText="1"/>
    </xf>
    <xf numFmtId="0" fontId="0" fillId="19" borderId="0" pivotButton="0" quotePrefix="0" xfId="0"/>
    <xf numFmtId="0" fontId="2" fillId="19" borderId="0" pivotButton="0" quotePrefix="0" xfId="0"/>
    <xf numFmtId="0" fontId="2" fillId="19" borderId="0" applyAlignment="1" pivotButton="0" quotePrefix="0" xfId="0">
      <alignment wrapText="1"/>
    </xf>
    <xf numFmtId="0" fontId="2" fillId="19" borderId="0" applyAlignment="1" pivotButton="0" quotePrefix="0" xfId="0">
      <alignment horizontal="center" wrapText="1"/>
    </xf>
    <xf numFmtId="0" fontId="2" fillId="19" borderId="0" applyAlignment="1" pivotButton="0" quotePrefix="0" xfId="0">
      <alignment horizontal="center" vertical="center" wrapText="1"/>
    </xf>
    <xf numFmtId="0" fontId="2" fillId="19" borderId="3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2" fillId="19" borderId="41" applyAlignment="1" pivotButton="0" quotePrefix="0" xfId="0">
      <alignment horizontal="center" vertical="center" wrapText="1"/>
    </xf>
    <xf numFmtId="0" fontId="2" fillId="19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2" fillId="3" borderId="41" applyAlignment="1" pivotButton="0" quotePrefix="0" xfId="0">
      <alignment horizontal="center" vertical="center" wrapText="1"/>
    </xf>
    <xf numFmtId="0" fontId="2" fillId="3" borderId="47" applyAlignment="1" pivotButton="0" quotePrefix="0" xfId="0">
      <alignment horizontal="center" vertical="center" wrapText="1"/>
    </xf>
    <xf numFmtId="0" fontId="2" fillId="3" borderId="42" applyAlignment="1" pivotButton="0" quotePrefix="0" xfId="0">
      <alignment horizontal="center" vertical="center" wrapText="1"/>
    </xf>
    <xf numFmtId="0" fontId="3" fillId="4" borderId="43" applyAlignment="1" pivotButton="0" quotePrefix="0" xfId="0">
      <alignment vertical="center"/>
    </xf>
    <xf numFmtId="0" fontId="0" fillId="0" borderId="44" applyAlignment="1" pivotButton="0" quotePrefix="0" xfId="0">
      <alignment wrapText="1"/>
    </xf>
    <xf numFmtId="0" fontId="6" fillId="4" borderId="43" applyAlignment="1" pivotButton="0" quotePrefix="0" xfId="0">
      <alignment horizontal="left" vertical="center" wrapText="1"/>
    </xf>
    <xf numFmtId="2" fontId="2" fillId="6" borderId="0" applyAlignment="1" pivotButton="0" quotePrefix="0" xfId="0">
      <alignment horizontal="center" vertical="top" wrapText="1"/>
    </xf>
    <xf numFmtId="0" fontId="3" fillId="4" borderId="43" applyAlignment="1" pivotButton="0" quotePrefix="0" xfId="0">
      <alignment horizontal="left" vertical="center"/>
    </xf>
    <xf numFmtId="0" fontId="7" fillId="3" borderId="43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0" borderId="43" applyAlignment="1" pivotButton="0" quotePrefix="0" xfId="0">
      <alignment vertical="top" wrapText="1"/>
    </xf>
    <xf numFmtId="0" fontId="0" fillId="0" borderId="48" pivotButton="0" quotePrefix="0" xfId="0"/>
    <xf numFmtId="0" fontId="2" fillId="19" borderId="47" applyAlignment="1" pivotButton="0" quotePrefix="0" xfId="0">
      <alignment horizontal="center" vertical="center" wrapText="1"/>
    </xf>
    <xf numFmtId="0" fontId="3" fillId="20" borderId="43" applyAlignment="1" pivotButton="0" quotePrefix="0" xfId="0">
      <alignment vertical="center"/>
    </xf>
    <xf numFmtId="0" fontId="6" fillId="20" borderId="43" applyAlignment="1" pivotButton="0" quotePrefix="0" xfId="0">
      <alignment horizontal="left" vertical="center" wrapText="1"/>
    </xf>
    <xf numFmtId="0" fontId="3" fillId="20" borderId="43" applyAlignment="1" pivotButton="0" quotePrefix="0" xfId="0">
      <alignment horizontal="left" vertical="center"/>
    </xf>
    <xf numFmtId="0" fontId="0" fillId="20" borderId="43" pivotButton="0" quotePrefix="0" xfId="0"/>
    <xf numFmtId="0" fontId="7" fillId="20" borderId="43" applyAlignment="1" pivotButton="0" quotePrefix="0" xfId="0">
      <alignment horizontal="center" vertical="center" wrapText="1"/>
    </xf>
    <xf numFmtId="0" fontId="5" fillId="20" borderId="43" applyAlignment="1" pivotButton="0" quotePrefix="0" xfId="0">
      <alignment vertical="top" wrapText="1"/>
    </xf>
    <xf numFmtId="0" fontId="0" fillId="20" borderId="45" pivotButton="0" quotePrefix="0" xfId="0"/>
    <xf numFmtId="0" fontId="3" fillId="20" borderId="43" pivotButton="0" quotePrefix="0" xfId="0"/>
    <xf numFmtId="0" fontId="9" fillId="20" borderId="43" applyAlignment="1" pivotButton="0" quotePrefix="0" xfId="0">
      <alignment horizontal="center" vertical="center" wrapText="1"/>
    </xf>
    <xf numFmtId="0" fontId="10" fillId="20" borderId="43" applyAlignment="1" pivotButton="0" quotePrefix="0" xfId="0">
      <alignment vertical="top" wrapText="1"/>
    </xf>
    <xf numFmtId="0" fontId="3" fillId="20" borderId="45" pivotButton="0" quotePrefix="0" xfId="0"/>
    <xf numFmtId="0" fontId="3" fillId="20" borderId="43" applyAlignment="1" pivotButton="0" quotePrefix="0" xfId="0">
      <alignment vertical="center" wrapText="1"/>
    </xf>
    <xf numFmtId="0" fontId="3" fillId="20" borderId="43" applyAlignment="1" pivotButton="0" quotePrefix="0" xfId="0">
      <alignment horizontal="left" vertical="center" wrapText="1"/>
    </xf>
    <xf numFmtId="0" fontId="3" fillId="20" borderId="43" applyAlignment="1" pivotButton="0" quotePrefix="0" xfId="0">
      <alignment wrapText="1"/>
    </xf>
    <xf numFmtId="0" fontId="3" fillId="20" borderId="45" applyAlignment="1" pivotButton="0" quotePrefix="0" xfId="0">
      <alignment wrapText="1"/>
    </xf>
    <xf numFmtId="0" fontId="4" fillId="21" borderId="0" applyAlignment="1" pivotButton="0" quotePrefix="0" xfId="0">
      <alignment vertical="top" wrapText="1"/>
    </xf>
    <xf numFmtId="2" fontId="4" fillId="21" borderId="0" applyAlignment="1" pivotButton="0" quotePrefix="0" xfId="0">
      <alignment vertical="top" wrapText="1"/>
    </xf>
    <xf numFmtId="2" fontId="0" fillId="21" borderId="0" applyAlignment="1" pivotButton="0" quotePrefix="0" xfId="0">
      <alignment vertical="top" wrapText="1"/>
    </xf>
    <xf numFmtId="2" fontId="2" fillId="21" borderId="0" applyAlignment="1" pivotButton="0" quotePrefix="0" xfId="0">
      <alignment horizontal="center" vertical="top" wrapText="1"/>
    </xf>
    <xf numFmtId="0" fontId="0" fillId="21" borderId="0" pivotButton="0" quotePrefix="0" xfId="0"/>
    <xf numFmtId="0" fontId="2" fillId="21" borderId="0" applyAlignment="1" pivotButton="0" quotePrefix="0" xfId="0">
      <alignment horizontal="center" vertical="center" wrapText="1"/>
    </xf>
    <xf numFmtId="0" fontId="0" fillId="21" borderId="48" pivotButton="0" quotePrefix="0" xfId="0"/>
    <xf numFmtId="0" fontId="0" fillId="21" borderId="0" applyAlignment="1" pivotButton="0" quotePrefix="0" xfId="0">
      <alignment wrapText="1"/>
    </xf>
    <xf numFmtId="0" fontId="0" fillId="21" borderId="48" applyAlignment="1" pivotButton="0" quotePrefix="0" xfId="0">
      <alignment wrapText="1"/>
    </xf>
    <xf numFmtId="0" fontId="0" fillId="0" borderId="48" applyAlignment="1" pivotButton="0" quotePrefix="0" xfId="0">
      <alignment wrapText="1"/>
    </xf>
    <xf numFmtId="0" fontId="0" fillId="0" borderId="46" applyAlignment="1" pivotButton="0" quotePrefix="0" xfId="0">
      <alignment wrapText="1"/>
    </xf>
    <xf numFmtId="2" fontId="0" fillId="21" borderId="0" applyAlignment="1" pivotButton="0" quotePrefix="0" xfId="0">
      <alignment wrapText="1"/>
    </xf>
    <xf numFmtId="2" fontId="2" fillId="21" borderId="0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19" borderId="41" pivotButton="0" quotePrefix="0" xfId="0"/>
    <xf numFmtId="0" fontId="0" fillId="19" borderId="42" pivotButton="0" quotePrefix="0" xfId="0"/>
    <xf numFmtId="0" fontId="2" fillId="19" borderId="41" pivotButton="0" quotePrefix="0" xfId="0"/>
    <xf numFmtId="0" fontId="2" fillId="19" borderId="42" pivotButton="0" quotePrefix="0" xfId="0"/>
    <xf numFmtId="0" fontId="2" fillId="19" borderId="41" applyAlignment="1" pivotButton="0" quotePrefix="0" xfId="0">
      <alignment wrapText="1"/>
    </xf>
    <xf numFmtId="0" fontId="2" fillId="19" borderId="42" applyAlignment="1" pivotButton="0" quotePrefix="0" xfId="0">
      <alignment wrapText="1"/>
    </xf>
    <xf numFmtId="0" fontId="2" fillId="19" borderId="41" applyAlignment="1" pivotButton="0" quotePrefix="0" xfId="0">
      <alignment horizontal="center" wrapText="1"/>
    </xf>
    <xf numFmtId="0" fontId="2" fillId="19" borderId="42" applyAlignment="1" pivotButton="0" quotePrefix="0" xfId="0">
      <alignment horizontal="center" wrapText="1"/>
    </xf>
    <xf numFmtId="0" fontId="2" fillId="19" borderId="0" applyAlignment="1" pivotButton="0" quotePrefix="0" xfId="0">
      <alignment horizontal="center" vertical="top" wrapText="1"/>
    </xf>
    <xf numFmtId="0" fontId="0" fillId="19" borderId="0" applyAlignment="1" pivotButton="0" quotePrefix="0" xfId="0">
      <alignment wrapText="1"/>
    </xf>
    <xf numFmtId="0" fontId="2" fillId="19" borderId="30" applyAlignment="1" pivotButton="0" quotePrefix="0" xfId="0">
      <alignment horizontal="center" vertical="center" wrapText="1"/>
    </xf>
    <xf numFmtId="0" fontId="2" fillId="19" borderId="31" applyAlignment="1" pivotButton="0" quotePrefix="0" xfId="0">
      <alignment horizontal="center" vertical="center" wrapText="1"/>
    </xf>
    <xf numFmtId="0" fontId="2" fillId="19" borderId="32" applyAlignment="1" pivotButton="0" quotePrefix="0" xfId="0">
      <alignment horizontal="center" vertical="center" wrapText="1"/>
    </xf>
    <xf numFmtId="0" fontId="2" fillId="3" borderId="41" applyAlignment="1" pivotButton="0" quotePrefix="0" xfId="0">
      <alignment horizontal="center" vertical="top" wrapText="1"/>
    </xf>
    <xf numFmtId="0" fontId="2" fillId="3" borderId="42" applyAlignment="1" pivotButton="0" quotePrefix="0" xfId="0">
      <alignment horizontal="center" vertical="top" wrapText="1"/>
    </xf>
    <xf numFmtId="0" fontId="0" fillId="0" borderId="43" applyAlignment="1" pivotButton="0" quotePrefix="0" xfId="0">
      <alignment vertical="top" wrapText="1"/>
    </xf>
    <xf numFmtId="0" fontId="0" fillId="0" borderId="44" applyAlignment="1" pivotButton="0" quotePrefix="0" xfId="0">
      <alignment vertical="top" wrapText="1"/>
    </xf>
    <xf numFmtId="0" fontId="3" fillId="4" borderId="45" applyAlignment="1" pivotButton="0" quotePrefix="0" xfId="0">
      <alignment vertical="center"/>
    </xf>
    <xf numFmtId="0" fontId="2" fillId="19" borderId="41" applyAlignment="1" pivotButton="0" quotePrefix="0" xfId="0">
      <alignment horizontal="center" vertical="top" wrapText="1"/>
    </xf>
    <xf numFmtId="0" fontId="2" fillId="19" borderId="42" applyAlignment="1" pivotButton="0" quotePrefix="0" xfId="0">
      <alignment horizontal="center" vertical="top" wrapText="1"/>
    </xf>
    <xf numFmtId="0" fontId="0" fillId="0" borderId="41" applyAlignment="1" pivotButton="0" quotePrefix="0" xfId="0">
      <alignment wrapText="1"/>
    </xf>
    <xf numFmtId="0" fontId="0" fillId="0" borderId="42" applyAlignment="1" pivotButton="0" quotePrefix="0" xfId="0">
      <alignment wrapText="1"/>
    </xf>
    <xf numFmtId="0" fontId="0" fillId="0" borderId="43" applyAlignment="1" pivotButton="0" quotePrefix="0" xfId="0">
      <alignment wrapText="1"/>
    </xf>
    <xf numFmtId="0" fontId="0" fillId="19" borderId="41" applyAlignment="1" pivotButton="0" quotePrefix="0" xfId="0">
      <alignment wrapText="1"/>
    </xf>
    <xf numFmtId="0" fontId="0" fillId="19" borderId="42" applyAlignment="1" pivotButton="0" quotePrefix="0" xfId="0">
      <alignment wrapText="1"/>
    </xf>
    <xf numFmtId="0" fontId="3" fillId="4" borderId="45" applyAlignment="1" pivotButton="0" quotePrefix="0" xfId="0">
      <alignment vertical="center" wrapText="1"/>
    </xf>
    <xf numFmtId="0" fontId="0" fillId="0" borderId="45" applyAlignment="1" pivotButton="0" quotePrefix="0" xfId="0">
      <alignment wrapText="1"/>
    </xf>
    <xf numFmtId="0" fontId="3" fillId="20" borderId="41" applyAlignment="1" pivotButton="0" quotePrefix="0" xfId="0">
      <alignment wrapText="1"/>
    </xf>
    <xf numFmtId="0" fontId="0" fillId="21" borderId="47" applyAlignment="1" pivotButton="0" quotePrefix="0" xfId="0">
      <alignment wrapText="1"/>
    </xf>
    <xf numFmtId="0" fontId="0" fillId="0" borderId="47" applyAlignment="1" pivotButton="0" quotePrefix="0" xfId="0">
      <alignment wrapText="1"/>
    </xf>
    <xf numFmtId="1" fontId="4" fillId="21" borderId="0" applyAlignment="1" pivotButton="0" quotePrefix="0" xfId="0">
      <alignment vertical="top" wrapText="1"/>
    </xf>
    <xf numFmtId="1" fontId="0" fillId="21" borderId="0" applyAlignment="1" pivotButton="0" quotePrefix="0" xfId="0">
      <alignment vertical="top" wrapText="1"/>
    </xf>
    <xf numFmtId="1" fontId="2" fillId="21" borderId="0" applyAlignment="1" pivotButton="0" quotePrefix="0" xfId="0">
      <alignment horizontal="center" vertical="top" wrapText="1"/>
    </xf>
    <xf numFmtId="1" fontId="0" fillId="21" borderId="0" applyAlignment="1" pivotButton="0" quotePrefix="0" xfId="0">
      <alignment wrapText="1"/>
    </xf>
    <xf numFmtId="1" fontId="2" fillId="21" borderId="0" applyAlignment="1" pivotButton="0" quotePrefix="0" xfId="0">
      <alignment horizontal="center" vertical="center" wrapText="1"/>
    </xf>
    <xf numFmtId="1" fontId="0" fillId="21" borderId="47" applyAlignment="1" pivotButton="0" quotePrefix="0" xfId="0">
      <alignment wrapText="1"/>
    </xf>
    <xf numFmtId="1" fontId="0" fillId="21" borderId="48" applyAlignment="1" pivotButton="0" quotePrefix="0" xfId="0">
      <alignment wrapText="1"/>
    </xf>
    <xf numFmtId="0" fontId="7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wrapText="1"/>
    </xf>
    <xf numFmtId="0" fontId="2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wrapText="1"/>
    </xf>
    <xf numFmtId="2" fontId="0" fillId="6" borderId="0" applyAlignment="1" pivotButton="0" quotePrefix="0" xfId="0">
      <alignment wrapText="1"/>
    </xf>
    <xf numFmtId="2" fontId="2" fillId="6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1" fontId="4" fillId="6" borderId="0" applyAlignment="1" pivotButton="0" quotePrefix="0" xfId="0">
      <alignment vertical="top" wrapText="1"/>
    </xf>
    <xf numFmtId="1" fontId="0" fillId="6" borderId="0" applyAlignment="1" pivotButton="0" quotePrefix="0" xfId="0">
      <alignment vertical="top" wrapText="1"/>
    </xf>
    <xf numFmtId="1" fontId="2" fillId="6" borderId="0" applyAlignment="1" pivotButton="0" quotePrefix="0" xfId="0">
      <alignment horizontal="center" vertical="top" wrapText="1"/>
    </xf>
    <xf numFmtId="1" fontId="0" fillId="6" borderId="0" applyAlignment="1" pivotButton="0" quotePrefix="0" xfId="0">
      <alignment wrapText="1"/>
    </xf>
    <xf numFmtId="1" fontId="2" fillId="6" borderId="0" applyAlignment="1" pivotButton="0" quotePrefix="0" xfId="0">
      <alignment horizontal="center" vertical="center" wrapText="1"/>
    </xf>
    <xf numFmtId="1" fontId="0" fillId="6" borderId="0" applyAlignment="1" pivotButton="0" quotePrefix="0" xfId="0">
      <alignment wrapText="1"/>
    </xf>
    <xf numFmtId="164" fontId="4" fillId="5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49" fontId="4" fillId="5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0" fontId="1" fillId="17" borderId="48" applyAlignment="1" pivotButton="0" quotePrefix="0" xfId="0">
      <alignment horizontal="left" vertical="center"/>
    </xf>
    <xf numFmtId="0" fontId="3" fillId="4" borderId="48" applyAlignment="1" pivotButton="0" quotePrefix="0" xfId="0">
      <alignment vertical="center" wrapText="1"/>
    </xf>
    <xf numFmtId="1" fontId="4" fillId="21" borderId="0" applyAlignment="1" pivotButton="0" quotePrefix="0" xfId="0">
      <alignment vertical="top" wrapText="1"/>
    </xf>
    <xf numFmtId="1" fontId="0" fillId="21" borderId="0" applyAlignment="1" pivotButton="0" quotePrefix="0" xfId="0">
      <alignment vertical="top" wrapText="1"/>
    </xf>
    <xf numFmtId="1" fontId="2" fillId="21" borderId="0" applyAlignment="1" pivotButton="0" quotePrefix="0" xfId="0">
      <alignment horizontal="center" vertical="top" wrapText="1"/>
    </xf>
    <xf numFmtId="2" fontId="4" fillId="21" borderId="0" applyAlignment="1" pivotButton="0" quotePrefix="0" xfId="0">
      <alignment vertical="top" wrapText="1"/>
    </xf>
    <xf numFmtId="2" fontId="0" fillId="21" borderId="0" applyAlignment="1" pivotButton="0" quotePrefix="0" xfId="0">
      <alignment wrapText="1"/>
    </xf>
    <xf numFmtId="2" fontId="2" fillId="21" borderId="0" applyAlignment="1" pivotButton="0" quotePrefix="0" xfId="0">
      <alignment horizontal="center" vertical="center" wrapText="1"/>
    </xf>
    <xf numFmtId="1" fontId="0" fillId="21" borderId="0" applyAlignment="1" pivotButton="0" quotePrefix="0" xfId="0">
      <alignment wrapText="1"/>
    </xf>
    <xf numFmtId="1" fontId="0" fillId="21" borderId="47" applyAlignment="1" pivotButton="0" quotePrefix="0" xfId="0">
      <alignment wrapText="1"/>
    </xf>
    <xf numFmtId="1" fontId="0" fillId="21" borderId="48" applyAlignment="1" pivotButton="0" quotePrefix="0" xfId="0">
      <alignment wrapText="1"/>
    </xf>
    <xf numFmtId="0" fontId="5" fillId="0" borderId="48" applyAlignment="1" pivotButton="0" quotePrefix="0" xfId="0">
      <alignment vertical="top" wrapText="1"/>
    </xf>
    <xf numFmtId="0" fontId="5" fillId="0" borderId="48" applyAlignment="1" pivotButton="0" quotePrefix="0" xfId="0">
      <alignment wrapText="1"/>
    </xf>
    <xf numFmtId="49" fontId="4" fillId="5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64" fontId="0" fillId="0" borderId="0" pivotButton="0" quotePrefix="0" xfId="0"/>
    <xf numFmtId="0" fontId="8" fillId="13" borderId="48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8" fillId="18" borderId="48" applyAlignment="1" pivotButton="0" quotePrefix="0" xfId="0">
      <alignment wrapText="1"/>
    </xf>
    <xf numFmtId="0" fontId="11" fillId="22" borderId="48" applyAlignment="1" pivotButton="0" quotePrefix="0" xfId="0">
      <alignment horizontal="center" vertical="center"/>
    </xf>
    <xf numFmtId="0" fontId="0" fillId="23" borderId="48" applyAlignment="1" pivotButton="0" quotePrefix="0" xfId="0">
      <alignment vertical="top" wrapText="1"/>
    </xf>
    <xf numFmtId="0" fontId="12" fillId="22" borderId="49" applyAlignment="1" pivotButton="0" quotePrefix="0" xfId="0">
      <alignment horizontal="center" vertical="center" wrapText="1"/>
    </xf>
    <xf numFmtId="0" fontId="0" fillId="0" borderId="49" applyAlignment="1" pivotButton="0" quotePrefix="0" xfId="0">
      <alignment vertical="top" wrapText="1"/>
    </xf>
    <xf numFmtId="0" fontId="11" fillId="22" borderId="48" applyAlignment="1" pivotButton="0" quotePrefix="0" xfId="0">
      <alignment horizontal="center"/>
    </xf>
  </cellXfs>
  <cellStyles count="1">
    <cellStyle name="Normal" xfId="0"/>
  </cellStyles>
  <dxfs count="38"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ill>
        <patternFill patternType="solid">
          <fgColor rgb="00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Integrity and Feasibility Exceptions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'Dashboard'!$F$4:$F$10</f>
              <strCache>
                <ptCount val="0"/>
              </strCache>
            </strRef>
          </cat>
          <val>
            <numRef>
              <f>'Dashboard'!$G$4:$G$10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2</row>
      <rowOff>0</rowOff>
    </from>
    <to>
      <col>17</col>
      <colOff>0</colOff>
      <row>19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F60ProfileRouting" displayName="AF60ProfileRouting" ref="A3:Q250" headerRowCount="1" totalsRowCount="0" totalsRowShown="0">
  <tableColumns count="17">
    <tableColumn id="1" name="Routing_ID"/>
    <tableColumn id="2" name="Candidate_ID"/>
    <tableColumn id="3" name="Declared_Scope"/>
    <tableColumn id="4" name="Stakes"/>
    <tableColumn id="5" name="Rights_Impact"/>
    <tableColumn id="6" name="Irreversibility"/>
    <tableColumn id="7" name="Population_Scale"/>
    <tableColumn id="8" name="Novelty"/>
    <tableColumn id="9" name="Contestation"/>
    <tableColumn id="10" name="Candidate_Capacity"/>
    <tableColumn id="11" name="Review_Capacity"/>
    <tableColumn id="12" name="Access_Support"/>
    <tableColumn id="13" name="Derived_Profile"/>
    <tableColumn id="14" name="Recorded_Profile"/>
    <tableColumn id="15" name="Routing_Match"/>
    <tableColumn id="16" name="Rationale"/>
    <tableColumn id="17" name="Vocabulary_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F60CandidateRegister" displayName="AF60CandidateRegister" ref="A3:O250" headerRowCount="1" totalsRowCount="0" totalsRowShown="0">
  <tableColumns count="15">
    <tableColumn id="1" name="Candidate_ID"/>
    <tableColumn id="2" name="Candidate_Name"/>
    <tableColumn id="3" name="Version_or_Hash"/>
    <tableColumn id="4" name="Architecture_Family"/>
    <tableColumn id="5" name="Declared_Authority_Claim"/>
    <tableColumn id="6" name="Scope_ID"/>
    <tableColumn id="7" name="Population"/>
    <tableColumn id="8" name="Jurisdiction_or_Community"/>
    <tableColumn id="9" name="Evidence_Cutoff"/>
    <tableColumn id="10" name="Candidate_Contact"/>
    <tableColumn id="11" name="Affected_Party_Liaison"/>
    <tableColumn id="12" name="Access_Needs"/>
    <tableColumn id="13" name="Data_Sovereignty_Constraints"/>
    <tableColumn id="14" name="Profile"/>
    <tableColumn id="15" name="Record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F60StageA" displayName="AF60StageA" ref="A3:AM250" headerRowCount="1" totalsRowCount="0" totalsRowShown="0">
  <tableColumns count="39">
    <tableColumn id="1" name="Review_ID"/>
    <tableColumn id="2" name="Candidate_ID"/>
    <tableColumn id="3" name="Scope_ID"/>
    <tableColumn id="4" name="Profile"/>
    <tableColumn id="5" name="Evidence_Cutoff"/>
    <tableColumn id="6" name="Host_ID"/>
    <tableColumn id="7" name="Independence_Dossier_ID"/>
    <tableColumn id="8" name="Administration_Valid"/>
    <tableColumn id="9" name="Burden_Feasibility"/>
    <tableColumn id="10" name="Protected_Floor_Unresolved"/>
    <tableColumn id="11" name="C0_Inspectability"/>
    <tableColumn id="12" name="C1_Rights"/>
    <tableColumn id="13" name="C2_Auditability"/>
    <tableColumn id="14" name="C3_Measurement"/>
    <tableColumn id="15" name="C4_Corrigibility"/>
    <tableColumn id="16" name="C5_Refusal_Authority"/>
    <tableColumn id="17" name="Derived_Overall_Status"/>
    <tableColumn id="18" name="Recorded_Overall_Status"/>
    <tableColumn id="19" name="Status_Match"/>
    <tableColumn id="20" name="Public_Status_String"/>
    <tableColumn id="21" name="Root_Cause_Map_ID"/>
    <tableColumn id="22" name="Dissent_Refs"/>
    <tableColumn id="23" name="Affected_Party_Refs"/>
    <tableColumn id="24" name="Appeal_Route"/>
    <tableColumn id="25" name="Issued_At"/>
    <tableColumn id="26" name="Expiry_or_Requalification"/>
    <tableColumn id="27" name="Unpatchable_Count"/>
    <tableColumn id="28" name="Patchable_Count"/>
    <tableColumn id="29" name="Indeterminate_Count"/>
    <tableColumn id="30" name="Controlled_Adequacy_Count"/>
    <tableColumn id="31" name="Eligibility_Gate"/>
    <tableColumn id="32" name="Canonical_Status_Token"/>
    <tableColumn id="33" name="Public_String_Check"/>
    <tableColumn id="34" name="Adequate_Count"/>
    <tableColumn id="35" name="Criterion_Value_Check"/>
    <tableColumn id="36" name="Administrative_Disposition"/>
    <tableColumn id="37" name="Protocol_Version"/>
    <tableColumn id="38" name="Constitutional_Legitimacy_Basis"/>
    <tableColumn id="39" name="Administrative_Disposition_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F60VerdictVector" displayName="AF60VerdictVector" ref="A3:M250" headerRowCount="1" totalsRowCount="0" totalsRowShown="0">
  <tableColumns count="13">
    <tableColumn id="1" name="Record_ID"/>
    <tableColumn id="2" name="Candidate_ID"/>
    <tableColumn id="3" name="Component"/>
    <tableColumn id="4" name="Status"/>
    <tableColumn id="5" name="Issuing_Authority"/>
    <tableColumn id="6" name="Authority_Basis"/>
    <tableColumn id="7" name="Scope"/>
    <tableColumn id="8" name="Evidence_Refs"/>
    <tableColumn id="9" name="Issued_At"/>
    <tableColumn id="10" name="Expiry_or_Review"/>
    <tableColumn id="11" name="Conditions"/>
    <tableColumn id="12" name="Appeal_Route"/>
    <tableColumn id="13" name="Inference_Firewall_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F60Independence" displayName="AF60Independence" ref="A3:AA250" headerRowCount="1" totalsRowCount="0" totalsRowShown="0">
  <tableColumns count="27">
    <tableColumn id="1" name="Dossier_ID"/>
    <tableColumn id="2" name="Candidate_ID"/>
    <tableColumn id="3" name="Sponsor_ID"/>
    <tableColumn id="4" name="Host_ID"/>
    <tableColumn id="5" name="Data_Control"/>
    <tableColumn id="6" name="Publication_Control"/>
    <tableColumn id="7" name="Reviewer_Selection_Control"/>
    <tableColumn id="8" name="Protected_Dissent"/>
    <tableColumn id="9" name="Null_Adverse_Publication_Right"/>
    <tableColumn id="10" name="Affected_Party_Representation"/>
    <tableColumn id="11" name="Financial_Interests"/>
    <tableColumn id="12" name="Intellectual_Affiliations"/>
    <tableColumn id="13" name="Conflict_Adjudicator"/>
    <tableColumn id="14" name="Recorded_Status"/>
    <tableColumn id="15" name="Derived_Status"/>
    <tableColumn id="16" name="Status_Match"/>
    <tableColumn id="17" name="Rationale"/>
    <tableColumn id="18" name="Host_Interest_in_Outcome"/>
    <tableColumn id="19" name="Host_Precommitment"/>
    <tableColumn id="20" name="AI_Assistance_Policy"/>
    <tableColumn id="21" name="Reliability_Independence_Boundary"/>
    <tableColumn id="22" name="Scenario_Set_Record_Status"/>
    <tableColumn id="23" name="Shared_Model_Rating_Status"/>
    <tableColumn id="24" name="Vocabulary_Check"/>
    <tableColumn id="25" name="Protected_Reporting_Channel"/>
    <tableColumn id="26" name="Confidentiality_Protection"/>
    <tableColumn id="27" name="Anti_Retaliation_Safeguar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F60Burden" displayName="AF60Burden" ref="A3:AD250" headerRowCount="1" totalsRowCount="0" totalsRowShown="0">
  <tableColumns count="30">
    <tableColumn id="1" name="Record_ID"/>
    <tableColumn id="2" name="Case_ID"/>
    <tableColumn id="3" name="Profile"/>
    <tableColumn id="4" name="Reviewer_Hours_Available"/>
    <tableColumn id="5" name="Reviewer_Hours_Required"/>
    <tableColumn id="6" name="Adjudication_Hours_Available"/>
    <tableColumn id="7" name="Adjudication_Hours_Required"/>
    <tableColumn id="8" name="Calendar_Days_Available"/>
    <tableColumn id="9" name="Calendar_Days_Required"/>
    <tableColumn id="10" name="Qualified_Reviewers"/>
    <tableColumn id="11" name="Minimum_Reviewers"/>
    <tableColumn id="12" name="Access_Support_Required"/>
    <tableColumn id="13" name="Access_Support_Funded"/>
    <tableColumn id="14" name="Access_Support_Delivered"/>
    <tableColumn id="15" name="Unmet_Access_Needs"/>
    <tableColumn id="16" name="Derived_Feasibility"/>
    <tableColumn id="17" name="Recorded_Feasibility"/>
    <tableColumn id="18" name="Status_Match"/>
    <tableColumn id="19" name="Total_Hours"/>
    <tableColumn id="20" name="Direct_Cost"/>
    <tableColumn id="21" name="Uncompensated_Hours"/>
    <tableColumn id="22" name="Reported_Burden_0_10"/>
    <tableColumn id="23" name="Administration_Status"/>
    <tableColumn id="24" name="Burden_Cohort"/>
    <tableColumn id="25" name="Interpretation_or_Translation_Required"/>
    <tableColumn id="26" name="Translation_Funded"/>
    <tableColumn id="27" name="Translation_Delivered"/>
    <tableColumn id="28" name="Evidence_Custody_Adequate"/>
    <tableColumn id="29" name="Governance_Capacity_Adequate"/>
    <tableColumn id="30" name="Vocabulary_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F60DecisionValue" displayName="AF60DecisionValue" ref="A3:T250" headerRowCount="1" totalsRowCount="0" totalsRowShown="0">
  <tableColumns count="20">
    <tableColumn id="1" name="Record_ID"/>
    <tableColumn id="2" name="Case_ID"/>
    <tableColumn id="3" name="Comparator_Arm"/>
    <tableColumn id="4" name="Baseline_Decision"/>
    <tableColumn id="5" name="AF_Decision"/>
    <tableColumn id="6" name="Decision_Changed"/>
    <tableColumn id="7" name="Baseline_Confidence"/>
    <tableColumn id="8" name="AF_Confidence"/>
    <tableColumn id="9" name="Baseline_Time_Hours"/>
    <tableColumn id="10" name="AF_Time_Hours"/>
    <tableColumn id="11" name="Incremental_Time_Hours"/>
    <tableColumn id="12" name="Defects_Discovered"/>
    <tableColumn id="13" name="False_Clearances_Prevented"/>
    <tableColumn id="14" name="False_Rejections_Created"/>
    <tableColumn id="15" name="Uncertainty_Improved"/>
    <tableColumn id="16" name="Affected_Party_Value_0_10"/>
    <tableColumn id="17" name="Net_Value_Assessment"/>
    <tableColumn id="18" name="Adverse_Effects"/>
    <tableColumn id="19" name="Continuation_Decision"/>
    <tableColumn id="20" name="Followup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F60Reliability" displayName="AF60Reliability" ref="A3:AC250" headerRowCount="1" totalsRowCount="0" totalsRowShown="0">
  <tableColumns count="29">
    <tableColumn id="1" name="Study_ID"/>
    <tableColumn id="2" name="Case_ID"/>
    <tableColumn id="3" name="Criterion_or_Outcome"/>
    <tableColumn id="4" name="Reviewer_A"/>
    <tableColumn id="5" name="Reviewer_B"/>
    <tableColumn id="6" name="Reviewer_A_Rating"/>
    <tableColumn id="7" name="Reviewer_B_Rating"/>
    <tableColumn id="8" name="Exact_Agreement"/>
    <tableColumn id="9" name="Within_One_Category"/>
    <tableColumn id="10" name="A_Confidence"/>
    <tableColumn id="11" name="B_Confidence"/>
    <tableColumn id="12" name="Discussion_Changed_A"/>
    <tableColumn id="13" name="Discussion_Changed_B"/>
    <tableColumn id="14" name="Final_Adjudicated"/>
    <tableColumn id="15" name="Architecture_Family"/>
    <tableColumn id="16" name="Language"/>
    <tableColumn id="17" name="Documentation_Intensity"/>
    <tableColumn id="18" name="Notes"/>
    <tableColumn id="19" name="Decision_Layer"/>
    <tableColumn id="20" name="Rating_Deposit_A_ID"/>
    <tableColumn id="21" name="Rating_Deposit_B_ID"/>
    <tableColumn id="22" name="Criterion_Order_A"/>
    <tableColumn id="23" name="Criterion_Order_B"/>
    <tableColumn id="24" name="Global_Impression_A_Pre"/>
    <tableColumn id="25" name="Global_Impression_B_Pre"/>
    <tableColumn id="26" name="AI_Assistance_A"/>
    <tableColumn id="27" name="AI_Assistance_B"/>
    <tableColumn id="28" name="Independent_For_Reliability"/>
    <tableColumn id="29" name="Layer_Agreement_Eligib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F60ScenarioRegister" displayName="AF60ScenarioRegister" ref="A3:M250" headerRowCount="1" totalsRowCount="0" totalsRowShown="0">
  <tableColumns count="13">
    <tableColumn id="1" name="Scenario_Set_ID"/>
    <tableColumn id="2" name="Set_Version"/>
    <tableColumn id="3" name="Scenario_ID"/>
    <tableColumn id="4" name="Domain"/>
    <tableColumn id="5" name="Declared_Function"/>
    <tableColumn id="6" name="Intended_Difficulty"/>
    <tableColumn id="7" name="Architecture_Equivalence_Criteria"/>
    <tableColumn id="8" name="Calibration_Status"/>
    <tableColumn id="9" name="Calibration_Evidence_Refs"/>
    <tableColumn id="10" name="Content_SHA256"/>
    <tableColumn id="11" name="Retired"/>
    <tableColumn id="12" name="Retirement_Reason"/>
    <tableColumn id="13" name="Frozen_At_UTC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F60RatingDeposits" displayName="AF60RatingDeposits" ref="A4:P250" headerRowCount="1" totalsRowCount="0" totalsRowShown="0">
  <tableColumns count="16">
    <tableColumn id="1" name="Deposit_ID"/>
    <tableColumn id="2" name="Study_ID"/>
    <tableColumn id="3" name="Case_ID"/>
    <tableColumn id="4" name="Reviewer_ID"/>
    <tableColumn id="5" name="Decision_Layer"/>
    <tableColumn id="6" name="Target_ID"/>
    <tableColumn id="7" name="Rating_Value"/>
    <tableColumn id="8" name="Confidence"/>
    <tableColumn id="9" name="Submitted_At_UTC"/>
    <tableColumn id="10" name="Content_SHA256"/>
    <tableColumn id="11" name="Signature_or_Audit_Proof"/>
    <tableColumn id="12" name="Repository_or_System"/>
    <tableColumn id="13" name="Immutable_Before_Discussion"/>
    <tableColumn id="14" name="Supersedes_Deposit_ID"/>
    <tableColumn id="15" name="AI_Assistance_Disclosure"/>
    <tableColumn id="16" name="Deposit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F60Codebook" displayName="AF60Codebook" ref="A3:E28" headerRowCount="1" totalsRowCount="0" totalsRowShown="0">
  <tableColumns count="5">
    <tableColumn id="1" name="Domain"/>
    <tableColumn id="2" name="Human-readable value"/>
    <tableColumn id="3" name="Canonical token"/>
    <tableColumn id="4" name="Blank-row rule"/>
    <tableColumn id="5" name="Meaning bound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F60ReliabilityResults" displayName="AF60ReliabilityResults" ref="A4:R250" headerRowCount="1" totalsRowCount="0" totalsRowShown="0">
  <tableColumns count="18">
    <tableColumn id="1" name="Result_ID"/>
    <tableColumn id="2" name="Study_ID"/>
    <tableColumn id="3" name="Decision_Layer"/>
    <tableColumn id="4" name="Target_ID"/>
    <tableColumn id="5" name="Coefficient"/>
    <tableColumn id="6" name="Weighting"/>
    <tableColumn id="7" name="Estimate"/>
    <tableColumn id="8" name="CI_Lower"/>
    <tableColumn id="9" name="CI_Upper"/>
    <tableColumn id="10" name="Confidence_Level_Proportion"/>
    <tableColumn id="11" name="Bootstrap_Replicates"/>
    <tableColumn id="12" name="Eligible_Deposits"/>
    <tableColumn id="13" name="Excluded_Deposits"/>
    <tableColumn id="14" name="Analysis_Script_SHA256"/>
    <tableColumn id="15" name="Software_and_Version"/>
    <tableColumn id="16" name="Generated_At_UTC"/>
    <tableColumn id="17" name="Interval_Check"/>
    <tableColumn id="18" name="Result_Record_Chec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F60StudyReadiness" displayName="AF60StudyReadiness" ref="A3:G250" headerRowCount="1" totalsRowCount="0" totalsRowShown="0">
  <tableColumns count="7">
    <tableColumn id="1" name="Tier"/>
    <tableColumn id="2" name="Minimum_Required_Objects"/>
    <tableColumn id="3" name="Current_AF_v6_0_State"/>
    <tableColumn id="4" name="Evidence_Refs"/>
    <tableColumn id="5" name="Derived_Status"/>
    <tableColumn id="6" name="Recorded_Status"/>
    <tableColumn id="7" name="Status_Matc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AF60PerturbationRegister" displayName="AF60PerturbationRegister" ref="A4:Y250" headerRowCount="1" totalsRowCount="0" totalsRowShown="0">
  <tableColumns count="25">
    <tableColumn id="1" name="Proposal_ID"/>
    <tableColumn id="2" name="Study_ID"/>
    <tableColumn id="3" name="Comparison_ID"/>
    <tableColumn id="4" name="Candidate_ID"/>
    <tableColumn id="5" name="Dimension"/>
    <tableColumn id="6" name="Recorded_Category"/>
    <tableColumn id="7" name="Proposed_Category"/>
    <tableColumn id="8" name="Anchor_Conflict"/>
    <tableColumn id="9" name="Evidence_Ref"/>
    <tableColumn id="10" name="Material_To_Relation"/>
    <tableColumn id="11" name="Proposer_ID"/>
    <tableColumn id="12" name="Proposed_At_UTC"/>
    <tableColumn id="13" name="Second_Reviewer_ID"/>
    <tableColumn id="14" name="Adjudicator_ID"/>
    <tableColumn id="15" name="Admission_Status"/>
    <tableColumn id="16" name="Admission_Reason"/>
    <tableColumn id="17" name="Dependence_Group_ID"/>
    <tableColumn id="18" name="Reversal_Capable"/>
    <tableColumn id="19" name="Base_Relation"/>
    <tableColumn id="20" name="Perturbed_Relation"/>
    <tableColumn id="21" name="Relation_Changed"/>
    <tableColumn id="22" name="Appeal_Status"/>
    <tableColumn id="23" name="Final_Record_Status"/>
    <tableColumn id="24" name="Duplicate_or_Strategic_Flag"/>
    <tableColumn id="25" name="C2_D05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style="215" min="1" max="1"/>
    <col width="90" customWidth="1" style="215" min="2" max="2"/>
  </cols>
  <sheetData>
    <row r="1" ht="28" customHeight="1" s="215">
      <c r="A1" s="536" t="inlineStr">
        <is>
          <t>Auditable Flourishing v6.2 External Pilot Aggregation Workbook</t>
        </is>
      </c>
      <c r="B1" s="442" t="n"/>
      <c r="C1" s="442" t="n"/>
      <c r="D1" s="442" t="n"/>
      <c r="E1" s="442" t="n"/>
      <c r="F1" s="442" t="n"/>
      <c r="G1" s="442" t="n"/>
      <c r="H1" s="442" t="n"/>
    </row>
    <row r="2"/>
    <row r="3" ht="34" customHeight="1" s="215">
      <c r="A3" s="425" t="inlineStr">
        <is>
          <t>Field</t>
        </is>
      </c>
      <c r="B3" s="426" t="inlineStr">
        <is>
          <t>Binding instruction</t>
        </is>
      </c>
    </row>
    <row r="4">
      <c r="A4" s="489" t="inlineStr">
        <is>
          <t>Protocol status</t>
        </is>
      </c>
      <c r="B4" s="490" t="inlineStr">
        <is>
          <t>Master specification frozen; publication-integrity and provenance closure complete; Phase 0 design-ready; materials, host, reviewer pool, external reliability, validity, burden, fairness, legitimacy and decision-value evidence remain open.</t>
        </is>
      </c>
    </row>
    <row r="5">
      <c r="A5" s="489" t="inlineStr">
        <is>
          <t>Purpose</t>
        </is>
      </c>
      <c r="B5" s="490" t="inlineStr">
        <is>
          <t>Prospective aggregation after source records are captured in independently controlled, timestamped and hash-bound systems.</t>
        </is>
      </c>
    </row>
    <row r="6">
      <c r="A6" s="489" t="inlineStr">
        <is>
          <t>Not authorized</t>
        </is>
      </c>
      <c r="B6" s="490" t="inlineStr">
        <is>
          <t>This workbook is not an immutable deposit system, certification instrument, legal opinion, flourishing measure, due-diligence safe harbor, foreseeability finding or deployment authorization.</t>
        </is>
      </c>
    </row>
    <row r="7">
      <c r="A7" s="489" t="inlineStr">
        <is>
          <t>Positive Stage A label</t>
        </is>
      </c>
      <c r="B7" s="490" t="inlineStr">
        <is>
          <t>Use exact bounded status, canonical token, candidate, scope, evidence cut-off, protocol version, CL basis, host, conditions, expiry, dissent and appeal route.</t>
        </is>
      </c>
    </row>
    <row r="8">
      <c r="A8" s="489" t="inlineStr">
        <is>
          <t>Non-compensation</t>
        </is>
      </c>
      <c r="B8" s="490" t="inlineStr">
        <is>
          <t>A material C0-C5 defect cannot be offset by strength elsewhere.</t>
        </is>
      </c>
    </row>
    <row r="9">
      <c r="A9" s="489" t="inlineStr">
        <is>
          <t>Burden gate</t>
        </is>
      </c>
      <c r="B9" s="490" t="inlineStr">
        <is>
          <t>Feasibility is conjunctive across numeric validity, reviewer and adjudication hours, calendar, reviewer count, access, translation, custody and governance.</t>
        </is>
      </c>
    </row>
    <row r="10">
      <c r="A10" s="489" t="inlineStr">
        <is>
          <t>Independence</t>
        </is>
      </c>
      <c r="B10" s="490" t="inlineStr">
        <is>
          <t>Unknown control values route to Indeterminate; recognized capture, missing reporting protection, undisclosed model rating or publication veto routes to Inadequate.</t>
        </is>
      </c>
    </row>
    <row r="11">
      <c r="A11" s="489" t="inlineStr">
        <is>
          <t>Public claims</t>
        </is>
      </c>
      <c r="B11" s="490" t="inlineStr">
        <is>
          <t>Never export bare Pass, Approved, Certified, Safe, Ethical, Legitimate, Compliant, Due-Diligence, Foreseeable/Unforeseeable or Authorized labels.</t>
        </is>
      </c>
    </row>
    <row r="12">
      <c r="A12" s="489" t="inlineStr">
        <is>
          <t>Evidence</t>
        </is>
      </c>
      <c r="B12" s="490" t="inlineStr">
        <is>
          <t>Documentary and non-documentary evidence requires provenance, consent, custody, translation, challengeability, compensation, sovereignty and withdrawal conditions.</t>
        </is>
      </c>
    </row>
    <row r="13">
      <c r="A13" s="496" t="inlineStr">
        <is>
          <t>Reliability</t>
        </is>
      </c>
      <c r="B13" s="435" t="inlineStr">
        <is>
          <t>Raw agreement is descriptive. Versioned external scripts compute AC1/AC2, alpha, intervals, exclusions and sensitivity analyses; negative adverse results are permitted.</t>
        </is>
      </c>
    </row>
    <row r="14">
      <c r="A14" s="537" t="inlineStr">
        <is>
          <t>Configured data capacity</t>
        </is>
      </c>
      <c r="B14" s="442" t="n"/>
      <c r="C14" s="442" t="n"/>
      <c r="D14" s="442" t="n"/>
      <c r="E14" s="442" t="n"/>
      <c r="F14" s="442" t="n"/>
      <c r="G14" s="442" t="n"/>
      <c r="H14" s="442" t="n"/>
    </row>
    <row r="15" ht="34" customHeight="1" s="215">
      <c r="A15" s="425" t="inlineStr">
        <is>
          <t>Workbook sequence</t>
        </is>
      </c>
      <c r="B15" s="426" t="n"/>
    </row>
    <row r="16">
      <c r="A16" s="496" t="inlineStr">
        <is>
          <t>1</t>
        </is>
      </c>
      <c r="B16" s="435" t="inlineStr">
        <is>
          <t>Vocabulary - controlling lists, protocol version and constitutional-legitimacy basis.</t>
        </is>
      </c>
    </row>
    <row r="17">
      <c r="A17" s="496" t="inlineStr">
        <is>
          <t>2</t>
        </is>
      </c>
      <c r="B17" s="435" t="inlineStr">
        <is>
          <t>Profile_Routing - incomplete or unrecognized routes remain undetermined; no downward default.</t>
        </is>
      </c>
    </row>
    <row r="18">
      <c r="A18" s="496" t="inlineStr">
        <is>
          <t>3</t>
        </is>
      </c>
      <c r="B18" s="435" t="inlineStr">
        <is>
          <t>Candidate_Register - bind candidate, version, scope, authority claim, access and evidence cut-off.</t>
        </is>
      </c>
    </row>
    <row r="19">
      <c r="A19" s="496" t="inlineStr">
        <is>
          <t>4</t>
        </is>
      </c>
      <c r="B19" s="435" t="inlineStr">
        <is>
          <t>Study_Readiness - distinguish design-ready, materials-ready, shadow-ready, pilot-ready and replication-ready.</t>
        </is>
      </c>
    </row>
    <row r="20">
      <c r="A20" s="496" t="inlineStr">
        <is>
          <t>5</t>
        </is>
      </c>
      <c r="B20" s="435" t="inlineStr">
        <is>
          <t>Scenario_Register - bind frozen scenario-set version, equivalence criteria, calibration, access and hash.</t>
        </is>
      </c>
    </row>
    <row r="21">
      <c r="A21" s="496" t="inlineStr">
        <is>
          <t>6</t>
        </is>
      </c>
      <c r="B21" s="435" t="inlineStr">
        <is>
          <t>Stage_A - six recognized criterion states are required. Refusal prerequisites route first; established unpatchable defects control over patchable defects; established patchable defects control over unresolved criterion evidence; only then can indeterminate or admissible outcomes be assigned.</t>
        </is>
      </c>
    </row>
    <row r="22">
      <c r="A22" s="496" t="inlineStr">
        <is>
          <t>7</t>
        </is>
      </c>
      <c r="B22" s="435" t="inlineStr">
        <is>
          <t>Stage_A - only six recognized adequate/control-dependent findings can support admissibility; administrative statuses have an explicit derived route.</t>
        </is>
      </c>
    </row>
    <row r="23">
      <c r="A23" s="496" t="inlineStr">
        <is>
          <t>8</t>
        </is>
      </c>
      <c r="B23" s="435" t="inlineStr">
        <is>
          <t>Verdict_Vector - separate AF eligibility from legal, moral, community and deployment findings.</t>
        </is>
      </c>
    </row>
    <row r="24">
      <c r="A24" s="496" t="inlineStr">
        <is>
          <t>9</t>
        </is>
      </c>
      <c r="B24" s="435" t="inlineStr">
        <is>
          <t>Independence - use positive whitelists, protected reporting and anti-retaliation controls.</t>
        </is>
      </c>
    </row>
    <row r="25">
      <c r="A25" s="496" t="inlineStr">
        <is>
          <t>10</t>
        </is>
      </c>
      <c r="B25" s="435" t="inlineStr">
        <is>
          <t>Perturbation_Register - proposals require evidence and independent admission before replay.</t>
        </is>
      </c>
    </row>
    <row r="26">
      <c r="A26" s="496" t="inlineStr">
        <is>
          <t>11</t>
        </is>
      </c>
      <c r="B26" s="435" t="inlineStr">
        <is>
          <t>Burden_Log - test access, translation, custody, governance and capacity conjunctively.</t>
        </is>
      </c>
    </row>
    <row r="27">
      <c r="A27" s="496" t="inlineStr">
        <is>
          <t>12</t>
        </is>
      </c>
      <c r="B27" s="435" t="inlineStr">
        <is>
          <t>Decision_Value - retain positive, null and adverse results.</t>
        </is>
      </c>
    </row>
    <row r="28">
      <c r="A28" s="496" t="inlineStr">
        <is>
          <t>13</t>
        </is>
      </c>
      <c r="B28" s="435" t="inlineStr">
        <is>
          <t>Reliability - retain layer-separated immutable rating-pair records.</t>
        </is>
      </c>
    </row>
    <row r="29">
      <c r="A29" s="500" t="inlineStr">
        <is>
          <t>14</t>
        </is>
      </c>
      <c r="B29" s="469" t="inlineStr">
        <is>
          <t>Reliability_Results - import external coefficients, negative results and valid intervals.</t>
        </is>
      </c>
    </row>
    <row r="30">
      <c r="A30" t="inlineStr">
        <is>
          <t>15</t>
        </is>
      </c>
      <c r="B30" t="inlineStr">
        <is>
          <t>Dashboard - descriptive aggregation only; it never overrides floors, appeals or separate authority.</t>
        </is>
      </c>
    </row>
    <row r="31" ht="48" customHeight="1" s="215">
      <c r="A31" s="303" t="inlineStr">
        <is>
          <t>Canonical registry</t>
        </is>
      </c>
      <c r="B31" s="303" t="inlineStr">
        <is>
          <t>The Core Protocol controls. release/AF_CANONICAL_REGISTRY_v6_2.json binds release version, stable component IDs, Stage A precedence, AF-SB12, and artifact authority; the workbook cannot override it.</t>
        </is>
      </c>
    </row>
  </sheetData>
  <mergeCells count="2">
    <mergeCell ref="A14:H1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cols>
    <col width="16" customWidth="1" style="215" min="1" max="1"/>
    <col width="18" customWidth="1" style="215" min="2" max="2"/>
    <col width="34" customWidth="1" style="215" min="3" max="3"/>
    <col width="16" customWidth="1" style="215" min="4" max="4"/>
    <col width="23" customWidth="1" style="215" min="5" max="5"/>
    <col width="21" customWidth="1" style="215" min="6" max="6"/>
    <col width="26" customWidth="1" style="215" min="7" max="7"/>
    <col width="18" customWidth="1" style="215" min="8" max="8"/>
    <col width="28" customWidth="1" style="215" min="9" max="9"/>
    <col width="18" customWidth="1" style="215" min="10" max="10"/>
    <col width="18" customWidth="1" style="215" min="11" max="11"/>
    <col width="16" customWidth="1" style="215" min="12" max="12"/>
    <col width="22" customWidth="1" style="215" min="13" max="13"/>
    <col width="22" customWidth="1" style="215" min="14" max="14"/>
    <col width="14" customWidth="1" style="215" min="15" max="15"/>
    <col width="42" customWidth="1" style="215" min="16" max="16"/>
    <col width="28" customWidth="1" style="215" min="17" max="17"/>
  </cols>
  <sheetData>
    <row r="1" ht="28" customHeight="1" s="215">
      <c r="A1" s="536" t="inlineStr">
        <is>
          <t>AF v6.2 Profile Routing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</row>
    <row r="2"/>
    <row r="3" ht="34" customHeight="1" s="215">
      <c r="A3" s="421" t="inlineStr">
        <is>
          <t>Routing_ID</t>
        </is>
      </c>
      <c r="B3" s="421" t="inlineStr">
        <is>
          <t>Candidate_ID</t>
        </is>
      </c>
      <c r="C3" s="421" t="inlineStr">
        <is>
          <t>Declared_Scope</t>
        </is>
      </c>
      <c r="D3" s="421" t="inlineStr">
        <is>
          <t>Stakes</t>
        </is>
      </c>
      <c r="E3" s="421" t="inlineStr">
        <is>
          <t>Rights_Impact</t>
        </is>
      </c>
      <c r="F3" s="421" t="inlineStr">
        <is>
          <t>Irreversibility</t>
        </is>
      </c>
      <c r="G3" s="421" t="inlineStr">
        <is>
          <t>Population_Scale</t>
        </is>
      </c>
      <c r="H3" s="421" t="inlineStr">
        <is>
          <t>Novelty</t>
        </is>
      </c>
      <c r="I3" s="421" t="inlineStr">
        <is>
          <t>Contestation</t>
        </is>
      </c>
      <c r="J3" s="421" t="inlineStr">
        <is>
          <t>Candidate_Capacity</t>
        </is>
      </c>
      <c r="K3" s="421" t="inlineStr">
        <is>
          <t>Review_Capacity</t>
        </is>
      </c>
      <c r="L3" s="421" t="inlineStr">
        <is>
          <t>Access_Support</t>
        </is>
      </c>
      <c r="M3" s="421" t="inlineStr">
        <is>
          <t>Derived_Profile</t>
        </is>
      </c>
      <c r="N3" s="421" t="inlineStr">
        <is>
          <t>Recorded_Profile</t>
        </is>
      </c>
      <c r="O3" s="421" t="inlineStr">
        <is>
          <t>Routing_Match</t>
        </is>
      </c>
      <c r="P3" s="421" t="inlineStr">
        <is>
          <t>Rationale</t>
        </is>
      </c>
      <c r="Q3" s="421" t="inlineStr">
        <is>
          <t>Vocabulary_Check</t>
        </is>
      </c>
    </row>
    <row r="4">
      <c r="A4" s="81" t="inlineStr">
        <is>
          <t>ROUTE-ILL-001</t>
        </is>
      </c>
      <c r="B4" s="356" t="inlineStr">
        <is>
          <t>SYNTH-CAND-HC</t>
        </is>
      </c>
      <c r="C4" s="356" t="inlineStr">
        <is>
          <t>National benefits eligibility architecture</t>
        </is>
      </c>
      <c r="D4" s="356" t="inlineStr">
        <is>
          <t>High</t>
        </is>
      </c>
      <c r="E4" s="356" t="inlineStr">
        <is>
          <t>Fundamental or uncertain</t>
        </is>
      </c>
      <c r="F4" s="356" t="inlineStr">
        <is>
          <t>Difficult to reverse</t>
        </is>
      </c>
      <c r="G4" s="356" t="inlineStr">
        <is>
          <t>National/transnational/ecological</t>
        </is>
      </c>
      <c r="H4" s="356" t="inlineStr">
        <is>
          <t>Novel</t>
        </is>
      </c>
      <c r="I4" s="356" t="inlineStr">
        <is>
          <t>Affected-party dispute or unknown</t>
        </is>
      </c>
      <c r="J4" s="356" t="inlineStr">
        <is>
          <t>Constrained</t>
        </is>
      </c>
      <c r="K4" s="356" t="inlineStr">
        <is>
          <t>Adequate</t>
        </is>
      </c>
      <c r="L4" s="356" t="inlineStr">
        <is>
          <t>Yes</t>
        </is>
      </c>
      <c r="M4" s="302">
        <f>IF(COUNTA(A4:L4)=0,"",IF(OR(LEN(TRIM(B4))=0,LEN(TRIM(C4))=0,LEN(TRIM(D4))=0,LEN(TRIM(E4))=0,LEN(TRIM(F4))=0,LEN(TRIM(G4))=0,LEN(TRIM(H4))=0,LEN(TRIM(I4))=0,LEN(TRIM(J4))=0,LEN(TRIM(K4))=0,LEN(TRIM(L4))=0),"Undetermined - incomplete routing",IF(Q4&lt;&gt;"OK","Undetermined - unrecognized routing value",IF(OR(D4="High",D4="Catastrophic/systemic",E4="Material",E4="Fundamental or uncertain",F4="Difficult to reverse",F4="Irreversible or unknown",G4="National/transnational/ecological",H4="Frontier or unknown",I4="Affected-party dispute or unknown"),"AF-High-Consequence",IF(OR(D4="Moderate",E4="Limited reversible",F4="Partly reversible",G4="Regional/sectoral",H4="Novel",I4="High"),"AF-Standard","AF-Lite")))))</f>
        <v/>
      </c>
      <c r="N4" s="356" t="inlineStr">
        <is>
          <t>AF-High-Consequence</t>
        </is>
      </c>
      <c r="O4" s="302">
        <f>IF(AND(M4="",N4=""),"",IF(AND(M4&lt;&gt;"",N4=""),"UNRECORDED",IF(AND(M4="",N4&lt;&gt;""),"ORPHAN_RECORDED",IF(M4=N4,"MATCH","MISMATCH"))))</f>
        <v/>
      </c>
      <c r="P4" s="103" t="inlineStr">
        <is>
          <t>Illustrative high-consequence route; constrained resources trigger support, not a lower standard.</t>
        </is>
      </c>
      <c r="Q4" s="303">
        <f>IF(COUNTA(A4:L4)=0,"",IF(AND(COUNTIF(Vocabulary!$C$5:$C$8,D4)=1,COUNTIF(Vocabulary!$D$5:$D$8,E4)=1,COUNTIF(Vocabulary!$E$5:$E$8,F4)=1,COUNTIF(Vocabulary!$F$5:$F$8,G4)=1,COUNTIF(Vocabulary!$G$5:$G$8,H4)=1,COUNTIF(Vocabulary!$H$5:$H$8,I4)=1,COUNTIF(Vocabulary!$I$5:$I$7,J4)=1,COUNTIF(Vocabulary!$I$5:$I$7,K4)=1,COUNTIF(Vocabulary!$J$5:$J$6,L4)=1),"OK","UNRECOGNISED_ROUTING_VALUE"))</f>
        <v/>
      </c>
    </row>
    <row r="5">
      <c r="A5" s="81" t="inlineStr">
        <is>
          <t>ROUTE-ILL-002</t>
        </is>
      </c>
      <c r="B5" s="356" t="inlineStr">
        <is>
          <t>SYNTH-CAND-LITE</t>
        </is>
      </c>
      <c r="C5" s="356" t="inlineStr">
        <is>
          <t>Local reversible advisory workshop</t>
        </is>
      </c>
      <c r="D5" s="356" t="inlineStr">
        <is>
          <t>Low</t>
        </is>
      </c>
      <c r="E5" s="356" t="inlineStr">
        <is>
          <t>None identified</t>
        </is>
      </c>
      <c r="F5" s="356" t="inlineStr">
        <is>
          <t>Reversible</t>
        </is>
      </c>
      <c r="G5" s="356" t="inlineStr">
        <is>
          <t>Local/small</t>
        </is>
      </c>
      <c r="H5" s="356" t="inlineStr">
        <is>
          <t>Routine</t>
        </is>
      </c>
      <c r="I5" s="356" t="inlineStr">
        <is>
          <t>Low</t>
        </is>
      </c>
      <c r="J5" s="356" t="inlineStr">
        <is>
          <t>Adequate</t>
        </is>
      </c>
      <c r="K5" s="356" t="inlineStr">
        <is>
          <t>Adequate</t>
        </is>
      </c>
      <c r="L5" s="356" t="inlineStr">
        <is>
          <t>No</t>
        </is>
      </c>
      <c r="M5" s="302">
        <f>IF(COUNTA(A5:L5)=0,"",IF(OR(LEN(TRIM(B5))=0,LEN(TRIM(C5))=0,LEN(TRIM(D5))=0,LEN(TRIM(E5))=0,LEN(TRIM(F5))=0,LEN(TRIM(G5))=0,LEN(TRIM(H5))=0,LEN(TRIM(I5))=0,LEN(TRIM(J5))=0,LEN(TRIM(K5))=0,LEN(TRIM(L5))=0),"Undetermined - incomplete routing",IF(Q5&lt;&gt;"OK","Undetermined - unrecognized routing value",IF(OR(D5="High",D5="Catastrophic/systemic",E5="Material",E5="Fundamental or uncertain",F5="Difficult to reverse",F5="Irreversible or unknown",G5="National/transnational/ecological",H5="Frontier or unknown",I5="Affected-party dispute or unknown"),"AF-High-Consequence",IF(OR(D5="Moderate",E5="Limited reversible",F5="Partly reversible",G5="Regional/sectoral",H5="Novel",I5="High"),"AF-Standard","AF-Lite")))))</f>
        <v/>
      </c>
      <c r="N5" s="356" t="inlineStr">
        <is>
          <t>AF-Lite</t>
        </is>
      </c>
      <c r="O5" s="302">
        <f>IF(AND(M5="",N5=""),"",IF(AND(M5&lt;&gt;"",N5=""),"UNRECORDED",IF(AND(M5="",N5&lt;&gt;""),"ORPHAN_RECORDED",IF(M5=N5,"MATCH","MISMATCH"))))</f>
        <v/>
      </c>
      <c r="P5" s="103" t="inlineStr">
        <is>
          <t>Illustrative low-stakes route.</t>
        </is>
      </c>
      <c r="Q5" s="303">
        <f>IF(COUNTA(A5:L5)=0,"",IF(AND(COUNTIF(Vocabulary!$C$5:$C$8,D5)=1,COUNTIF(Vocabulary!$D$5:$D$8,E5)=1,COUNTIF(Vocabulary!$E$5:$E$8,F5)=1,COUNTIF(Vocabulary!$F$5:$F$8,G5)=1,COUNTIF(Vocabulary!$G$5:$G$8,H5)=1,COUNTIF(Vocabulary!$H$5:$H$8,I5)=1,COUNTIF(Vocabulary!$I$5:$I$7,J5)=1,COUNTIF(Vocabulary!$I$5:$I$7,K5)=1,COUNTIF(Vocabulary!$J$5:$J$6,L5)=1),"OK","UNRECOGNISED_ROUTING_VALUE"))</f>
        <v/>
      </c>
    </row>
    <row r="6">
      <c r="A6" s="81" t="n"/>
      <c r="B6" s="356" t="n"/>
      <c r="C6" s="356" t="n"/>
      <c r="D6" s="356" t="n"/>
      <c r="E6" s="356" t="n"/>
      <c r="F6" s="356" t="n"/>
      <c r="G6" s="356" t="n"/>
      <c r="H6" s="356" t="n"/>
      <c r="I6" s="356" t="n"/>
      <c r="J6" s="356" t="n"/>
      <c r="K6" s="356" t="n"/>
      <c r="L6" s="356" t="n"/>
      <c r="M6" s="302">
        <f>IF(COUNTA(A6:L6)=0,"",IF(OR(LEN(TRIM(B6))=0,LEN(TRIM(C6))=0,LEN(TRIM(D6))=0,LEN(TRIM(E6))=0,LEN(TRIM(F6))=0,LEN(TRIM(G6))=0,LEN(TRIM(H6))=0,LEN(TRIM(I6))=0,LEN(TRIM(J6))=0,LEN(TRIM(K6))=0,LEN(TRIM(L6))=0),"Undetermined - incomplete routing",IF(Q6&lt;&gt;"OK","Undetermined - unrecognized routing value",IF(OR(D6="High",D6="Catastrophic/systemic",E6="Material",E6="Fundamental or uncertain",F6="Difficult to reverse",F6="Irreversible or unknown",G6="National/transnational/ecological",H6="Frontier or unknown",I6="Affected-party dispute or unknown"),"AF-High-Consequence",IF(OR(D6="Moderate",E6="Limited reversible",F6="Partly reversible",G6="Regional/sectoral",H6="Novel",I6="High"),"AF-Standard","AF-Lite")))))</f>
        <v/>
      </c>
      <c r="N6" s="356" t="n"/>
      <c r="O6" s="302">
        <f>IF(AND(M6="",N6=""),"",IF(AND(M6&lt;&gt;"",N6=""),"UNRECORDED",IF(AND(M6="",N6&lt;&gt;""),"ORPHAN_RECORDED",IF(M6=N6,"MATCH","MISMATCH"))))</f>
        <v/>
      </c>
      <c r="P6" s="103" t="n"/>
      <c r="Q6" s="303">
        <f>IF(COUNTA(A6:L6)=0,"",IF(AND(COUNTIF(Vocabulary!$C$5:$C$8,D6)=1,COUNTIF(Vocabulary!$D$5:$D$8,E6)=1,COUNTIF(Vocabulary!$E$5:$E$8,F6)=1,COUNTIF(Vocabulary!$F$5:$F$8,G6)=1,COUNTIF(Vocabulary!$G$5:$G$8,H6)=1,COUNTIF(Vocabulary!$H$5:$H$8,I6)=1,COUNTIF(Vocabulary!$I$5:$I$7,J6)=1,COUNTIF(Vocabulary!$I$5:$I$7,K6)=1,COUNTIF(Vocabulary!$J$5:$J$6,L6)=1),"OK","UNRECOGNISED_ROUTING_VALUE"))</f>
        <v/>
      </c>
    </row>
    <row r="7">
      <c r="A7" s="81" t="n"/>
      <c r="B7" s="356" t="n"/>
      <c r="C7" s="356" t="n"/>
      <c r="D7" s="356" t="n"/>
      <c r="E7" s="356" t="n"/>
      <c r="F7" s="356" t="n"/>
      <c r="G7" s="356" t="n"/>
      <c r="H7" s="356" t="n"/>
      <c r="I7" s="356" t="n"/>
      <c r="J7" s="356" t="n"/>
      <c r="K7" s="356" t="n"/>
      <c r="L7" s="356" t="n"/>
      <c r="M7" s="302">
        <f>IF(COUNTA(A7:L7)=0,"",IF(OR(LEN(TRIM(B7))=0,LEN(TRIM(C7))=0,LEN(TRIM(D7))=0,LEN(TRIM(E7))=0,LEN(TRIM(F7))=0,LEN(TRIM(G7))=0,LEN(TRIM(H7))=0,LEN(TRIM(I7))=0,LEN(TRIM(J7))=0,LEN(TRIM(K7))=0,LEN(TRIM(L7))=0),"Undetermined - incomplete routing",IF(Q7&lt;&gt;"OK","Undetermined - unrecognized routing value",IF(OR(D7="High",D7="Catastrophic/systemic",E7="Material",E7="Fundamental or uncertain",F7="Difficult to reverse",F7="Irreversible or unknown",G7="National/transnational/ecological",H7="Frontier or unknown",I7="Affected-party dispute or unknown"),"AF-High-Consequence",IF(OR(D7="Moderate",E7="Limited reversible",F7="Partly reversible",G7="Regional/sectoral",H7="Novel",I7="High"),"AF-Standard","AF-Lite")))))</f>
        <v/>
      </c>
      <c r="N7" s="356" t="n"/>
      <c r="O7" s="302">
        <f>IF(AND(M7="",N7=""),"",IF(AND(M7&lt;&gt;"",N7=""),"UNRECORDED",IF(AND(M7="",N7&lt;&gt;""),"ORPHAN_RECORDED",IF(M7=N7,"MATCH","MISMATCH"))))</f>
        <v/>
      </c>
      <c r="P7" s="103" t="n"/>
      <c r="Q7" s="303">
        <f>IF(COUNTA(A7:L7)=0,"",IF(AND(COUNTIF(Vocabulary!$C$5:$C$8,D7)=1,COUNTIF(Vocabulary!$D$5:$D$8,E7)=1,COUNTIF(Vocabulary!$E$5:$E$8,F7)=1,COUNTIF(Vocabulary!$F$5:$F$8,G7)=1,COUNTIF(Vocabulary!$G$5:$G$8,H7)=1,COUNTIF(Vocabulary!$H$5:$H$8,I7)=1,COUNTIF(Vocabulary!$I$5:$I$7,J7)=1,COUNTIF(Vocabulary!$I$5:$I$7,K7)=1,COUNTIF(Vocabulary!$J$5:$J$6,L7)=1),"OK","UNRECOGNISED_ROUTING_VALUE"))</f>
        <v/>
      </c>
    </row>
    <row r="8">
      <c r="A8" s="81" t="n"/>
      <c r="B8" s="356" t="n"/>
      <c r="C8" s="356" t="n"/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02">
        <f>IF(COUNTA(A8:L8)=0,"",IF(OR(LEN(TRIM(B8))=0,LEN(TRIM(C8))=0,LEN(TRIM(D8))=0,LEN(TRIM(E8))=0,LEN(TRIM(F8))=0,LEN(TRIM(G8))=0,LEN(TRIM(H8))=0,LEN(TRIM(I8))=0,LEN(TRIM(J8))=0,LEN(TRIM(K8))=0,LEN(TRIM(L8))=0),"Undetermined - incomplete routing",IF(Q8&lt;&gt;"OK","Undetermined - unrecognized routing value",IF(OR(D8="High",D8="Catastrophic/systemic",E8="Material",E8="Fundamental or uncertain",F8="Difficult to reverse",F8="Irreversible or unknown",G8="National/transnational/ecological",H8="Frontier or unknown",I8="Affected-party dispute or unknown"),"AF-High-Consequence",IF(OR(D8="Moderate",E8="Limited reversible",F8="Partly reversible",G8="Regional/sectoral",H8="Novel",I8="High"),"AF-Standard","AF-Lite")))))</f>
        <v/>
      </c>
      <c r="N8" s="356" t="n"/>
      <c r="O8" s="302">
        <f>IF(AND(M8="",N8=""),"",IF(AND(M8&lt;&gt;"",N8=""),"UNRECORDED",IF(AND(M8="",N8&lt;&gt;""),"ORPHAN_RECORDED",IF(M8=N8,"MATCH","MISMATCH"))))</f>
        <v/>
      </c>
      <c r="P8" s="103" t="n"/>
      <c r="Q8" s="303">
        <f>IF(COUNTA(A8:L8)=0,"",IF(AND(COUNTIF(Vocabulary!$C$5:$C$8,D8)=1,COUNTIF(Vocabulary!$D$5:$D$8,E8)=1,COUNTIF(Vocabulary!$E$5:$E$8,F8)=1,COUNTIF(Vocabulary!$F$5:$F$8,G8)=1,COUNTIF(Vocabulary!$G$5:$G$8,H8)=1,COUNTIF(Vocabulary!$H$5:$H$8,I8)=1,COUNTIF(Vocabulary!$I$5:$I$7,J8)=1,COUNTIF(Vocabulary!$I$5:$I$7,K8)=1,COUNTIF(Vocabulary!$J$5:$J$6,L8)=1),"OK","UNRECOGNISED_ROUTING_VALUE"))</f>
        <v/>
      </c>
    </row>
    <row r="9">
      <c r="A9" s="81" t="n"/>
      <c r="B9" s="356" t="n"/>
      <c r="C9" s="356" t="n"/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02">
        <f>IF(COUNTA(A9:L9)=0,"",IF(OR(LEN(TRIM(B9))=0,LEN(TRIM(C9))=0,LEN(TRIM(D9))=0,LEN(TRIM(E9))=0,LEN(TRIM(F9))=0,LEN(TRIM(G9))=0,LEN(TRIM(H9))=0,LEN(TRIM(I9))=0,LEN(TRIM(J9))=0,LEN(TRIM(K9))=0,LEN(TRIM(L9))=0),"Undetermined - incomplete routing",IF(Q9&lt;&gt;"OK","Undetermined - unrecognized routing value",IF(OR(D9="High",D9="Catastrophic/systemic",E9="Material",E9="Fundamental or uncertain",F9="Difficult to reverse",F9="Irreversible or unknown",G9="National/transnational/ecological",H9="Frontier or unknown",I9="Affected-party dispute or unknown"),"AF-High-Consequence",IF(OR(D9="Moderate",E9="Limited reversible",F9="Partly reversible",G9="Regional/sectoral",H9="Novel",I9="High"),"AF-Standard","AF-Lite")))))</f>
        <v/>
      </c>
      <c r="N9" s="356" t="n"/>
      <c r="O9" s="302">
        <f>IF(AND(M9="",N9=""),"",IF(AND(M9&lt;&gt;"",N9=""),"UNRECORDED",IF(AND(M9="",N9&lt;&gt;""),"ORPHAN_RECORDED",IF(M9=N9,"MATCH","MISMATCH"))))</f>
        <v/>
      </c>
      <c r="P9" s="103" t="n"/>
      <c r="Q9" s="303">
        <f>IF(COUNTA(A9:L9)=0,"",IF(AND(COUNTIF(Vocabulary!$C$5:$C$8,D9)=1,COUNTIF(Vocabulary!$D$5:$D$8,E9)=1,COUNTIF(Vocabulary!$E$5:$E$8,F9)=1,COUNTIF(Vocabulary!$F$5:$F$8,G9)=1,COUNTIF(Vocabulary!$G$5:$G$8,H9)=1,COUNTIF(Vocabulary!$H$5:$H$8,I9)=1,COUNTIF(Vocabulary!$I$5:$I$7,J9)=1,COUNTIF(Vocabulary!$I$5:$I$7,K9)=1,COUNTIF(Vocabulary!$J$5:$J$6,L9)=1),"OK","UNRECOGNISED_ROUTING_VALUE"))</f>
        <v/>
      </c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02">
        <f>IF(COUNTA(A10:L10)=0,"",IF(OR(LEN(TRIM(B10))=0,LEN(TRIM(C10))=0,LEN(TRIM(D10))=0,LEN(TRIM(E10))=0,LEN(TRIM(F10))=0,LEN(TRIM(G10))=0,LEN(TRIM(H10))=0,LEN(TRIM(I10))=0,LEN(TRIM(J10))=0,LEN(TRIM(K10))=0,LEN(TRIM(L10))=0),"Undetermined - incomplete routing",IF(Q10&lt;&gt;"OK","Undetermined - unrecognized routing value",IF(OR(D10="High",D10="Catastrophic/systemic",E10="Material",E10="Fundamental or uncertain",F10="Difficult to reverse",F10="Irreversible or unknown",G10="National/transnational/ecological",H10="Frontier or unknown",I10="Affected-party dispute or unknown"),"AF-High-Consequence",IF(OR(D10="Moderate",E10="Limited reversible",F10="Partly reversible",G10="Regional/sectoral",H10="Novel",I10="High"),"AF-Standard","AF-Lite")))))</f>
        <v/>
      </c>
      <c r="N10" s="356" t="n"/>
      <c r="O10" s="302">
        <f>IF(AND(M10="",N10=""),"",IF(AND(M10&lt;&gt;"",N10=""),"UNRECORDED",IF(AND(M10="",N10&lt;&gt;""),"ORPHAN_RECORDED",IF(M10=N10,"MATCH","MISMATCH"))))</f>
        <v/>
      </c>
      <c r="P10" s="103" t="n"/>
      <c r="Q10" s="303">
        <f>IF(COUNTA(A10:L10)=0,"",IF(AND(COUNTIF(Vocabulary!$C$5:$C$8,D10)=1,COUNTIF(Vocabulary!$D$5:$D$8,E10)=1,COUNTIF(Vocabulary!$E$5:$E$8,F10)=1,COUNTIF(Vocabulary!$F$5:$F$8,G10)=1,COUNTIF(Vocabulary!$G$5:$G$8,H10)=1,COUNTIF(Vocabulary!$H$5:$H$8,I10)=1,COUNTIF(Vocabulary!$I$5:$I$7,J10)=1,COUNTIF(Vocabulary!$I$5:$I$7,K10)=1,COUNTIF(Vocabulary!$J$5:$J$6,L10)=1),"OK","UNRECOGNISED_ROUTING_VALUE"))</f>
        <v/>
      </c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02">
        <f>IF(COUNTA(A11:L11)=0,"",IF(OR(LEN(TRIM(B11))=0,LEN(TRIM(C11))=0,LEN(TRIM(D11))=0,LEN(TRIM(E11))=0,LEN(TRIM(F11))=0,LEN(TRIM(G11))=0,LEN(TRIM(H11))=0,LEN(TRIM(I11))=0,LEN(TRIM(J11))=0,LEN(TRIM(K11))=0,LEN(TRIM(L11))=0),"Undetermined - incomplete routing",IF(Q11&lt;&gt;"OK","Undetermined - unrecognized routing value",IF(OR(D11="High",D11="Catastrophic/systemic",E11="Material",E11="Fundamental or uncertain",F11="Difficult to reverse",F11="Irreversible or unknown",G11="National/transnational/ecological",H11="Frontier or unknown",I11="Affected-party dispute or unknown"),"AF-High-Consequence",IF(OR(D11="Moderate",E11="Limited reversible",F11="Partly reversible",G11="Regional/sectoral",H11="Novel",I11="High"),"AF-Standard","AF-Lite")))))</f>
        <v/>
      </c>
      <c r="N11" s="356" t="n"/>
      <c r="O11" s="302">
        <f>IF(AND(M11="",N11=""),"",IF(AND(M11&lt;&gt;"",N11=""),"UNRECORDED",IF(AND(M11="",N11&lt;&gt;""),"ORPHAN_RECORDED",IF(M11=N11,"MATCH","MISMATCH"))))</f>
        <v/>
      </c>
      <c r="P11" s="103" t="n"/>
      <c r="Q11" s="303">
        <f>IF(COUNTA(A11:L11)=0,"",IF(AND(COUNTIF(Vocabulary!$C$5:$C$8,D11)=1,COUNTIF(Vocabulary!$D$5:$D$8,E11)=1,COUNTIF(Vocabulary!$E$5:$E$8,F11)=1,COUNTIF(Vocabulary!$F$5:$F$8,G11)=1,COUNTIF(Vocabulary!$G$5:$G$8,H11)=1,COUNTIF(Vocabulary!$H$5:$H$8,I11)=1,COUNTIF(Vocabulary!$I$5:$I$7,J11)=1,COUNTIF(Vocabulary!$I$5:$I$7,K11)=1,COUNTIF(Vocabulary!$J$5:$J$6,L11)=1),"OK","UNRECOGNISED_ROUTING_VALUE"))</f>
        <v/>
      </c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02">
        <f>IF(COUNTA(A12:L12)=0,"",IF(OR(LEN(TRIM(B12))=0,LEN(TRIM(C12))=0,LEN(TRIM(D12))=0,LEN(TRIM(E12))=0,LEN(TRIM(F12))=0,LEN(TRIM(G12))=0,LEN(TRIM(H12))=0,LEN(TRIM(I12))=0,LEN(TRIM(J12))=0,LEN(TRIM(K12))=0,LEN(TRIM(L12))=0),"Undetermined - incomplete routing",IF(Q12&lt;&gt;"OK","Undetermined - unrecognized routing value",IF(OR(D12="High",D12="Catastrophic/systemic",E12="Material",E12="Fundamental or uncertain",F12="Difficult to reverse",F12="Irreversible or unknown",G12="National/transnational/ecological",H12="Frontier or unknown",I12="Affected-party dispute or unknown"),"AF-High-Consequence",IF(OR(D12="Moderate",E12="Limited reversible",F12="Partly reversible",G12="Regional/sectoral",H12="Novel",I12="High"),"AF-Standard","AF-Lite")))))</f>
        <v/>
      </c>
      <c r="N12" s="356" t="n"/>
      <c r="O12" s="302">
        <f>IF(AND(M12="",N12=""),"",IF(AND(M12&lt;&gt;"",N12=""),"UNRECORDED",IF(AND(M12="",N12&lt;&gt;""),"ORPHAN_RECORDED",IF(M12=N12,"MATCH","MISMATCH"))))</f>
        <v/>
      </c>
      <c r="P12" s="103" t="n"/>
      <c r="Q12" s="303">
        <f>IF(COUNTA(A12:L12)=0,"",IF(AND(COUNTIF(Vocabulary!$C$5:$C$8,D12)=1,COUNTIF(Vocabulary!$D$5:$D$8,E12)=1,COUNTIF(Vocabulary!$E$5:$E$8,F12)=1,COUNTIF(Vocabulary!$F$5:$F$8,G12)=1,COUNTIF(Vocabulary!$G$5:$G$8,H12)=1,COUNTIF(Vocabulary!$H$5:$H$8,I12)=1,COUNTIF(Vocabulary!$I$5:$I$7,J12)=1,COUNTIF(Vocabulary!$I$5:$I$7,K12)=1,COUNTIF(Vocabulary!$J$5:$J$6,L12)=1),"OK","UNRECOGNISED_ROUTING_VALUE"))</f>
        <v/>
      </c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02">
        <f>IF(COUNTA(A13:L13)=0,"",IF(OR(LEN(TRIM(B13))=0,LEN(TRIM(C13))=0,LEN(TRIM(D13))=0,LEN(TRIM(E13))=0,LEN(TRIM(F13))=0,LEN(TRIM(G13))=0,LEN(TRIM(H13))=0,LEN(TRIM(I13))=0,LEN(TRIM(J13))=0,LEN(TRIM(K13))=0,LEN(TRIM(L13))=0),"Undetermined - incomplete routing",IF(Q13&lt;&gt;"OK","Undetermined - unrecognized routing value",IF(OR(D13="High",D13="Catastrophic/systemic",E13="Material",E13="Fundamental or uncertain",F13="Difficult to reverse",F13="Irreversible or unknown",G13="National/transnational/ecological",H13="Frontier or unknown",I13="Affected-party dispute or unknown"),"AF-High-Consequence",IF(OR(D13="Moderate",E13="Limited reversible",F13="Partly reversible",G13="Regional/sectoral",H13="Novel",I13="High"),"AF-Standard","AF-Lite")))))</f>
        <v/>
      </c>
      <c r="N13" s="356" t="n"/>
      <c r="O13" s="302">
        <f>IF(AND(M13="",N13=""),"",IF(AND(M13&lt;&gt;"",N13=""),"UNRECORDED",IF(AND(M13="",N13&lt;&gt;""),"ORPHAN_RECORDED",IF(M13=N13,"MATCH","MISMATCH"))))</f>
        <v/>
      </c>
      <c r="P13" s="103" t="n"/>
      <c r="Q13" s="303">
        <f>IF(COUNTA(A13:L13)=0,"",IF(AND(COUNTIF(Vocabulary!$C$5:$C$8,D13)=1,COUNTIF(Vocabulary!$D$5:$D$8,E13)=1,COUNTIF(Vocabulary!$E$5:$E$8,F13)=1,COUNTIF(Vocabulary!$F$5:$F$8,G13)=1,COUNTIF(Vocabulary!$G$5:$G$8,H13)=1,COUNTIF(Vocabulary!$H$5:$H$8,I13)=1,COUNTIF(Vocabulary!$I$5:$I$7,J13)=1,COUNTIF(Vocabulary!$I$5:$I$7,K13)=1,COUNTIF(Vocabulary!$J$5:$J$6,L13)=1),"OK","UNRECOGNISED_ROUTING_VALUE"))</f>
        <v/>
      </c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56" t="n"/>
      <c r="I14" s="356" t="n"/>
      <c r="J14" s="356" t="n"/>
      <c r="K14" s="356" t="n"/>
      <c r="L14" s="356" t="n"/>
      <c r="M14" s="302">
        <f>IF(COUNTA(A14:L14)=0,"",IF(OR(LEN(TRIM(B14))=0,LEN(TRIM(C14))=0,LEN(TRIM(D14))=0,LEN(TRIM(E14))=0,LEN(TRIM(F14))=0,LEN(TRIM(G14))=0,LEN(TRIM(H14))=0,LEN(TRIM(I14))=0,LEN(TRIM(J14))=0,LEN(TRIM(K14))=0,LEN(TRIM(L14))=0),"Undetermined - incomplete routing",IF(Q14&lt;&gt;"OK","Undetermined - unrecognized routing value",IF(OR(D14="High",D14="Catastrophic/systemic",E14="Material",E14="Fundamental or uncertain",F14="Difficult to reverse",F14="Irreversible or unknown",G14="National/transnational/ecological",H14="Frontier or unknown",I14="Affected-party dispute or unknown"),"AF-High-Consequence",IF(OR(D14="Moderate",E14="Limited reversible",F14="Partly reversible",G14="Regional/sectoral",H14="Novel",I14="High"),"AF-Standard","AF-Lite")))))</f>
        <v/>
      </c>
      <c r="N14" s="356" t="n"/>
      <c r="O14" s="302">
        <f>IF(AND(M14="",N14=""),"",IF(AND(M14&lt;&gt;"",N14=""),"UNRECORDED",IF(AND(M14="",N14&lt;&gt;""),"ORPHAN_RECORDED",IF(M14=N14,"MATCH","MISMATCH"))))</f>
        <v/>
      </c>
      <c r="P14" s="103" t="n"/>
      <c r="Q14" s="303">
        <f>IF(COUNTA(A14:L14)=0,"",IF(AND(COUNTIF(Vocabulary!$C$5:$C$8,D14)=1,COUNTIF(Vocabulary!$D$5:$D$8,E14)=1,COUNTIF(Vocabulary!$E$5:$E$8,F14)=1,COUNTIF(Vocabulary!$F$5:$F$8,G14)=1,COUNTIF(Vocabulary!$G$5:$G$8,H14)=1,COUNTIF(Vocabulary!$H$5:$H$8,I14)=1,COUNTIF(Vocabulary!$I$5:$I$7,J14)=1,COUNTIF(Vocabulary!$I$5:$I$7,K14)=1,COUNTIF(Vocabulary!$J$5:$J$6,L14)=1),"OK","UNRECOGNISED_ROUTING_VALUE"))</f>
        <v/>
      </c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56" t="n"/>
      <c r="I15" s="356" t="n"/>
      <c r="J15" s="356" t="n"/>
      <c r="K15" s="356" t="n"/>
      <c r="L15" s="356" t="n"/>
      <c r="M15" s="302">
        <f>IF(COUNTA(A15:L15)=0,"",IF(OR(LEN(TRIM(B15))=0,LEN(TRIM(C15))=0,LEN(TRIM(D15))=0,LEN(TRIM(E15))=0,LEN(TRIM(F15))=0,LEN(TRIM(G15))=0,LEN(TRIM(H15))=0,LEN(TRIM(I15))=0,LEN(TRIM(J15))=0,LEN(TRIM(K15))=0,LEN(TRIM(L15))=0),"Undetermined - incomplete routing",IF(Q15&lt;&gt;"OK","Undetermined - unrecognized routing value",IF(OR(D15="High",D15="Catastrophic/systemic",E15="Material",E15="Fundamental or uncertain",F15="Difficult to reverse",F15="Irreversible or unknown",G15="National/transnational/ecological",H15="Frontier or unknown",I15="Affected-party dispute or unknown"),"AF-High-Consequence",IF(OR(D15="Moderate",E15="Limited reversible",F15="Partly reversible",G15="Regional/sectoral",H15="Novel",I15="High"),"AF-Standard","AF-Lite")))))</f>
        <v/>
      </c>
      <c r="N15" s="356" t="n"/>
      <c r="O15" s="302">
        <f>IF(AND(M15="",N15=""),"",IF(AND(M15&lt;&gt;"",N15=""),"UNRECORDED",IF(AND(M15="",N15&lt;&gt;""),"ORPHAN_RECORDED",IF(M15=N15,"MATCH","MISMATCH"))))</f>
        <v/>
      </c>
      <c r="P15" s="103" t="n"/>
      <c r="Q15" s="303">
        <f>IF(COUNTA(A15:L15)=0,"",IF(AND(COUNTIF(Vocabulary!$C$5:$C$8,D15)=1,COUNTIF(Vocabulary!$D$5:$D$8,E15)=1,COUNTIF(Vocabulary!$E$5:$E$8,F15)=1,COUNTIF(Vocabulary!$F$5:$F$8,G15)=1,COUNTIF(Vocabulary!$G$5:$G$8,H15)=1,COUNTIF(Vocabulary!$H$5:$H$8,I15)=1,COUNTIF(Vocabulary!$I$5:$I$7,J15)=1,COUNTIF(Vocabulary!$I$5:$I$7,K15)=1,COUNTIF(Vocabulary!$J$5:$J$6,L15)=1),"OK","UNRECOGNISED_ROUTING_VALUE"))</f>
        <v/>
      </c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L16" s="356" t="n"/>
      <c r="M16" s="302">
        <f>IF(COUNTA(A16:L16)=0,"",IF(OR(LEN(TRIM(B16))=0,LEN(TRIM(C16))=0,LEN(TRIM(D16))=0,LEN(TRIM(E16))=0,LEN(TRIM(F16))=0,LEN(TRIM(G16))=0,LEN(TRIM(H16))=0,LEN(TRIM(I16))=0,LEN(TRIM(J16))=0,LEN(TRIM(K16))=0,LEN(TRIM(L16))=0),"Undetermined - incomplete routing",IF(Q16&lt;&gt;"OK","Undetermined - unrecognized routing value",IF(OR(D16="High",D16="Catastrophic/systemic",E16="Material",E16="Fundamental or uncertain",F16="Difficult to reverse",F16="Irreversible or unknown",G16="National/transnational/ecological",H16="Frontier or unknown",I16="Affected-party dispute or unknown"),"AF-High-Consequence",IF(OR(D16="Moderate",E16="Limited reversible",F16="Partly reversible",G16="Regional/sectoral",H16="Novel",I16="High"),"AF-Standard","AF-Lite")))))</f>
        <v/>
      </c>
      <c r="N16" s="356" t="n"/>
      <c r="O16" s="302">
        <f>IF(AND(M16="",N16=""),"",IF(AND(M16&lt;&gt;"",N16=""),"UNRECORDED",IF(AND(M16="",N16&lt;&gt;""),"ORPHAN_RECORDED",IF(M16=N16,"MATCH","MISMATCH"))))</f>
        <v/>
      </c>
      <c r="P16" s="103" t="n"/>
      <c r="Q16" s="303">
        <f>IF(COUNTA(A16:L16)=0,"",IF(AND(COUNTIF(Vocabulary!$C$5:$C$8,D16)=1,COUNTIF(Vocabulary!$D$5:$D$8,E16)=1,COUNTIF(Vocabulary!$E$5:$E$8,F16)=1,COUNTIF(Vocabulary!$F$5:$F$8,G16)=1,COUNTIF(Vocabulary!$G$5:$G$8,H16)=1,COUNTIF(Vocabulary!$H$5:$H$8,I16)=1,COUNTIF(Vocabulary!$I$5:$I$7,J16)=1,COUNTIF(Vocabulary!$I$5:$I$7,K16)=1,COUNTIF(Vocabulary!$J$5:$J$6,L16)=1),"OK","UNRECOGNISED_ROUTING_VALUE"))</f>
        <v/>
      </c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  <c r="M17" s="302">
        <f>IF(COUNTA(A17:L17)=0,"",IF(OR(LEN(TRIM(B17))=0,LEN(TRIM(C17))=0,LEN(TRIM(D17))=0,LEN(TRIM(E17))=0,LEN(TRIM(F17))=0,LEN(TRIM(G17))=0,LEN(TRIM(H17))=0,LEN(TRIM(I17))=0,LEN(TRIM(J17))=0,LEN(TRIM(K17))=0,LEN(TRIM(L17))=0),"Undetermined - incomplete routing",IF(Q17&lt;&gt;"OK","Undetermined - unrecognized routing value",IF(OR(D17="High",D17="Catastrophic/systemic",E17="Material",E17="Fundamental or uncertain",F17="Difficult to reverse",F17="Irreversible or unknown",G17="National/transnational/ecological",H17="Frontier or unknown",I17="Affected-party dispute or unknown"),"AF-High-Consequence",IF(OR(D17="Moderate",E17="Limited reversible",F17="Partly reversible",G17="Regional/sectoral",H17="Novel",I17="High"),"AF-Standard","AF-Lite")))))</f>
        <v/>
      </c>
      <c r="N17" s="356" t="n"/>
      <c r="O17" s="302">
        <f>IF(AND(M17="",N17=""),"",IF(AND(M17&lt;&gt;"",N17=""),"UNRECORDED",IF(AND(M17="",N17&lt;&gt;""),"ORPHAN_RECORDED",IF(M17=N17,"MATCH","MISMATCH"))))</f>
        <v/>
      </c>
      <c r="P17" s="103" t="n"/>
      <c r="Q17" s="303">
        <f>IF(COUNTA(A17:L17)=0,"",IF(AND(COUNTIF(Vocabulary!$C$5:$C$8,D17)=1,COUNTIF(Vocabulary!$D$5:$D$8,E17)=1,COUNTIF(Vocabulary!$E$5:$E$8,F17)=1,COUNTIF(Vocabulary!$F$5:$F$8,G17)=1,COUNTIF(Vocabulary!$G$5:$G$8,H17)=1,COUNTIF(Vocabulary!$H$5:$H$8,I17)=1,COUNTIF(Vocabulary!$I$5:$I$7,J17)=1,COUNTIF(Vocabulary!$I$5:$I$7,K17)=1,COUNTIF(Vocabulary!$J$5:$J$6,L17)=1),"OK","UNRECOGNISED_ROUTING_VALUE"))</f>
        <v/>
      </c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  <c r="M18" s="302">
        <f>IF(COUNTA(A18:L18)=0,"",IF(OR(LEN(TRIM(B18))=0,LEN(TRIM(C18))=0,LEN(TRIM(D18))=0,LEN(TRIM(E18))=0,LEN(TRIM(F18))=0,LEN(TRIM(G18))=0,LEN(TRIM(H18))=0,LEN(TRIM(I18))=0,LEN(TRIM(J18))=0,LEN(TRIM(K18))=0,LEN(TRIM(L18))=0),"Undetermined - incomplete routing",IF(Q18&lt;&gt;"OK","Undetermined - unrecognized routing value",IF(OR(D18="High",D18="Catastrophic/systemic",E18="Material",E18="Fundamental or uncertain",F18="Difficult to reverse",F18="Irreversible or unknown",G18="National/transnational/ecological",H18="Frontier or unknown",I18="Affected-party dispute or unknown"),"AF-High-Consequence",IF(OR(D18="Moderate",E18="Limited reversible",F18="Partly reversible",G18="Regional/sectoral",H18="Novel",I18="High"),"AF-Standard","AF-Lite")))))</f>
        <v/>
      </c>
      <c r="N18" s="356" t="n"/>
      <c r="O18" s="302">
        <f>IF(AND(M18="",N18=""),"",IF(AND(M18&lt;&gt;"",N18=""),"UNRECORDED",IF(AND(M18="",N18&lt;&gt;""),"ORPHAN_RECORDED",IF(M18=N18,"MATCH","MISMATCH"))))</f>
        <v/>
      </c>
      <c r="P18" s="103" t="n"/>
      <c r="Q18" s="303">
        <f>IF(COUNTA(A18:L18)=0,"",IF(AND(COUNTIF(Vocabulary!$C$5:$C$8,D18)=1,COUNTIF(Vocabulary!$D$5:$D$8,E18)=1,COUNTIF(Vocabulary!$E$5:$E$8,F18)=1,COUNTIF(Vocabulary!$F$5:$F$8,G18)=1,COUNTIF(Vocabulary!$G$5:$G$8,H18)=1,COUNTIF(Vocabulary!$H$5:$H$8,I18)=1,COUNTIF(Vocabulary!$I$5:$I$7,J18)=1,COUNTIF(Vocabulary!$I$5:$I$7,K18)=1,COUNTIF(Vocabulary!$J$5:$J$6,L18)=1),"OK","UNRECOGNISED_ROUTING_VALUE"))</f>
        <v/>
      </c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  <c r="M19" s="302">
        <f>IF(COUNTA(A19:L19)=0,"",IF(OR(LEN(TRIM(B19))=0,LEN(TRIM(C19))=0,LEN(TRIM(D19))=0,LEN(TRIM(E19))=0,LEN(TRIM(F19))=0,LEN(TRIM(G19))=0,LEN(TRIM(H19))=0,LEN(TRIM(I19))=0,LEN(TRIM(J19))=0,LEN(TRIM(K19))=0,LEN(TRIM(L19))=0),"Undetermined - incomplete routing",IF(Q19&lt;&gt;"OK","Undetermined - unrecognized routing value",IF(OR(D19="High",D19="Catastrophic/systemic",E19="Material",E19="Fundamental or uncertain",F19="Difficult to reverse",F19="Irreversible or unknown",G19="National/transnational/ecological",H19="Frontier or unknown",I19="Affected-party dispute or unknown"),"AF-High-Consequence",IF(OR(D19="Moderate",E19="Limited reversible",F19="Partly reversible",G19="Regional/sectoral",H19="Novel",I19="High"),"AF-Standard","AF-Lite")))))</f>
        <v/>
      </c>
      <c r="N19" s="356" t="n"/>
      <c r="O19" s="302">
        <f>IF(AND(M19="",N19=""),"",IF(AND(M19&lt;&gt;"",N19=""),"UNRECORDED",IF(AND(M19="",N19&lt;&gt;""),"ORPHAN_RECORDED",IF(M19=N19,"MATCH","MISMATCH"))))</f>
        <v/>
      </c>
      <c r="P19" s="103" t="n"/>
      <c r="Q19" s="303">
        <f>IF(COUNTA(A19:L19)=0,"",IF(AND(COUNTIF(Vocabulary!$C$5:$C$8,D19)=1,COUNTIF(Vocabulary!$D$5:$D$8,E19)=1,COUNTIF(Vocabulary!$E$5:$E$8,F19)=1,COUNTIF(Vocabulary!$F$5:$F$8,G19)=1,COUNTIF(Vocabulary!$G$5:$G$8,H19)=1,COUNTIF(Vocabulary!$H$5:$H$8,I19)=1,COUNTIF(Vocabulary!$I$5:$I$7,J19)=1,COUNTIF(Vocabulary!$I$5:$I$7,K19)=1,COUNTIF(Vocabulary!$J$5:$J$6,L19)=1),"OK","UNRECOGNISED_ROUTING_VALUE"))</f>
        <v/>
      </c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56" t="n"/>
      <c r="I20" s="356" t="n"/>
      <c r="J20" s="356" t="n"/>
      <c r="K20" s="356" t="n"/>
      <c r="L20" s="356" t="n"/>
      <c r="M20" s="302">
        <f>IF(COUNTA(A20:L20)=0,"",IF(OR(LEN(TRIM(B20))=0,LEN(TRIM(C20))=0,LEN(TRIM(D20))=0,LEN(TRIM(E20))=0,LEN(TRIM(F20))=0,LEN(TRIM(G20))=0,LEN(TRIM(H20))=0,LEN(TRIM(I20))=0,LEN(TRIM(J20))=0,LEN(TRIM(K20))=0,LEN(TRIM(L20))=0),"Undetermined - incomplete routing",IF(Q20&lt;&gt;"OK","Undetermined - unrecognized routing value",IF(OR(D20="High",D20="Catastrophic/systemic",E20="Material",E20="Fundamental or uncertain",F20="Difficult to reverse",F20="Irreversible or unknown",G20="National/transnational/ecological",H20="Frontier or unknown",I20="Affected-party dispute or unknown"),"AF-High-Consequence",IF(OR(D20="Moderate",E20="Limited reversible",F20="Partly reversible",G20="Regional/sectoral",H20="Novel",I20="High"),"AF-Standard","AF-Lite")))))</f>
        <v/>
      </c>
      <c r="N20" s="356" t="n"/>
      <c r="O20" s="302">
        <f>IF(AND(M20="",N20=""),"",IF(AND(M20&lt;&gt;"",N20=""),"UNRECORDED",IF(AND(M20="",N20&lt;&gt;""),"ORPHAN_RECORDED",IF(M20=N20,"MATCH","MISMATCH"))))</f>
        <v/>
      </c>
      <c r="P20" s="103" t="n"/>
      <c r="Q20" s="303">
        <f>IF(COUNTA(A20:L20)=0,"",IF(AND(COUNTIF(Vocabulary!$C$5:$C$8,D20)=1,COUNTIF(Vocabulary!$D$5:$D$8,E20)=1,COUNTIF(Vocabulary!$E$5:$E$8,F20)=1,COUNTIF(Vocabulary!$F$5:$F$8,G20)=1,COUNTIF(Vocabulary!$G$5:$G$8,H20)=1,COUNTIF(Vocabulary!$H$5:$H$8,I20)=1,COUNTIF(Vocabulary!$I$5:$I$7,J20)=1,COUNTIF(Vocabulary!$I$5:$I$7,K20)=1,COUNTIF(Vocabulary!$J$5:$J$6,L20)=1),"OK","UNRECOGNISED_ROUTING_VALUE"))</f>
        <v/>
      </c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56" t="n"/>
      <c r="I21" s="356" t="n"/>
      <c r="J21" s="356" t="n"/>
      <c r="K21" s="356" t="n"/>
      <c r="L21" s="356" t="n"/>
      <c r="M21" s="302">
        <f>IF(COUNTA(A21:L21)=0,"",IF(OR(LEN(TRIM(B21))=0,LEN(TRIM(C21))=0,LEN(TRIM(D21))=0,LEN(TRIM(E21))=0,LEN(TRIM(F21))=0,LEN(TRIM(G21))=0,LEN(TRIM(H21))=0,LEN(TRIM(I21))=0,LEN(TRIM(J21))=0,LEN(TRIM(K21))=0,LEN(TRIM(L21))=0),"Undetermined - incomplete routing",IF(Q21&lt;&gt;"OK","Undetermined - unrecognized routing value",IF(OR(D21="High",D21="Catastrophic/systemic",E21="Material",E21="Fundamental or uncertain",F21="Difficult to reverse",F21="Irreversible or unknown",G21="National/transnational/ecological",H21="Frontier or unknown",I21="Affected-party dispute or unknown"),"AF-High-Consequence",IF(OR(D21="Moderate",E21="Limited reversible",F21="Partly reversible",G21="Regional/sectoral",H21="Novel",I21="High"),"AF-Standard","AF-Lite")))))</f>
        <v/>
      </c>
      <c r="N21" s="356" t="n"/>
      <c r="O21" s="302">
        <f>IF(AND(M21="",N21=""),"",IF(AND(M21&lt;&gt;"",N21=""),"UNRECORDED",IF(AND(M21="",N21&lt;&gt;""),"ORPHAN_RECORDED",IF(M21=N21,"MATCH","MISMATCH"))))</f>
        <v/>
      </c>
      <c r="P21" s="103" t="n"/>
      <c r="Q21" s="303">
        <f>IF(COUNTA(A21:L21)=0,"",IF(AND(COUNTIF(Vocabulary!$C$5:$C$8,D21)=1,COUNTIF(Vocabulary!$D$5:$D$8,E21)=1,COUNTIF(Vocabulary!$E$5:$E$8,F21)=1,COUNTIF(Vocabulary!$F$5:$F$8,G21)=1,COUNTIF(Vocabulary!$G$5:$G$8,H21)=1,COUNTIF(Vocabulary!$H$5:$H$8,I21)=1,COUNTIF(Vocabulary!$I$5:$I$7,J21)=1,COUNTIF(Vocabulary!$I$5:$I$7,K21)=1,COUNTIF(Vocabulary!$J$5:$J$6,L21)=1),"OK","UNRECOGNISED_ROUTING_VALUE"))</f>
        <v/>
      </c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02">
        <f>IF(COUNTA(A22:L22)=0,"",IF(OR(LEN(TRIM(B22))=0,LEN(TRIM(C22))=0,LEN(TRIM(D22))=0,LEN(TRIM(E22))=0,LEN(TRIM(F22))=0,LEN(TRIM(G22))=0,LEN(TRIM(H22))=0,LEN(TRIM(I22))=0,LEN(TRIM(J22))=0,LEN(TRIM(K22))=0,LEN(TRIM(L22))=0),"Undetermined - incomplete routing",IF(Q22&lt;&gt;"OK","Undetermined - unrecognized routing value",IF(OR(D22="High",D22="Catastrophic/systemic",E22="Material",E22="Fundamental or uncertain",F22="Difficult to reverse",F22="Irreversible or unknown",G22="National/transnational/ecological",H22="Frontier or unknown",I22="Affected-party dispute or unknown"),"AF-High-Consequence",IF(OR(D22="Moderate",E22="Limited reversible",F22="Partly reversible",G22="Regional/sectoral",H22="Novel",I22="High"),"AF-Standard","AF-Lite")))))</f>
        <v/>
      </c>
      <c r="N22" s="356" t="n"/>
      <c r="O22" s="302">
        <f>IF(AND(M22="",N22=""),"",IF(AND(M22&lt;&gt;"",N22=""),"UNRECORDED",IF(AND(M22="",N22&lt;&gt;""),"ORPHAN_RECORDED",IF(M22=N22,"MATCH","MISMATCH"))))</f>
        <v/>
      </c>
      <c r="P22" s="103" t="n"/>
      <c r="Q22" s="303">
        <f>IF(COUNTA(A22:L22)=0,"",IF(AND(COUNTIF(Vocabulary!$C$5:$C$8,D22)=1,COUNTIF(Vocabulary!$D$5:$D$8,E22)=1,COUNTIF(Vocabulary!$E$5:$E$8,F22)=1,COUNTIF(Vocabulary!$F$5:$F$8,G22)=1,COUNTIF(Vocabulary!$G$5:$G$8,H22)=1,COUNTIF(Vocabulary!$H$5:$H$8,I22)=1,COUNTIF(Vocabulary!$I$5:$I$7,J22)=1,COUNTIF(Vocabulary!$I$5:$I$7,K22)=1,COUNTIF(Vocabulary!$J$5:$J$6,L22)=1),"OK","UNRECOGNISED_ROUTING_VALUE"))</f>
        <v/>
      </c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56" t="n"/>
      <c r="I23" s="356" t="n"/>
      <c r="J23" s="356" t="n"/>
      <c r="K23" s="356" t="n"/>
      <c r="L23" s="356" t="n"/>
      <c r="M23" s="302">
        <f>IF(COUNTA(A23:L23)=0,"",IF(OR(LEN(TRIM(B23))=0,LEN(TRIM(C23))=0,LEN(TRIM(D23))=0,LEN(TRIM(E23))=0,LEN(TRIM(F23))=0,LEN(TRIM(G23))=0,LEN(TRIM(H23))=0,LEN(TRIM(I23))=0,LEN(TRIM(J23))=0,LEN(TRIM(K23))=0,LEN(TRIM(L23))=0),"Undetermined - incomplete routing",IF(Q23&lt;&gt;"OK","Undetermined - unrecognized routing value",IF(OR(D23="High",D23="Catastrophic/systemic",E23="Material",E23="Fundamental or uncertain",F23="Difficult to reverse",F23="Irreversible or unknown",G23="National/transnational/ecological",H23="Frontier or unknown",I23="Affected-party dispute or unknown"),"AF-High-Consequence",IF(OR(D23="Moderate",E23="Limited reversible",F23="Partly reversible",G23="Regional/sectoral",H23="Novel",I23="High"),"AF-Standard","AF-Lite")))))</f>
        <v/>
      </c>
      <c r="N23" s="356" t="n"/>
      <c r="O23" s="302">
        <f>IF(AND(M23="",N23=""),"",IF(AND(M23&lt;&gt;"",N23=""),"UNRECORDED",IF(AND(M23="",N23&lt;&gt;""),"ORPHAN_RECORDED",IF(M23=N23,"MATCH","MISMATCH"))))</f>
        <v/>
      </c>
      <c r="P23" s="103" t="n"/>
      <c r="Q23" s="303">
        <f>IF(COUNTA(A23:L23)=0,"",IF(AND(COUNTIF(Vocabulary!$C$5:$C$8,D23)=1,COUNTIF(Vocabulary!$D$5:$D$8,E23)=1,COUNTIF(Vocabulary!$E$5:$E$8,F23)=1,COUNTIF(Vocabulary!$F$5:$F$8,G23)=1,COUNTIF(Vocabulary!$G$5:$G$8,H23)=1,COUNTIF(Vocabulary!$H$5:$H$8,I23)=1,COUNTIF(Vocabulary!$I$5:$I$7,J23)=1,COUNTIF(Vocabulary!$I$5:$I$7,K23)=1,COUNTIF(Vocabulary!$J$5:$J$6,L23)=1),"OK","UNRECOGNISED_ROUTING_VALUE"))</f>
        <v/>
      </c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56" t="n"/>
      <c r="I24" s="356" t="n"/>
      <c r="J24" s="356" t="n"/>
      <c r="K24" s="356" t="n"/>
      <c r="L24" s="356" t="n"/>
      <c r="M24" s="302">
        <f>IF(COUNTA(A24:L24)=0,"",IF(OR(LEN(TRIM(B24))=0,LEN(TRIM(C24))=0,LEN(TRIM(D24))=0,LEN(TRIM(E24))=0,LEN(TRIM(F24))=0,LEN(TRIM(G24))=0,LEN(TRIM(H24))=0,LEN(TRIM(I24))=0,LEN(TRIM(J24))=0,LEN(TRIM(K24))=0,LEN(TRIM(L24))=0),"Undetermined - incomplete routing",IF(Q24&lt;&gt;"OK","Undetermined - unrecognized routing value",IF(OR(D24="High",D24="Catastrophic/systemic",E24="Material",E24="Fundamental or uncertain",F24="Difficult to reverse",F24="Irreversible or unknown",G24="National/transnational/ecological",H24="Frontier or unknown",I24="Affected-party dispute or unknown"),"AF-High-Consequence",IF(OR(D24="Moderate",E24="Limited reversible",F24="Partly reversible",G24="Regional/sectoral",H24="Novel",I24="High"),"AF-Standard","AF-Lite")))))</f>
        <v/>
      </c>
      <c r="N24" s="356" t="n"/>
      <c r="O24" s="302">
        <f>IF(AND(M24="",N24=""),"",IF(AND(M24&lt;&gt;"",N24=""),"UNRECORDED",IF(AND(M24="",N24&lt;&gt;""),"ORPHAN_RECORDED",IF(M24=N24,"MATCH","MISMATCH"))))</f>
        <v/>
      </c>
      <c r="P24" s="103" t="n"/>
      <c r="Q24" s="303">
        <f>IF(COUNTA(A24:L24)=0,"",IF(AND(COUNTIF(Vocabulary!$C$5:$C$8,D24)=1,COUNTIF(Vocabulary!$D$5:$D$8,E24)=1,COUNTIF(Vocabulary!$E$5:$E$8,F24)=1,COUNTIF(Vocabulary!$F$5:$F$8,G24)=1,COUNTIF(Vocabulary!$G$5:$G$8,H24)=1,COUNTIF(Vocabulary!$H$5:$H$8,I24)=1,COUNTIF(Vocabulary!$I$5:$I$7,J24)=1,COUNTIF(Vocabulary!$I$5:$I$7,K24)=1,COUNTIF(Vocabulary!$J$5:$J$6,L24)=1),"OK","UNRECOGNISED_ROUTING_VALUE"))</f>
        <v/>
      </c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302">
        <f>IF(COUNTA(A25:L25)=0,"",IF(OR(LEN(TRIM(B25))=0,LEN(TRIM(C25))=0,LEN(TRIM(D25))=0,LEN(TRIM(E25))=0,LEN(TRIM(F25))=0,LEN(TRIM(G25))=0,LEN(TRIM(H25))=0,LEN(TRIM(I25))=0,LEN(TRIM(J25))=0,LEN(TRIM(K25))=0,LEN(TRIM(L25))=0),"Undetermined - incomplete routing",IF(Q25&lt;&gt;"OK","Undetermined - unrecognized routing value",IF(OR(D25="High",D25="Catastrophic/systemic",E25="Material",E25="Fundamental or uncertain",F25="Difficult to reverse",F25="Irreversible or unknown",G25="National/transnational/ecological",H25="Frontier or unknown",I25="Affected-party dispute or unknown"),"AF-High-Consequence",IF(OR(D25="Moderate",E25="Limited reversible",F25="Partly reversible",G25="Regional/sectoral",H25="Novel",I25="High"),"AF-Standard","AF-Lite")))))</f>
        <v/>
      </c>
      <c r="N25" s="356" t="n"/>
      <c r="O25" s="302">
        <f>IF(AND(M25="",N25=""),"",IF(AND(M25&lt;&gt;"",N25=""),"UNRECORDED",IF(AND(M25="",N25&lt;&gt;""),"ORPHAN_RECORDED",IF(M25=N25,"MATCH","MISMATCH"))))</f>
        <v/>
      </c>
      <c r="P25" s="103" t="n"/>
      <c r="Q25" s="303">
        <f>IF(COUNTA(A25:L25)=0,"",IF(AND(COUNTIF(Vocabulary!$C$5:$C$8,D25)=1,COUNTIF(Vocabulary!$D$5:$D$8,E25)=1,COUNTIF(Vocabulary!$E$5:$E$8,F25)=1,COUNTIF(Vocabulary!$F$5:$F$8,G25)=1,COUNTIF(Vocabulary!$G$5:$G$8,H25)=1,COUNTIF(Vocabulary!$H$5:$H$8,I25)=1,COUNTIF(Vocabulary!$I$5:$I$7,J25)=1,COUNTIF(Vocabulary!$I$5:$I$7,K25)=1,COUNTIF(Vocabulary!$J$5:$J$6,L25)=1),"OK","UNRECOGNISED_ROUTING_VALUE"))</f>
        <v/>
      </c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56" t="n"/>
      <c r="I26" s="356" t="n"/>
      <c r="J26" s="356" t="n"/>
      <c r="K26" s="356" t="n"/>
      <c r="L26" s="356" t="n"/>
      <c r="M26" s="302">
        <f>IF(COUNTA(A26:L26)=0,"",IF(OR(LEN(TRIM(B26))=0,LEN(TRIM(C26))=0,LEN(TRIM(D26))=0,LEN(TRIM(E26))=0,LEN(TRIM(F26))=0,LEN(TRIM(G26))=0,LEN(TRIM(H26))=0,LEN(TRIM(I26))=0,LEN(TRIM(J26))=0,LEN(TRIM(K26))=0,LEN(TRIM(L26))=0),"Undetermined - incomplete routing",IF(Q26&lt;&gt;"OK","Undetermined - unrecognized routing value",IF(OR(D26="High",D26="Catastrophic/systemic",E26="Material",E26="Fundamental or uncertain",F26="Difficult to reverse",F26="Irreversible or unknown",G26="National/transnational/ecological",H26="Frontier or unknown",I26="Affected-party dispute or unknown"),"AF-High-Consequence",IF(OR(D26="Moderate",E26="Limited reversible",F26="Partly reversible",G26="Regional/sectoral",H26="Novel",I26="High"),"AF-Standard","AF-Lite")))))</f>
        <v/>
      </c>
      <c r="N26" s="356" t="n"/>
      <c r="O26" s="302">
        <f>IF(AND(M26="",N26=""),"",IF(AND(M26&lt;&gt;"",N26=""),"UNRECORDED",IF(AND(M26="",N26&lt;&gt;""),"ORPHAN_RECORDED",IF(M26=N26,"MATCH","MISMATCH"))))</f>
        <v/>
      </c>
      <c r="P26" s="103" t="n"/>
      <c r="Q26" s="303">
        <f>IF(COUNTA(A26:L26)=0,"",IF(AND(COUNTIF(Vocabulary!$C$5:$C$8,D26)=1,COUNTIF(Vocabulary!$D$5:$D$8,E26)=1,COUNTIF(Vocabulary!$E$5:$E$8,F26)=1,COUNTIF(Vocabulary!$F$5:$F$8,G26)=1,COUNTIF(Vocabulary!$G$5:$G$8,H26)=1,COUNTIF(Vocabulary!$H$5:$H$8,I26)=1,COUNTIF(Vocabulary!$I$5:$I$7,J26)=1,COUNTIF(Vocabulary!$I$5:$I$7,K26)=1,COUNTIF(Vocabulary!$J$5:$J$6,L26)=1),"OK","UNRECOGNISED_ROUTING_VALUE"))</f>
        <v/>
      </c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56" t="n"/>
      <c r="I27" s="356" t="n"/>
      <c r="J27" s="356" t="n"/>
      <c r="K27" s="356" t="n"/>
      <c r="L27" s="356" t="n"/>
      <c r="M27" s="302">
        <f>IF(COUNTA(A27:L27)=0,"",IF(OR(LEN(TRIM(B27))=0,LEN(TRIM(C27))=0,LEN(TRIM(D27))=0,LEN(TRIM(E27))=0,LEN(TRIM(F27))=0,LEN(TRIM(G27))=0,LEN(TRIM(H27))=0,LEN(TRIM(I27))=0,LEN(TRIM(J27))=0,LEN(TRIM(K27))=0,LEN(TRIM(L27))=0),"Undetermined - incomplete routing",IF(Q27&lt;&gt;"OK","Undetermined - unrecognized routing value",IF(OR(D27="High",D27="Catastrophic/systemic",E27="Material",E27="Fundamental or uncertain",F27="Difficult to reverse",F27="Irreversible or unknown",G27="National/transnational/ecological",H27="Frontier or unknown",I27="Affected-party dispute or unknown"),"AF-High-Consequence",IF(OR(D27="Moderate",E27="Limited reversible",F27="Partly reversible",G27="Regional/sectoral",H27="Novel",I27="High"),"AF-Standard","AF-Lite")))))</f>
        <v/>
      </c>
      <c r="N27" s="356" t="n"/>
      <c r="O27" s="302">
        <f>IF(AND(M27="",N27=""),"",IF(AND(M27&lt;&gt;"",N27=""),"UNRECORDED",IF(AND(M27="",N27&lt;&gt;""),"ORPHAN_RECORDED",IF(M27=N27,"MATCH","MISMATCH"))))</f>
        <v/>
      </c>
      <c r="P27" s="103" t="n"/>
      <c r="Q27" s="303">
        <f>IF(COUNTA(A27:L27)=0,"",IF(AND(COUNTIF(Vocabulary!$C$5:$C$8,D27)=1,COUNTIF(Vocabulary!$D$5:$D$8,E27)=1,COUNTIF(Vocabulary!$E$5:$E$8,F27)=1,COUNTIF(Vocabulary!$F$5:$F$8,G27)=1,COUNTIF(Vocabulary!$G$5:$G$8,H27)=1,COUNTIF(Vocabulary!$H$5:$H$8,I27)=1,COUNTIF(Vocabulary!$I$5:$I$7,J27)=1,COUNTIF(Vocabulary!$I$5:$I$7,K27)=1,COUNTIF(Vocabulary!$J$5:$J$6,L27)=1),"OK","UNRECOGNISED_ROUTING_VALUE"))</f>
        <v/>
      </c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56" t="n"/>
      <c r="I28" s="356" t="n"/>
      <c r="J28" s="356" t="n"/>
      <c r="K28" s="356" t="n"/>
      <c r="L28" s="356" t="n"/>
      <c r="M28" s="302">
        <f>IF(COUNTA(A28:L28)=0,"",IF(OR(LEN(TRIM(B28))=0,LEN(TRIM(C28))=0,LEN(TRIM(D28))=0,LEN(TRIM(E28))=0,LEN(TRIM(F28))=0,LEN(TRIM(G28))=0,LEN(TRIM(H28))=0,LEN(TRIM(I28))=0,LEN(TRIM(J28))=0,LEN(TRIM(K28))=0,LEN(TRIM(L28))=0),"Undetermined - incomplete routing",IF(Q28&lt;&gt;"OK","Undetermined - unrecognized routing value",IF(OR(D28="High",D28="Catastrophic/systemic",E28="Material",E28="Fundamental or uncertain",F28="Difficult to reverse",F28="Irreversible or unknown",G28="National/transnational/ecological",H28="Frontier or unknown",I28="Affected-party dispute or unknown"),"AF-High-Consequence",IF(OR(D28="Moderate",E28="Limited reversible",F28="Partly reversible",G28="Regional/sectoral",H28="Novel",I28="High"),"AF-Standard","AF-Lite")))))</f>
        <v/>
      </c>
      <c r="N28" s="356" t="n"/>
      <c r="O28" s="302">
        <f>IF(AND(M28="",N28=""),"",IF(AND(M28&lt;&gt;"",N28=""),"UNRECORDED",IF(AND(M28="",N28&lt;&gt;""),"ORPHAN_RECORDED",IF(M28=N28,"MATCH","MISMATCH"))))</f>
        <v/>
      </c>
      <c r="P28" s="103" t="n"/>
      <c r="Q28" s="303">
        <f>IF(COUNTA(A28:L28)=0,"",IF(AND(COUNTIF(Vocabulary!$C$5:$C$8,D28)=1,COUNTIF(Vocabulary!$D$5:$D$8,E28)=1,COUNTIF(Vocabulary!$E$5:$E$8,F28)=1,COUNTIF(Vocabulary!$F$5:$F$8,G28)=1,COUNTIF(Vocabulary!$G$5:$G$8,H28)=1,COUNTIF(Vocabulary!$H$5:$H$8,I28)=1,COUNTIF(Vocabulary!$I$5:$I$7,J28)=1,COUNTIF(Vocabulary!$I$5:$I$7,K28)=1,COUNTIF(Vocabulary!$J$5:$J$6,L28)=1),"OK","UNRECOGNISED_ROUTING_VALUE"))</f>
        <v/>
      </c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56" t="n"/>
      <c r="I29" s="356" t="n"/>
      <c r="J29" s="356" t="n"/>
      <c r="K29" s="356" t="n"/>
      <c r="L29" s="356" t="n"/>
      <c r="M29" s="302">
        <f>IF(COUNTA(A29:L29)=0,"",IF(OR(LEN(TRIM(B29))=0,LEN(TRIM(C29))=0,LEN(TRIM(D29))=0,LEN(TRIM(E29))=0,LEN(TRIM(F29))=0,LEN(TRIM(G29))=0,LEN(TRIM(H29))=0,LEN(TRIM(I29))=0,LEN(TRIM(J29))=0,LEN(TRIM(K29))=0,LEN(TRIM(L29))=0),"Undetermined - incomplete routing",IF(Q29&lt;&gt;"OK","Undetermined - unrecognized routing value",IF(OR(D29="High",D29="Catastrophic/systemic",E29="Material",E29="Fundamental or uncertain",F29="Difficult to reverse",F29="Irreversible or unknown",G29="National/transnational/ecological",H29="Frontier or unknown",I29="Affected-party dispute or unknown"),"AF-High-Consequence",IF(OR(D29="Moderate",E29="Limited reversible",F29="Partly reversible",G29="Regional/sectoral",H29="Novel",I29="High"),"AF-Standard","AF-Lite")))))</f>
        <v/>
      </c>
      <c r="N29" s="356" t="n"/>
      <c r="O29" s="302">
        <f>IF(AND(M29="",N29=""),"",IF(AND(M29&lt;&gt;"",N29=""),"UNRECORDED",IF(AND(M29="",N29&lt;&gt;""),"ORPHAN_RECORDED",IF(M29=N29,"MATCH","MISMATCH"))))</f>
        <v/>
      </c>
      <c r="P29" s="103" t="n"/>
      <c r="Q29" s="303">
        <f>IF(COUNTA(A29:L29)=0,"",IF(AND(COUNTIF(Vocabulary!$C$5:$C$8,D29)=1,COUNTIF(Vocabulary!$D$5:$D$8,E29)=1,COUNTIF(Vocabulary!$E$5:$E$8,F29)=1,COUNTIF(Vocabulary!$F$5:$F$8,G29)=1,COUNTIF(Vocabulary!$G$5:$G$8,H29)=1,COUNTIF(Vocabulary!$H$5:$H$8,I29)=1,COUNTIF(Vocabulary!$I$5:$I$7,J29)=1,COUNTIF(Vocabulary!$I$5:$I$7,K29)=1,COUNTIF(Vocabulary!$J$5:$J$6,L29)=1),"OK","UNRECOGNISED_ROUTING_VALUE"))</f>
        <v/>
      </c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02">
        <f>IF(COUNTA(A30:L30)=0,"",IF(OR(LEN(TRIM(B30))=0,LEN(TRIM(C30))=0,LEN(TRIM(D30))=0,LEN(TRIM(E30))=0,LEN(TRIM(F30))=0,LEN(TRIM(G30))=0,LEN(TRIM(H30))=0,LEN(TRIM(I30))=0,LEN(TRIM(J30))=0,LEN(TRIM(K30))=0,LEN(TRIM(L30))=0),"Undetermined - incomplete routing",IF(Q30&lt;&gt;"OK","Undetermined - unrecognized routing value",IF(OR(D30="High",D30="Catastrophic/systemic",E30="Material",E30="Fundamental or uncertain",F30="Difficult to reverse",F30="Irreversible or unknown",G30="National/transnational/ecological",H30="Frontier or unknown",I30="Affected-party dispute or unknown"),"AF-High-Consequence",IF(OR(D30="Moderate",E30="Limited reversible",F30="Partly reversible",G30="Regional/sectoral",H30="Novel",I30="High"),"AF-Standard","AF-Lite")))))</f>
        <v/>
      </c>
      <c r="N30" s="356" t="n"/>
      <c r="O30" s="302">
        <f>IF(AND(M30="",N30=""),"",IF(AND(M30&lt;&gt;"",N30=""),"UNRECORDED",IF(AND(M30="",N30&lt;&gt;""),"ORPHAN_RECORDED",IF(M30=N30,"MATCH","MISMATCH"))))</f>
        <v/>
      </c>
      <c r="P30" s="103" t="n"/>
      <c r="Q30" s="303">
        <f>IF(COUNTA(A30:L30)=0,"",IF(AND(COUNTIF(Vocabulary!$C$5:$C$8,D30)=1,COUNTIF(Vocabulary!$D$5:$D$8,E30)=1,COUNTIF(Vocabulary!$E$5:$E$8,F30)=1,COUNTIF(Vocabulary!$F$5:$F$8,G30)=1,COUNTIF(Vocabulary!$G$5:$G$8,H30)=1,COUNTIF(Vocabulary!$H$5:$H$8,I30)=1,COUNTIF(Vocabulary!$I$5:$I$7,J30)=1,COUNTIF(Vocabulary!$I$5:$I$7,K30)=1,COUNTIF(Vocabulary!$J$5:$J$6,L30)=1),"OK","UNRECOGNISED_ROUTING_VALUE"))</f>
        <v/>
      </c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56" t="n"/>
      <c r="I31" s="356" t="n"/>
      <c r="J31" s="356" t="n"/>
      <c r="K31" s="356" t="n"/>
      <c r="L31" s="356" t="n"/>
      <c r="M31" s="302">
        <f>IF(COUNTA(A31:L31)=0,"",IF(OR(LEN(TRIM(B31))=0,LEN(TRIM(C31))=0,LEN(TRIM(D31))=0,LEN(TRIM(E31))=0,LEN(TRIM(F31))=0,LEN(TRIM(G31))=0,LEN(TRIM(H31))=0,LEN(TRIM(I31))=0,LEN(TRIM(J31))=0,LEN(TRIM(K31))=0,LEN(TRIM(L31))=0),"Undetermined - incomplete routing",IF(Q31&lt;&gt;"OK","Undetermined - unrecognized routing value",IF(OR(D31="High",D31="Catastrophic/systemic",E31="Material",E31="Fundamental or uncertain",F31="Difficult to reverse",F31="Irreversible or unknown",G31="National/transnational/ecological",H31="Frontier or unknown",I31="Affected-party dispute or unknown"),"AF-High-Consequence",IF(OR(D31="Moderate",E31="Limited reversible",F31="Partly reversible",G31="Regional/sectoral",H31="Novel",I31="High"),"AF-Standard","AF-Lite")))))</f>
        <v/>
      </c>
      <c r="N31" s="356" t="n"/>
      <c r="O31" s="302">
        <f>IF(AND(M31="",N31=""),"",IF(AND(M31&lt;&gt;"",N31=""),"UNRECORDED",IF(AND(M31="",N31&lt;&gt;""),"ORPHAN_RECORDED",IF(M31=N31,"MATCH","MISMATCH"))))</f>
        <v/>
      </c>
      <c r="P31" s="103" t="n"/>
      <c r="Q31" s="303">
        <f>IF(COUNTA(A31:L31)=0,"",IF(AND(COUNTIF(Vocabulary!$C$5:$C$8,D31)=1,COUNTIF(Vocabulary!$D$5:$D$8,E31)=1,COUNTIF(Vocabulary!$E$5:$E$8,F31)=1,COUNTIF(Vocabulary!$F$5:$F$8,G31)=1,COUNTIF(Vocabulary!$G$5:$G$8,H31)=1,COUNTIF(Vocabulary!$H$5:$H$8,I31)=1,COUNTIF(Vocabulary!$I$5:$I$7,J31)=1,COUNTIF(Vocabulary!$I$5:$I$7,K31)=1,COUNTIF(Vocabulary!$J$5:$J$6,L31)=1),"OK","UNRECOGNISED_ROUTING_VALUE"))</f>
        <v/>
      </c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56" t="n"/>
      <c r="I32" s="356" t="n"/>
      <c r="J32" s="356" t="n"/>
      <c r="K32" s="356" t="n"/>
      <c r="L32" s="356" t="n"/>
      <c r="M32" s="302">
        <f>IF(COUNTA(A32:L32)=0,"",IF(OR(LEN(TRIM(B32))=0,LEN(TRIM(C32))=0,LEN(TRIM(D32))=0,LEN(TRIM(E32))=0,LEN(TRIM(F32))=0,LEN(TRIM(G32))=0,LEN(TRIM(H32))=0,LEN(TRIM(I32))=0,LEN(TRIM(J32))=0,LEN(TRIM(K32))=0,LEN(TRIM(L32))=0),"Undetermined - incomplete routing",IF(Q32&lt;&gt;"OK","Undetermined - unrecognized routing value",IF(OR(D32="High",D32="Catastrophic/systemic",E32="Material",E32="Fundamental or uncertain",F32="Difficult to reverse",F32="Irreversible or unknown",G32="National/transnational/ecological",H32="Frontier or unknown",I32="Affected-party dispute or unknown"),"AF-High-Consequence",IF(OR(D32="Moderate",E32="Limited reversible",F32="Partly reversible",G32="Regional/sectoral",H32="Novel",I32="High"),"AF-Standard","AF-Lite")))))</f>
        <v/>
      </c>
      <c r="N32" s="356" t="n"/>
      <c r="O32" s="302">
        <f>IF(AND(M32="",N32=""),"",IF(AND(M32&lt;&gt;"",N32=""),"UNRECORDED",IF(AND(M32="",N32&lt;&gt;""),"ORPHAN_RECORDED",IF(M32=N32,"MATCH","MISMATCH"))))</f>
        <v/>
      </c>
      <c r="P32" s="103" t="n"/>
      <c r="Q32" s="303">
        <f>IF(COUNTA(A32:L32)=0,"",IF(AND(COUNTIF(Vocabulary!$C$5:$C$8,D32)=1,COUNTIF(Vocabulary!$D$5:$D$8,E32)=1,COUNTIF(Vocabulary!$E$5:$E$8,F32)=1,COUNTIF(Vocabulary!$F$5:$F$8,G32)=1,COUNTIF(Vocabulary!$G$5:$G$8,H32)=1,COUNTIF(Vocabulary!$H$5:$H$8,I32)=1,COUNTIF(Vocabulary!$I$5:$I$7,J32)=1,COUNTIF(Vocabulary!$I$5:$I$7,K32)=1,COUNTIF(Vocabulary!$J$5:$J$6,L32)=1),"OK","UNRECOGNISED_ROUTING_VALUE"))</f>
        <v/>
      </c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02">
        <f>IF(COUNTA(A33:L33)=0,"",IF(OR(LEN(TRIM(B33))=0,LEN(TRIM(C33))=0,LEN(TRIM(D33))=0,LEN(TRIM(E33))=0,LEN(TRIM(F33))=0,LEN(TRIM(G33))=0,LEN(TRIM(H33))=0,LEN(TRIM(I33))=0,LEN(TRIM(J33))=0,LEN(TRIM(K33))=0,LEN(TRIM(L33))=0),"Undetermined - incomplete routing",IF(Q33&lt;&gt;"OK","Undetermined - unrecognized routing value",IF(OR(D33="High",D33="Catastrophic/systemic",E33="Material",E33="Fundamental or uncertain",F33="Difficult to reverse",F33="Irreversible or unknown",G33="National/transnational/ecological",H33="Frontier or unknown",I33="Affected-party dispute or unknown"),"AF-High-Consequence",IF(OR(D33="Moderate",E33="Limited reversible",F33="Partly reversible",G33="Regional/sectoral",H33="Novel",I33="High"),"AF-Standard","AF-Lite")))))</f>
        <v/>
      </c>
      <c r="N33" s="356" t="n"/>
      <c r="O33" s="302">
        <f>IF(AND(M33="",N33=""),"",IF(AND(M33&lt;&gt;"",N33=""),"UNRECORDED",IF(AND(M33="",N33&lt;&gt;""),"ORPHAN_RECORDED",IF(M33=N33,"MATCH","MISMATCH"))))</f>
        <v/>
      </c>
      <c r="P33" s="103" t="n"/>
      <c r="Q33" s="303">
        <f>IF(COUNTA(A33:L33)=0,"",IF(AND(COUNTIF(Vocabulary!$C$5:$C$8,D33)=1,COUNTIF(Vocabulary!$D$5:$D$8,E33)=1,COUNTIF(Vocabulary!$E$5:$E$8,F33)=1,COUNTIF(Vocabulary!$F$5:$F$8,G33)=1,COUNTIF(Vocabulary!$G$5:$G$8,H33)=1,COUNTIF(Vocabulary!$H$5:$H$8,I33)=1,COUNTIF(Vocabulary!$I$5:$I$7,J33)=1,COUNTIF(Vocabulary!$I$5:$I$7,K33)=1,COUNTIF(Vocabulary!$J$5:$J$6,L33)=1),"OK","UNRECOGNISED_ROUTING_VALUE"))</f>
        <v/>
      </c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302">
        <f>IF(COUNTA(A34:L34)=0,"",IF(OR(LEN(TRIM(B34))=0,LEN(TRIM(C34))=0,LEN(TRIM(D34))=0,LEN(TRIM(E34))=0,LEN(TRIM(F34))=0,LEN(TRIM(G34))=0,LEN(TRIM(H34))=0,LEN(TRIM(I34))=0,LEN(TRIM(J34))=0,LEN(TRIM(K34))=0,LEN(TRIM(L34))=0),"Undetermined - incomplete routing",IF(Q34&lt;&gt;"OK","Undetermined - unrecognized routing value",IF(OR(D34="High",D34="Catastrophic/systemic",E34="Material",E34="Fundamental or uncertain",F34="Difficult to reverse",F34="Irreversible or unknown",G34="National/transnational/ecological",H34="Frontier or unknown",I34="Affected-party dispute or unknown"),"AF-High-Consequence",IF(OR(D34="Moderate",E34="Limited reversible",F34="Partly reversible",G34="Regional/sectoral",H34="Novel",I34="High"),"AF-Standard","AF-Lite")))))</f>
        <v/>
      </c>
      <c r="N34" s="356" t="n"/>
      <c r="O34" s="302">
        <f>IF(AND(M34="",N34=""),"",IF(AND(M34&lt;&gt;"",N34=""),"UNRECORDED",IF(AND(M34="",N34&lt;&gt;""),"ORPHAN_RECORDED",IF(M34=N34,"MATCH","MISMATCH"))))</f>
        <v/>
      </c>
      <c r="P34" s="103" t="n"/>
      <c r="Q34" s="303">
        <f>IF(COUNTA(A34:L34)=0,"",IF(AND(COUNTIF(Vocabulary!$C$5:$C$8,D34)=1,COUNTIF(Vocabulary!$D$5:$D$8,E34)=1,COUNTIF(Vocabulary!$E$5:$E$8,F34)=1,COUNTIF(Vocabulary!$F$5:$F$8,G34)=1,COUNTIF(Vocabulary!$G$5:$G$8,H34)=1,COUNTIF(Vocabulary!$H$5:$H$8,I34)=1,COUNTIF(Vocabulary!$I$5:$I$7,J34)=1,COUNTIF(Vocabulary!$I$5:$I$7,K34)=1,COUNTIF(Vocabulary!$J$5:$J$6,L34)=1),"OK","UNRECOGNISED_ROUTING_VALUE"))</f>
        <v/>
      </c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6" t="n"/>
      <c r="L35" s="356" t="n"/>
      <c r="M35" s="302">
        <f>IF(COUNTA(A35:L35)=0,"",IF(OR(LEN(TRIM(B35))=0,LEN(TRIM(C35))=0,LEN(TRIM(D35))=0,LEN(TRIM(E35))=0,LEN(TRIM(F35))=0,LEN(TRIM(G35))=0,LEN(TRIM(H35))=0,LEN(TRIM(I35))=0,LEN(TRIM(J35))=0,LEN(TRIM(K35))=0,LEN(TRIM(L35))=0),"Undetermined - incomplete routing",IF(Q35&lt;&gt;"OK","Undetermined - unrecognized routing value",IF(OR(D35="High",D35="Catastrophic/systemic",E35="Material",E35="Fundamental or uncertain",F35="Difficult to reverse",F35="Irreversible or unknown",G35="National/transnational/ecological",H35="Frontier or unknown",I35="Affected-party dispute or unknown"),"AF-High-Consequence",IF(OR(D35="Moderate",E35="Limited reversible",F35="Partly reversible",G35="Regional/sectoral",H35="Novel",I35="High"),"AF-Standard","AF-Lite")))))</f>
        <v/>
      </c>
      <c r="N35" s="356" t="n"/>
      <c r="O35" s="302">
        <f>IF(AND(M35="",N35=""),"",IF(AND(M35&lt;&gt;"",N35=""),"UNRECORDED",IF(AND(M35="",N35&lt;&gt;""),"ORPHAN_RECORDED",IF(M35=N35,"MATCH","MISMATCH"))))</f>
        <v/>
      </c>
      <c r="P35" s="103" t="n"/>
      <c r="Q35" s="303">
        <f>IF(COUNTA(A35:L35)=0,"",IF(AND(COUNTIF(Vocabulary!$C$5:$C$8,D35)=1,COUNTIF(Vocabulary!$D$5:$D$8,E35)=1,COUNTIF(Vocabulary!$E$5:$E$8,F35)=1,COUNTIF(Vocabulary!$F$5:$F$8,G35)=1,COUNTIF(Vocabulary!$G$5:$G$8,H35)=1,COUNTIF(Vocabulary!$H$5:$H$8,I35)=1,COUNTIF(Vocabulary!$I$5:$I$7,J35)=1,COUNTIF(Vocabulary!$I$5:$I$7,K35)=1,COUNTIF(Vocabulary!$J$5:$J$6,L35)=1),"OK","UNRECOGNISED_ROUTING_VALUE"))</f>
        <v/>
      </c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56" t="n"/>
      <c r="I36" s="356" t="n"/>
      <c r="J36" s="356" t="n"/>
      <c r="K36" s="356" t="n"/>
      <c r="L36" s="356" t="n"/>
      <c r="M36" s="302">
        <f>IF(COUNTA(A36:L36)=0,"",IF(OR(LEN(TRIM(B36))=0,LEN(TRIM(C36))=0,LEN(TRIM(D36))=0,LEN(TRIM(E36))=0,LEN(TRIM(F36))=0,LEN(TRIM(G36))=0,LEN(TRIM(H36))=0,LEN(TRIM(I36))=0,LEN(TRIM(J36))=0,LEN(TRIM(K36))=0,LEN(TRIM(L36))=0),"Undetermined - incomplete routing",IF(Q36&lt;&gt;"OK","Undetermined - unrecognized routing value",IF(OR(D36="High",D36="Catastrophic/systemic",E36="Material",E36="Fundamental or uncertain",F36="Difficult to reverse",F36="Irreversible or unknown",G36="National/transnational/ecological",H36="Frontier or unknown",I36="Affected-party dispute or unknown"),"AF-High-Consequence",IF(OR(D36="Moderate",E36="Limited reversible",F36="Partly reversible",G36="Regional/sectoral",H36="Novel",I36="High"),"AF-Standard","AF-Lite")))))</f>
        <v/>
      </c>
      <c r="N36" s="356" t="n"/>
      <c r="O36" s="302">
        <f>IF(AND(M36="",N36=""),"",IF(AND(M36&lt;&gt;"",N36=""),"UNRECORDED",IF(AND(M36="",N36&lt;&gt;""),"ORPHAN_RECORDED",IF(M36=N36,"MATCH","MISMATCH"))))</f>
        <v/>
      </c>
      <c r="P36" s="103" t="n"/>
      <c r="Q36" s="303">
        <f>IF(COUNTA(A36:L36)=0,"",IF(AND(COUNTIF(Vocabulary!$C$5:$C$8,D36)=1,COUNTIF(Vocabulary!$D$5:$D$8,E36)=1,COUNTIF(Vocabulary!$E$5:$E$8,F36)=1,COUNTIF(Vocabulary!$F$5:$F$8,G36)=1,COUNTIF(Vocabulary!$G$5:$G$8,H36)=1,COUNTIF(Vocabulary!$H$5:$H$8,I36)=1,COUNTIF(Vocabulary!$I$5:$I$7,J36)=1,COUNTIF(Vocabulary!$I$5:$I$7,K36)=1,COUNTIF(Vocabulary!$J$5:$J$6,L36)=1),"OK","UNRECOGNISED_ROUTING_VALUE"))</f>
        <v/>
      </c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6" t="n"/>
      <c r="L37" s="356" t="n"/>
      <c r="M37" s="302">
        <f>IF(COUNTA(A37:L37)=0,"",IF(OR(LEN(TRIM(B37))=0,LEN(TRIM(C37))=0,LEN(TRIM(D37))=0,LEN(TRIM(E37))=0,LEN(TRIM(F37))=0,LEN(TRIM(G37))=0,LEN(TRIM(H37))=0,LEN(TRIM(I37))=0,LEN(TRIM(J37))=0,LEN(TRIM(K37))=0,LEN(TRIM(L37))=0),"Undetermined - incomplete routing",IF(Q37&lt;&gt;"OK","Undetermined - unrecognized routing value",IF(OR(D37="High",D37="Catastrophic/systemic",E37="Material",E37="Fundamental or uncertain",F37="Difficult to reverse",F37="Irreversible or unknown",G37="National/transnational/ecological",H37="Frontier or unknown",I37="Affected-party dispute or unknown"),"AF-High-Consequence",IF(OR(D37="Moderate",E37="Limited reversible",F37="Partly reversible",G37="Regional/sectoral",H37="Novel",I37="High"),"AF-Standard","AF-Lite")))))</f>
        <v/>
      </c>
      <c r="N37" s="356" t="n"/>
      <c r="O37" s="302">
        <f>IF(AND(M37="",N37=""),"",IF(AND(M37&lt;&gt;"",N37=""),"UNRECORDED",IF(AND(M37="",N37&lt;&gt;""),"ORPHAN_RECORDED",IF(M37=N37,"MATCH","MISMATCH"))))</f>
        <v/>
      </c>
      <c r="P37" s="103" t="n"/>
      <c r="Q37" s="303">
        <f>IF(COUNTA(A37:L37)=0,"",IF(AND(COUNTIF(Vocabulary!$C$5:$C$8,D37)=1,COUNTIF(Vocabulary!$D$5:$D$8,E37)=1,COUNTIF(Vocabulary!$E$5:$E$8,F37)=1,COUNTIF(Vocabulary!$F$5:$F$8,G37)=1,COUNTIF(Vocabulary!$G$5:$G$8,H37)=1,COUNTIF(Vocabulary!$H$5:$H$8,I37)=1,COUNTIF(Vocabulary!$I$5:$I$7,J37)=1,COUNTIF(Vocabulary!$I$5:$I$7,K37)=1,COUNTIF(Vocabulary!$J$5:$J$6,L37)=1),"OK","UNRECOGNISED_ROUTING_VALUE"))</f>
        <v/>
      </c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56" t="n"/>
      <c r="I38" s="356" t="n"/>
      <c r="J38" s="356" t="n"/>
      <c r="K38" s="356" t="n"/>
      <c r="L38" s="356" t="n"/>
      <c r="M38" s="302">
        <f>IF(COUNTA(A38:L38)=0,"",IF(OR(LEN(TRIM(B38))=0,LEN(TRIM(C38))=0,LEN(TRIM(D38))=0,LEN(TRIM(E38))=0,LEN(TRIM(F38))=0,LEN(TRIM(G38))=0,LEN(TRIM(H38))=0,LEN(TRIM(I38))=0,LEN(TRIM(J38))=0,LEN(TRIM(K38))=0,LEN(TRIM(L38))=0),"Undetermined - incomplete routing",IF(Q38&lt;&gt;"OK","Undetermined - unrecognized routing value",IF(OR(D38="High",D38="Catastrophic/systemic",E38="Material",E38="Fundamental or uncertain",F38="Difficult to reverse",F38="Irreversible or unknown",G38="National/transnational/ecological",H38="Frontier or unknown",I38="Affected-party dispute or unknown"),"AF-High-Consequence",IF(OR(D38="Moderate",E38="Limited reversible",F38="Partly reversible",G38="Regional/sectoral",H38="Novel",I38="High"),"AF-Standard","AF-Lite")))))</f>
        <v/>
      </c>
      <c r="N38" s="356" t="n"/>
      <c r="O38" s="302">
        <f>IF(AND(M38="",N38=""),"",IF(AND(M38&lt;&gt;"",N38=""),"UNRECORDED",IF(AND(M38="",N38&lt;&gt;""),"ORPHAN_RECORDED",IF(M38=N38,"MATCH","MISMATCH"))))</f>
        <v/>
      </c>
      <c r="P38" s="103" t="n"/>
      <c r="Q38" s="303">
        <f>IF(COUNTA(A38:L38)=0,"",IF(AND(COUNTIF(Vocabulary!$C$5:$C$8,D38)=1,COUNTIF(Vocabulary!$D$5:$D$8,E38)=1,COUNTIF(Vocabulary!$E$5:$E$8,F38)=1,COUNTIF(Vocabulary!$F$5:$F$8,G38)=1,COUNTIF(Vocabulary!$G$5:$G$8,H38)=1,COUNTIF(Vocabulary!$H$5:$H$8,I38)=1,COUNTIF(Vocabulary!$I$5:$I$7,J38)=1,COUNTIF(Vocabulary!$I$5:$I$7,K38)=1,COUNTIF(Vocabulary!$J$5:$J$6,L38)=1),"OK","UNRECOGNISED_ROUTING_VALUE"))</f>
        <v/>
      </c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56" t="n"/>
      <c r="I39" s="356" t="n"/>
      <c r="J39" s="356" t="n"/>
      <c r="K39" s="356" t="n"/>
      <c r="L39" s="356" t="n"/>
      <c r="M39" s="302">
        <f>IF(COUNTA(A39:L39)=0,"",IF(OR(LEN(TRIM(B39))=0,LEN(TRIM(C39))=0,LEN(TRIM(D39))=0,LEN(TRIM(E39))=0,LEN(TRIM(F39))=0,LEN(TRIM(G39))=0,LEN(TRIM(H39))=0,LEN(TRIM(I39))=0,LEN(TRIM(J39))=0,LEN(TRIM(K39))=0,LEN(TRIM(L39))=0),"Undetermined - incomplete routing",IF(Q39&lt;&gt;"OK","Undetermined - unrecognized routing value",IF(OR(D39="High",D39="Catastrophic/systemic",E39="Material",E39="Fundamental or uncertain",F39="Difficult to reverse",F39="Irreversible or unknown",G39="National/transnational/ecological",H39="Frontier or unknown",I39="Affected-party dispute or unknown"),"AF-High-Consequence",IF(OR(D39="Moderate",E39="Limited reversible",F39="Partly reversible",G39="Regional/sectoral",H39="Novel",I39="High"),"AF-Standard","AF-Lite")))))</f>
        <v/>
      </c>
      <c r="N39" s="356" t="n"/>
      <c r="O39" s="302">
        <f>IF(AND(M39="",N39=""),"",IF(AND(M39&lt;&gt;"",N39=""),"UNRECORDED",IF(AND(M39="",N39&lt;&gt;""),"ORPHAN_RECORDED",IF(M39=N39,"MATCH","MISMATCH"))))</f>
        <v/>
      </c>
      <c r="P39" s="103" t="n"/>
      <c r="Q39" s="303">
        <f>IF(COUNTA(A39:L39)=0,"",IF(AND(COUNTIF(Vocabulary!$C$5:$C$8,D39)=1,COUNTIF(Vocabulary!$D$5:$D$8,E39)=1,COUNTIF(Vocabulary!$E$5:$E$8,F39)=1,COUNTIF(Vocabulary!$F$5:$F$8,G39)=1,COUNTIF(Vocabulary!$G$5:$G$8,H39)=1,COUNTIF(Vocabulary!$H$5:$H$8,I39)=1,COUNTIF(Vocabulary!$I$5:$I$7,J39)=1,COUNTIF(Vocabulary!$I$5:$I$7,K39)=1,COUNTIF(Vocabulary!$J$5:$J$6,L39)=1),"OK","UNRECOGNISED_ROUTING_VALUE"))</f>
        <v/>
      </c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56" t="n"/>
      <c r="I40" s="356" t="n"/>
      <c r="J40" s="356" t="n"/>
      <c r="K40" s="356" t="n"/>
      <c r="L40" s="356" t="n"/>
      <c r="M40" s="302">
        <f>IF(COUNTA(A40:L40)=0,"",IF(OR(LEN(TRIM(B40))=0,LEN(TRIM(C40))=0,LEN(TRIM(D40))=0,LEN(TRIM(E40))=0,LEN(TRIM(F40))=0,LEN(TRIM(G40))=0,LEN(TRIM(H40))=0,LEN(TRIM(I40))=0,LEN(TRIM(J40))=0,LEN(TRIM(K40))=0,LEN(TRIM(L40))=0),"Undetermined - incomplete routing",IF(Q40&lt;&gt;"OK","Undetermined - unrecognized routing value",IF(OR(D40="High",D40="Catastrophic/systemic",E40="Material",E40="Fundamental or uncertain",F40="Difficult to reverse",F40="Irreversible or unknown",G40="National/transnational/ecological",H40="Frontier or unknown",I40="Affected-party dispute or unknown"),"AF-High-Consequence",IF(OR(D40="Moderate",E40="Limited reversible",F40="Partly reversible",G40="Regional/sectoral",H40="Novel",I40="High"),"AF-Standard","AF-Lite")))))</f>
        <v/>
      </c>
      <c r="N40" s="356" t="n"/>
      <c r="O40" s="302">
        <f>IF(AND(M40="",N40=""),"",IF(AND(M40&lt;&gt;"",N40=""),"UNRECORDED",IF(AND(M40="",N40&lt;&gt;""),"ORPHAN_RECORDED",IF(M40=N40,"MATCH","MISMATCH"))))</f>
        <v/>
      </c>
      <c r="P40" s="103" t="n"/>
      <c r="Q40" s="303">
        <f>IF(COUNTA(A40:L40)=0,"",IF(AND(COUNTIF(Vocabulary!$C$5:$C$8,D40)=1,COUNTIF(Vocabulary!$D$5:$D$8,E40)=1,COUNTIF(Vocabulary!$E$5:$E$8,F40)=1,COUNTIF(Vocabulary!$F$5:$F$8,G40)=1,COUNTIF(Vocabulary!$G$5:$G$8,H40)=1,COUNTIF(Vocabulary!$H$5:$H$8,I40)=1,COUNTIF(Vocabulary!$I$5:$I$7,J40)=1,COUNTIF(Vocabulary!$I$5:$I$7,K40)=1,COUNTIF(Vocabulary!$J$5:$J$6,L40)=1),"OK","UNRECOGNISED_ROUTING_VALUE"))</f>
        <v/>
      </c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02">
        <f>IF(COUNTA(A41:L41)=0,"",IF(OR(LEN(TRIM(B41))=0,LEN(TRIM(C41))=0,LEN(TRIM(D41))=0,LEN(TRIM(E41))=0,LEN(TRIM(F41))=0,LEN(TRIM(G41))=0,LEN(TRIM(H41))=0,LEN(TRIM(I41))=0,LEN(TRIM(J41))=0,LEN(TRIM(K41))=0,LEN(TRIM(L41))=0),"Undetermined - incomplete routing",IF(Q41&lt;&gt;"OK","Undetermined - unrecognized routing value",IF(OR(D41="High",D41="Catastrophic/systemic",E41="Material",E41="Fundamental or uncertain",F41="Difficult to reverse",F41="Irreversible or unknown",G41="National/transnational/ecological",H41="Frontier or unknown",I41="Affected-party dispute or unknown"),"AF-High-Consequence",IF(OR(D41="Moderate",E41="Limited reversible",F41="Partly reversible",G41="Regional/sectoral",H41="Novel",I41="High"),"AF-Standard","AF-Lite")))))</f>
        <v/>
      </c>
      <c r="N41" s="356" t="n"/>
      <c r="O41" s="302">
        <f>IF(AND(M41="",N41=""),"",IF(AND(M41&lt;&gt;"",N41=""),"UNRECORDED",IF(AND(M41="",N41&lt;&gt;""),"ORPHAN_RECORDED",IF(M41=N41,"MATCH","MISMATCH"))))</f>
        <v/>
      </c>
      <c r="P41" s="103" t="n"/>
      <c r="Q41" s="303">
        <f>IF(COUNTA(A41:L41)=0,"",IF(AND(COUNTIF(Vocabulary!$C$5:$C$8,D41)=1,COUNTIF(Vocabulary!$D$5:$D$8,E41)=1,COUNTIF(Vocabulary!$E$5:$E$8,F41)=1,COUNTIF(Vocabulary!$F$5:$F$8,G41)=1,COUNTIF(Vocabulary!$G$5:$G$8,H41)=1,COUNTIF(Vocabulary!$H$5:$H$8,I41)=1,COUNTIF(Vocabulary!$I$5:$I$7,J41)=1,COUNTIF(Vocabulary!$I$5:$I$7,K41)=1,COUNTIF(Vocabulary!$J$5:$J$6,L41)=1),"OK","UNRECOGNISED_ROUTING_VALUE"))</f>
        <v/>
      </c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02">
        <f>IF(COUNTA(A42:L42)=0,"",IF(OR(LEN(TRIM(B42))=0,LEN(TRIM(C42))=0,LEN(TRIM(D42))=0,LEN(TRIM(E42))=0,LEN(TRIM(F42))=0,LEN(TRIM(G42))=0,LEN(TRIM(H42))=0,LEN(TRIM(I42))=0,LEN(TRIM(J42))=0,LEN(TRIM(K42))=0,LEN(TRIM(L42))=0),"Undetermined - incomplete routing",IF(Q42&lt;&gt;"OK","Undetermined - unrecognized routing value",IF(OR(D42="High",D42="Catastrophic/systemic",E42="Material",E42="Fundamental or uncertain",F42="Difficult to reverse",F42="Irreversible or unknown",G42="National/transnational/ecological",H42="Frontier or unknown",I42="Affected-party dispute or unknown"),"AF-High-Consequence",IF(OR(D42="Moderate",E42="Limited reversible",F42="Partly reversible",G42="Regional/sectoral",H42="Novel",I42="High"),"AF-Standard","AF-Lite")))))</f>
        <v/>
      </c>
      <c r="N42" s="356" t="n"/>
      <c r="O42" s="302">
        <f>IF(AND(M42="",N42=""),"",IF(AND(M42&lt;&gt;"",N42=""),"UNRECORDED",IF(AND(M42="",N42&lt;&gt;""),"ORPHAN_RECORDED",IF(M42=N42,"MATCH","MISMATCH"))))</f>
        <v/>
      </c>
      <c r="P42" s="103" t="n"/>
      <c r="Q42" s="303">
        <f>IF(COUNTA(A42:L42)=0,"",IF(AND(COUNTIF(Vocabulary!$C$5:$C$8,D42)=1,COUNTIF(Vocabulary!$D$5:$D$8,E42)=1,COUNTIF(Vocabulary!$E$5:$E$8,F42)=1,COUNTIF(Vocabulary!$F$5:$F$8,G42)=1,COUNTIF(Vocabulary!$G$5:$G$8,H42)=1,COUNTIF(Vocabulary!$H$5:$H$8,I42)=1,COUNTIF(Vocabulary!$I$5:$I$7,J42)=1,COUNTIF(Vocabulary!$I$5:$I$7,K42)=1,COUNTIF(Vocabulary!$J$5:$J$6,L42)=1),"OK","UNRECOGNISED_ROUTING_VALUE"))</f>
        <v/>
      </c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56" t="n"/>
      <c r="I43" s="356" t="n"/>
      <c r="J43" s="356" t="n"/>
      <c r="K43" s="356" t="n"/>
      <c r="L43" s="356" t="n"/>
      <c r="M43" s="302">
        <f>IF(COUNTA(A43:L43)=0,"",IF(OR(LEN(TRIM(B43))=0,LEN(TRIM(C43))=0,LEN(TRIM(D43))=0,LEN(TRIM(E43))=0,LEN(TRIM(F43))=0,LEN(TRIM(G43))=0,LEN(TRIM(H43))=0,LEN(TRIM(I43))=0,LEN(TRIM(J43))=0,LEN(TRIM(K43))=0,LEN(TRIM(L43))=0),"Undetermined - incomplete routing",IF(Q43&lt;&gt;"OK","Undetermined - unrecognized routing value",IF(OR(D43="High",D43="Catastrophic/systemic",E43="Material",E43="Fundamental or uncertain",F43="Difficult to reverse",F43="Irreversible or unknown",G43="National/transnational/ecological",H43="Frontier or unknown",I43="Affected-party dispute or unknown"),"AF-High-Consequence",IF(OR(D43="Moderate",E43="Limited reversible",F43="Partly reversible",G43="Regional/sectoral",H43="Novel",I43="High"),"AF-Standard","AF-Lite")))))</f>
        <v/>
      </c>
      <c r="N43" s="356" t="n"/>
      <c r="O43" s="302">
        <f>IF(AND(M43="",N43=""),"",IF(AND(M43&lt;&gt;"",N43=""),"UNRECORDED",IF(AND(M43="",N43&lt;&gt;""),"ORPHAN_RECORDED",IF(M43=N43,"MATCH","MISMATCH"))))</f>
        <v/>
      </c>
      <c r="P43" s="103" t="n"/>
      <c r="Q43" s="303">
        <f>IF(COUNTA(A43:L43)=0,"",IF(AND(COUNTIF(Vocabulary!$C$5:$C$8,D43)=1,COUNTIF(Vocabulary!$D$5:$D$8,E43)=1,COUNTIF(Vocabulary!$E$5:$E$8,F43)=1,COUNTIF(Vocabulary!$F$5:$F$8,G43)=1,COUNTIF(Vocabulary!$G$5:$G$8,H43)=1,COUNTIF(Vocabulary!$H$5:$H$8,I43)=1,COUNTIF(Vocabulary!$I$5:$I$7,J43)=1,COUNTIF(Vocabulary!$I$5:$I$7,K43)=1,COUNTIF(Vocabulary!$J$5:$J$6,L43)=1),"OK","UNRECOGNISED_ROUTING_VALUE"))</f>
        <v/>
      </c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56" t="n"/>
      <c r="I44" s="356" t="n"/>
      <c r="J44" s="356" t="n"/>
      <c r="K44" s="356" t="n"/>
      <c r="L44" s="356" t="n"/>
      <c r="M44" s="302">
        <f>IF(COUNTA(A44:L44)=0,"",IF(OR(LEN(TRIM(B44))=0,LEN(TRIM(C44))=0,LEN(TRIM(D44))=0,LEN(TRIM(E44))=0,LEN(TRIM(F44))=0,LEN(TRIM(G44))=0,LEN(TRIM(H44))=0,LEN(TRIM(I44))=0,LEN(TRIM(J44))=0,LEN(TRIM(K44))=0,LEN(TRIM(L44))=0),"Undetermined - incomplete routing",IF(Q44&lt;&gt;"OK","Undetermined - unrecognized routing value",IF(OR(D44="High",D44="Catastrophic/systemic",E44="Material",E44="Fundamental or uncertain",F44="Difficult to reverse",F44="Irreversible or unknown",G44="National/transnational/ecological",H44="Frontier or unknown",I44="Affected-party dispute or unknown"),"AF-High-Consequence",IF(OR(D44="Moderate",E44="Limited reversible",F44="Partly reversible",G44="Regional/sectoral",H44="Novel",I44="High"),"AF-Standard","AF-Lite")))))</f>
        <v/>
      </c>
      <c r="N44" s="356" t="n"/>
      <c r="O44" s="302">
        <f>IF(AND(M44="",N44=""),"",IF(AND(M44&lt;&gt;"",N44=""),"UNRECORDED",IF(AND(M44="",N44&lt;&gt;""),"ORPHAN_RECORDED",IF(M44=N44,"MATCH","MISMATCH"))))</f>
        <v/>
      </c>
      <c r="P44" s="103" t="n"/>
      <c r="Q44" s="303">
        <f>IF(COUNTA(A44:L44)=0,"",IF(AND(COUNTIF(Vocabulary!$C$5:$C$8,D44)=1,COUNTIF(Vocabulary!$D$5:$D$8,E44)=1,COUNTIF(Vocabulary!$E$5:$E$8,F44)=1,COUNTIF(Vocabulary!$F$5:$F$8,G44)=1,COUNTIF(Vocabulary!$G$5:$G$8,H44)=1,COUNTIF(Vocabulary!$H$5:$H$8,I44)=1,COUNTIF(Vocabulary!$I$5:$I$7,J44)=1,COUNTIF(Vocabulary!$I$5:$I$7,K44)=1,COUNTIF(Vocabulary!$J$5:$J$6,L44)=1),"OK","UNRECOGNISED_ROUTING_VALUE"))</f>
        <v/>
      </c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56" t="n"/>
      <c r="I45" s="356" t="n"/>
      <c r="J45" s="356" t="n"/>
      <c r="K45" s="356" t="n"/>
      <c r="L45" s="356" t="n"/>
      <c r="M45" s="302">
        <f>IF(COUNTA(A45:L45)=0,"",IF(OR(LEN(TRIM(B45))=0,LEN(TRIM(C45))=0,LEN(TRIM(D45))=0,LEN(TRIM(E45))=0,LEN(TRIM(F45))=0,LEN(TRIM(G45))=0,LEN(TRIM(H45))=0,LEN(TRIM(I45))=0,LEN(TRIM(J45))=0,LEN(TRIM(K45))=0,LEN(TRIM(L45))=0),"Undetermined - incomplete routing",IF(Q45&lt;&gt;"OK","Undetermined - unrecognized routing value",IF(OR(D45="High",D45="Catastrophic/systemic",E45="Material",E45="Fundamental or uncertain",F45="Difficult to reverse",F45="Irreversible or unknown",G45="National/transnational/ecological",H45="Frontier or unknown",I45="Affected-party dispute or unknown"),"AF-High-Consequence",IF(OR(D45="Moderate",E45="Limited reversible",F45="Partly reversible",G45="Regional/sectoral",H45="Novel",I45="High"),"AF-Standard","AF-Lite")))))</f>
        <v/>
      </c>
      <c r="N45" s="356" t="n"/>
      <c r="O45" s="302">
        <f>IF(AND(M45="",N45=""),"",IF(AND(M45&lt;&gt;"",N45=""),"UNRECORDED",IF(AND(M45="",N45&lt;&gt;""),"ORPHAN_RECORDED",IF(M45=N45,"MATCH","MISMATCH"))))</f>
        <v/>
      </c>
      <c r="P45" s="103" t="n"/>
      <c r="Q45" s="303">
        <f>IF(COUNTA(A45:L45)=0,"",IF(AND(COUNTIF(Vocabulary!$C$5:$C$8,D45)=1,COUNTIF(Vocabulary!$D$5:$D$8,E45)=1,COUNTIF(Vocabulary!$E$5:$E$8,F45)=1,COUNTIF(Vocabulary!$F$5:$F$8,G45)=1,COUNTIF(Vocabulary!$G$5:$G$8,H45)=1,COUNTIF(Vocabulary!$H$5:$H$8,I45)=1,COUNTIF(Vocabulary!$I$5:$I$7,J45)=1,COUNTIF(Vocabulary!$I$5:$I$7,K45)=1,COUNTIF(Vocabulary!$J$5:$J$6,L45)=1),"OK","UNRECOGNISED_ROUTING_VALUE"))</f>
        <v/>
      </c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302">
        <f>IF(COUNTA(A46:L46)=0,"",IF(OR(LEN(TRIM(B46))=0,LEN(TRIM(C46))=0,LEN(TRIM(D46))=0,LEN(TRIM(E46))=0,LEN(TRIM(F46))=0,LEN(TRIM(G46))=0,LEN(TRIM(H46))=0,LEN(TRIM(I46))=0,LEN(TRIM(J46))=0,LEN(TRIM(K46))=0,LEN(TRIM(L46))=0),"Undetermined - incomplete routing",IF(Q46&lt;&gt;"OK","Undetermined - unrecognized routing value",IF(OR(D46="High",D46="Catastrophic/systemic",E46="Material",E46="Fundamental or uncertain",F46="Difficult to reverse",F46="Irreversible or unknown",G46="National/transnational/ecological",H46="Frontier or unknown",I46="Affected-party dispute or unknown"),"AF-High-Consequence",IF(OR(D46="Moderate",E46="Limited reversible",F46="Partly reversible",G46="Regional/sectoral",H46="Novel",I46="High"),"AF-Standard","AF-Lite")))))</f>
        <v/>
      </c>
      <c r="N46" s="356" t="n"/>
      <c r="O46" s="302">
        <f>IF(AND(M46="",N46=""),"",IF(AND(M46&lt;&gt;"",N46=""),"UNRECORDED",IF(AND(M46="",N46&lt;&gt;""),"ORPHAN_RECORDED",IF(M46=N46,"MATCH","MISMATCH"))))</f>
        <v/>
      </c>
      <c r="P46" s="103" t="n"/>
      <c r="Q46" s="303">
        <f>IF(COUNTA(A46:L46)=0,"",IF(AND(COUNTIF(Vocabulary!$C$5:$C$8,D46)=1,COUNTIF(Vocabulary!$D$5:$D$8,E46)=1,COUNTIF(Vocabulary!$E$5:$E$8,F46)=1,COUNTIF(Vocabulary!$F$5:$F$8,G46)=1,COUNTIF(Vocabulary!$G$5:$G$8,H46)=1,COUNTIF(Vocabulary!$H$5:$H$8,I46)=1,COUNTIF(Vocabulary!$I$5:$I$7,J46)=1,COUNTIF(Vocabulary!$I$5:$I$7,K46)=1,COUNTIF(Vocabulary!$J$5:$J$6,L46)=1),"OK","UNRECOGNISED_ROUTING_VALUE"))</f>
        <v/>
      </c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56" t="n"/>
      <c r="I47" s="356" t="n"/>
      <c r="J47" s="356" t="n"/>
      <c r="K47" s="356" t="n"/>
      <c r="L47" s="356" t="n"/>
      <c r="M47" s="302">
        <f>IF(COUNTA(A47:L47)=0,"",IF(OR(LEN(TRIM(B47))=0,LEN(TRIM(C47))=0,LEN(TRIM(D47))=0,LEN(TRIM(E47))=0,LEN(TRIM(F47))=0,LEN(TRIM(G47))=0,LEN(TRIM(H47))=0,LEN(TRIM(I47))=0,LEN(TRIM(J47))=0,LEN(TRIM(K47))=0,LEN(TRIM(L47))=0),"Undetermined - incomplete routing",IF(Q47&lt;&gt;"OK","Undetermined - unrecognized routing value",IF(OR(D47="High",D47="Catastrophic/systemic",E47="Material",E47="Fundamental or uncertain",F47="Difficult to reverse",F47="Irreversible or unknown",G47="National/transnational/ecological",H47="Frontier or unknown",I47="Affected-party dispute or unknown"),"AF-High-Consequence",IF(OR(D47="Moderate",E47="Limited reversible",F47="Partly reversible",G47="Regional/sectoral",H47="Novel",I47="High"),"AF-Standard","AF-Lite")))))</f>
        <v/>
      </c>
      <c r="N47" s="356" t="n"/>
      <c r="O47" s="302">
        <f>IF(AND(M47="",N47=""),"",IF(AND(M47&lt;&gt;"",N47=""),"UNRECORDED",IF(AND(M47="",N47&lt;&gt;""),"ORPHAN_RECORDED",IF(M47=N47,"MATCH","MISMATCH"))))</f>
        <v/>
      </c>
      <c r="P47" s="103" t="n"/>
      <c r="Q47" s="303">
        <f>IF(COUNTA(A47:L47)=0,"",IF(AND(COUNTIF(Vocabulary!$C$5:$C$8,D47)=1,COUNTIF(Vocabulary!$D$5:$D$8,E47)=1,COUNTIF(Vocabulary!$E$5:$E$8,F47)=1,COUNTIF(Vocabulary!$F$5:$F$8,G47)=1,COUNTIF(Vocabulary!$G$5:$G$8,H47)=1,COUNTIF(Vocabulary!$H$5:$H$8,I47)=1,COUNTIF(Vocabulary!$I$5:$I$7,J47)=1,COUNTIF(Vocabulary!$I$5:$I$7,K47)=1,COUNTIF(Vocabulary!$J$5:$J$6,L47)=1),"OK","UNRECOGNISED_ROUTING_VALUE"))</f>
        <v/>
      </c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302">
        <f>IF(COUNTA(A48:L48)=0,"",IF(OR(LEN(TRIM(B48))=0,LEN(TRIM(C48))=0,LEN(TRIM(D48))=0,LEN(TRIM(E48))=0,LEN(TRIM(F48))=0,LEN(TRIM(G48))=0,LEN(TRIM(H48))=0,LEN(TRIM(I48))=0,LEN(TRIM(J48))=0,LEN(TRIM(K48))=0,LEN(TRIM(L48))=0),"Undetermined - incomplete routing",IF(Q48&lt;&gt;"OK","Undetermined - unrecognized routing value",IF(OR(D48="High",D48="Catastrophic/systemic",E48="Material",E48="Fundamental or uncertain",F48="Difficult to reverse",F48="Irreversible or unknown",G48="National/transnational/ecological",H48="Frontier or unknown",I48="Affected-party dispute or unknown"),"AF-High-Consequence",IF(OR(D48="Moderate",E48="Limited reversible",F48="Partly reversible",G48="Regional/sectoral",H48="Novel",I48="High"),"AF-Standard","AF-Lite")))))</f>
        <v/>
      </c>
      <c r="N48" s="356" t="n"/>
      <c r="O48" s="302">
        <f>IF(AND(M48="",N48=""),"",IF(AND(M48&lt;&gt;"",N48=""),"UNRECORDED",IF(AND(M48="",N48&lt;&gt;""),"ORPHAN_RECORDED",IF(M48=N48,"MATCH","MISMATCH"))))</f>
        <v/>
      </c>
      <c r="P48" s="103" t="n"/>
      <c r="Q48" s="303">
        <f>IF(COUNTA(A48:L48)=0,"",IF(AND(COUNTIF(Vocabulary!$C$5:$C$8,D48)=1,COUNTIF(Vocabulary!$D$5:$D$8,E48)=1,COUNTIF(Vocabulary!$E$5:$E$8,F48)=1,COUNTIF(Vocabulary!$F$5:$F$8,G48)=1,COUNTIF(Vocabulary!$G$5:$G$8,H48)=1,COUNTIF(Vocabulary!$H$5:$H$8,I48)=1,COUNTIF(Vocabulary!$I$5:$I$7,J48)=1,COUNTIF(Vocabulary!$I$5:$I$7,K48)=1,COUNTIF(Vocabulary!$J$5:$J$6,L48)=1),"OK","UNRECOGNISED_ROUTING_VALUE"))</f>
        <v/>
      </c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56" t="n"/>
      <c r="I49" s="356" t="n"/>
      <c r="J49" s="356" t="n"/>
      <c r="K49" s="356" t="n"/>
      <c r="L49" s="356" t="n"/>
      <c r="M49" s="302">
        <f>IF(COUNTA(A49:L49)=0,"",IF(OR(LEN(TRIM(B49))=0,LEN(TRIM(C49))=0,LEN(TRIM(D49))=0,LEN(TRIM(E49))=0,LEN(TRIM(F49))=0,LEN(TRIM(G49))=0,LEN(TRIM(H49))=0,LEN(TRIM(I49))=0,LEN(TRIM(J49))=0,LEN(TRIM(K49))=0,LEN(TRIM(L49))=0),"Undetermined - incomplete routing",IF(Q49&lt;&gt;"OK","Undetermined - unrecognized routing value",IF(OR(D49="High",D49="Catastrophic/systemic",E49="Material",E49="Fundamental or uncertain",F49="Difficult to reverse",F49="Irreversible or unknown",G49="National/transnational/ecological",H49="Frontier or unknown",I49="Affected-party dispute or unknown"),"AF-High-Consequence",IF(OR(D49="Moderate",E49="Limited reversible",F49="Partly reversible",G49="Regional/sectoral",H49="Novel",I49="High"),"AF-Standard","AF-Lite")))))</f>
        <v/>
      </c>
      <c r="N49" s="356" t="n"/>
      <c r="O49" s="302">
        <f>IF(AND(M49="",N49=""),"",IF(AND(M49&lt;&gt;"",N49=""),"UNRECORDED",IF(AND(M49="",N49&lt;&gt;""),"ORPHAN_RECORDED",IF(M49=N49,"MATCH","MISMATCH"))))</f>
        <v/>
      </c>
      <c r="P49" s="103" t="n"/>
      <c r="Q49" s="303">
        <f>IF(COUNTA(A49:L49)=0,"",IF(AND(COUNTIF(Vocabulary!$C$5:$C$8,D49)=1,COUNTIF(Vocabulary!$D$5:$D$8,E49)=1,COUNTIF(Vocabulary!$E$5:$E$8,F49)=1,COUNTIF(Vocabulary!$F$5:$F$8,G49)=1,COUNTIF(Vocabulary!$G$5:$G$8,H49)=1,COUNTIF(Vocabulary!$H$5:$H$8,I49)=1,COUNTIF(Vocabulary!$I$5:$I$7,J49)=1,COUNTIF(Vocabulary!$I$5:$I$7,K49)=1,COUNTIF(Vocabulary!$J$5:$J$6,L49)=1),"OK","UNRECOGNISED_ROUTING_VALUE"))</f>
        <v/>
      </c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56" t="n"/>
      <c r="I50" s="356" t="n"/>
      <c r="J50" s="356" t="n"/>
      <c r="K50" s="356" t="n"/>
      <c r="L50" s="356" t="n"/>
      <c r="M50" s="302">
        <f>IF(COUNTA(A50:L50)=0,"",IF(OR(LEN(TRIM(B50))=0,LEN(TRIM(C50))=0,LEN(TRIM(D50))=0,LEN(TRIM(E50))=0,LEN(TRIM(F50))=0,LEN(TRIM(G50))=0,LEN(TRIM(H50))=0,LEN(TRIM(I50))=0,LEN(TRIM(J50))=0,LEN(TRIM(K50))=0,LEN(TRIM(L50))=0),"Undetermined - incomplete routing",IF(Q50&lt;&gt;"OK","Undetermined - unrecognized routing value",IF(OR(D50="High",D50="Catastrophic/systemic",E50="Material",E50="Fundamental or uncertain",F50="Difficult to reverse",F50="Irreversible or unknown",G50="National/transnational/ecological",H50="Frontier or unknown",I50="Affected-party dispute or unknown"),"AF-High-Consequence",IF(OR(D50="Moderate",E50="Limited reversible",F50="Partly reversible",G50="Regional/sectoral",H50="Novel",I50="High"),"AF-Standard","AF-Lite")))))</f>
        <v/>
      </c>
      <c r="N50" s="356" t="n"/>
      <c r="O50" s="302">
        <f>IF(AND(M50="",N50=""),"",IF(AND(M50&lt;&gt;"",N50=""),"UNRECORDED",IF(AND(M50="",N50&lt;&gt;""),"ORPHAN_RECORDED",IF(M50=N50,"MATCH","MISMATCH"))))</f>
        <v/>
      </c>
      <c r="P50" s="103" t="n"/>
      <c r="Q50" s="303">
        <f>IF(COUNTA(A50:L50)=0,"",IF(AND(COUNTIF(Vocabulary!$C$5:$C$8,D50)=1,COUNTIF(Vocabulary!$D$5:$D$8,E50)=1,COUNTIF(Vocabulary!$E$5:$E$8,F50)=1,COUNTIF(Vocabulary!$F$5:$F$8,G50)=1,COUNTIF(Vocabulary!$G$5:$G$8,H50)=1,COUNTIF(Vocabulary!$H$5:$H$8,I50)=1,COUNTIF(Vocabulary!$I$5:$I$7,J50)=1,COUNTIF(Vocabulary!$I$5:$I$7,K50)=1,COUNTIF(Vocabulary!$J$5:$J$6,L50)=1),"OK","UNRECOGNISED_ROUTING_VALUE"))</f>
        <v/>
      </c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56" t="n"/>
      <c r="I51" s="356" t="n"/>
      <c r="J51" s="356" t="n"/>
      <c r="K51" s="356" t="n"/>
      <c r="L51" s="356" t="n"/>
      <c r="M51" s="302">
        <f>IF(COUNTA(A51:L51)=0,"",IF(OR(LEN(TRIM(B51))=0,LEN(TRIM(C51))=0,LEN(TRIM(D51))=0,LEN(TRIM(E51))=0,LEN(TRIM(F51))=0,LEN(TRIM(G51))=0,LEN(TRIM(H51))=0,LEN(TRIM(I51))=0,LEN(TRIM(J51))=0,LEN(TRIM(K51))=0,LEN(TRIM(L51))=0),"Undetermined - incomplete routing",IF(Q51&lt;&gt;"OK","Undetermined - unrecognized routing value",IF(OR(D51="High",D51="Catastrophic/systemic",E51="Material",E51="Fundamental or uncertain",F51="Difficult to reverse",F51="Irreversible or unknown",G51="National/transnational/ecological",H51="Frontier or unknown",I51="Affected-party dispute or unknown"),"AF-High-Consequence",IF(OR(D51="Moderate",E51="Limited reversible",F51="Partly reversible",G51="Regional/sectoral",H51="Novel",I51="High"),"AF-Standard","AF-Lite")))))</f>
        <v/>
      </c>
      <c r="N51" s="356" t="n"/>
      <c r="O51" s="302">
        <f>IF(AND(M51="",N51=""),"",IF(AND(M51&lt;&gt;"",N51=""),"UNRECORDED",IF(AND(M51="",N51&lt;&gt;""),"ORPHAN_RECORDED",IF(M51=N51,"MATCH","MISMATCH"))))</f>
        <v/>
      </c>
      <c r="P51" s="103" t="n"/>
      <c r="Q51" s="303">
        <f>IF(COUNTA(A51:L51)=0,"",IF(AND(COUNTIF(Vocabulary!$C$5:$C$8,D51)=1,COUNTIF(Vocabulary!$D$5:$D$8,E51)=1,COUNTIF(Vocabulary!$E$5:$E$8,F51)=1,COUNTIF(Vocabulary!$F$5:$F$8,G51)=1,COUNTIF(Vocabulary!$G$5:$G$8,H51)=1,COUNTIF(Vocabulary!$H$5:$H$8,I51)=1,COUNTIF(Vocabulary!$I$5:$I$7,J51)=1,COUNTIF(Vocabulary!$I$5:$I$7,K51)=1,COUNTIF(Vocabulary!$J$5:$J$6,L51)=1),"OK","UNRECOGNISED_ROUTING_VALUE"))</f>
        <v/>
      </c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56" t="n"/>
      <c r="I52" s="356" t="n"/>
      <c r="J52" s="356" t="n"/>
      <c r="K52" s="356" t="n"/>
      <c r="L52" s="356" t="n"/>
      <c r="M52" s="302">
        <f>IF(COUNTA(A52:L52)=0,"",IF(OR(LEN(TRIM(B52))=0,LEN(TRIM(C52))=0,LEN(TRIM(D52))=0,LEN(TRIM(E52))=0,LEN(TRIM(F52))=0,LEN(TRIM(G52))=0,LEN(TRIM(H52))=0,LEN(TRIM(I52))=0,LEN(TRIM(J52))=0,LEN(TRIM(K52))=0,LEN(TRIM(L52))=0),"Undetermined - incomplete routing",IF(Q52&lt;&gt;"OK","Undetermined - unrecognized routing value",IF(OR(D52="High",D52="Catastrophic/systemic",E52="Material",E52="Fundamental or uncertain",F52="Difficult to reverse",F52="Irreversible or unknown",G52="National/transnational/ecological",H52="Frontier or unknown",I52="Affected-party dispute or unknown"),"AF-High-Consequence",IF(OR(D52="Moderate",E52="Limited reversible",F52="Partly reversible",G52="Regional/sectoral",H52="Novel",I52="High"),"AF-Standard","AF-Lite")))))</f>
        <v/>
      </c>
      <c r="N52" s="356" t="n"/>
      <c r="O52" s="302">
        <f>IF(AND(M52="",N52=""),"",IF(AND(M52&lt;&gt;"",N52=""),"UNRECORDED",IF(AND(M52="",N52&lt;&gt;""),"ORPHAN_RECORDED",IF(M52=N52,"MATCH","MISMATCH"))))</f>
        <v/>
      </c>
      <c r="P52" s="103" t="n"/>
      <c r="Q52" s="303">
        <f>IF(COUNTA(A52:L52)=0,"",IF(AND(COUNTIF(Vocabulary!$C$5:$C$8,D52)=1,COUNTIF(Vocabulary!$D$5:$D$8,E52)=1,COUNTIF(Vocabulary!$E$5:$E$8,F52)=1,COUNTIF(Vocabulary!$F$5:$F$8,G52)=1,COUNTIF(Vocabulary!$G$5:$G$8,H52)=1,COUNTIF(Vocabulary!$H$5:$H$8,I52)=1,COUNTIF(Vocabulary!$I$5:$I$7,J52)=1,COUNTIF(Vocabulary!$I$5:$I$7,K52)=1,COUNTIF(Vocabulary!$J$5:$J$6,L52)=1),"OK","UNRECOGNISED_ROUTING_VALUE"))</f>
        <v/>
      </c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56" t="n"/>
      <c r="I53" s="356" t="n"/>
      <c r="J53" s="356" t="n"/>
      <c r="K53" s="356" t="n"/>
      <c r="L53" s="356" t="n"/>
      <c r="M53" s="302">
        <f>IF(COUNTA(A53:L53)=0,"",IF(OR(LEN(TRIM(B53))=0,LEN(TRIM(C53))=0,LEN(TRIM(D53))=0,LEN(TRIM(E53))=0,LEN(TRIM(F53))=0,LEN(TRIM(G53))=0,LEN(TRIM(H53))=0,LEN(TRIM(I53))=0,LEN(TRIM(J53))=0,LEN(TRIM(K53))=0,LEN(TRIM(L53))=0),"Undetermined - incomplete routing",IF(Q53&lt;&gt;"OK","Undetermined - unrecognized routing value",IF(OR(D53="High",D53="Catastrophic/systemic",E53="Material",E53="Fundamental or uncertain",F53="Difficult to reverse",F53="Irreversible or unknown",G53="National/transnational/ecological",H53="Frontier or unknown",I53="Affected-party dispute or unknown"),"AF-High-Consequence",IF(OR(D53="Moderate",E53="Limited reversible",F53="Partly reversible",G53="Regional/sectoral",H53="Novel",I53="High"),"AF-Standard","AF-Lite")))))</f>
        <v/>
      </c>
      <c r="N53" s="356" t="n"/>
      <c r="O53" s="302">
        <f>IF(AND(M53="",N53=""),"",IF(AND(M53&lt;&gt;"",N53=""),"UNRECORDED",IF(AND(M53="",N53&lt;&gt;""),"ORPHAN_RECORDED",IF(M53=N53,"MATCH","MISMATCH"))))</f>
        <v/>
      </c>
      <c r="P53" s="103" t="n"/>
      <c r="Q53" s="303">
        <f>IF(COUNTA(A53:L53)=0,"",IF(AND(COUNTIF(Vocabulary!$C$5:$C$8,D53)=1,COUNTIF(Vocabulary!$D$5:$D$8,E53)=1,COUNTIF(Vocabulary!$E$5:$E$8,F53)=1,COUNTIF(Vocabulary!$F$5:$F$8,G53)=1,COUNTIF(Vocabulary!$G$5:$G$8,H53)=1,COUNTIF(Vocabulary!$H$5:$H$8,I53)=1,COUNTIF(Vocabulary!$I$5:$I$7,J53)=1,COUNTIF(Vocabulary!$I$5:$I$7,K53)=1,COUNTIF(Vocabulary!$J$5:$J$6,L53)=1),"OK","UNRECOGNISED_ROUTING_VALUE"))</f>
        <v/>
      </c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56" t="n"/>
      <c r="I54" s="356" t="n"/>
      <c r="J54" s="356" t="n"/>
      <c r="K54" s="356" t="n"/>
      <c r="L54" s="356" t="n"/>
      <c r="M54" s="302">
        <f>IF(COUNTA(A54:L54)=0,"",IF(OR(LEN(TRIM(B54))=0,LEN(TRIM(C54))=0,LEN(TRIM(D54))=0,LEN(TRIM(E54))=0,LEN(TRIM(F54))=0,LEN(TRIM(G54))=0,LEN(TRIM(H54))=0,LEN(TRIM(I54))=0,LEN(TRIM(J54))=0,LEN(TRIM(K54))=0,LEN(TRIM(L54))=0),"Undetermined - incomplete routing",IF(Q54&lt;&gt;"OK","Undetermined - unrecognized routing value",IF(OR(D54="High",D54="Catastrophic/systemic",E54="Material",E54="Fundamental or uncertain",F54="Difficult to reverse",F54="Irreversible or unknown",G54="National/transnational/ecological",H54="Frontier or unknown",I54="Affected-party dispute or unknown"),"AF-High-Consequence",IF(OR(D54="Moderate",E54="Limited reversible",F54="Partly reversible",G54="Regional/sectoral",H54="Novel",I54="High"),"AF-Standard","AF-Lite")))))</f>
        <v/>
      </c>
      <c r="N54" s="356" t="n"/>
      <c r="O54" s="302">
        <f>IF(AND(M54="",N54=""),"",IF(AND(M54&lt;&gt;"",N54=""),"UNRECORDED",IF(AND(M54="",N54&lt;&gt;""),"ORPHAN_RECORDED",IF(M54=N54,"MATCH","MISMATCH"))))</f>
        <v/>
      </c>
      <c r="P54" s="103" t="n"/>
      <c r="Q54" s="303">
        <f>IF(COUNTA(A54:L54)=0,"",IF(AND(COUNTIF(Vocabulary!$C$5:$C$8,D54)=1,COUNTIF(Vocabulary!$D$5:$D$8,E54)=1,COUNTIF(Vocabulary!$E$5:$E$8,F54)=1,COUNTIF(Vocabulary!$F$5:$F$8,G54)=1,COUNTIF(Vocabulary!$G$5:$G$8,H54)=1,COUNTIF(Vocabulary!$H$5:$H$8,I54)=1,COUNTIF(Vocabulary!$I$5:$I$7,J54)=1,COUNTIF(Vocabulary!$I$5:$I$7,K54)=1,COUNTIF(Vocabulary!$J$5:$J$6,L54)=1),"OK","UNRECOGNISED_ROUTING_VALUE"))</f>
        <v/>
      </c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56" t="n"/>
      <c r="I55" s="356" t="n"/>
      <c r="J55" s="356" t="n"/>
      <c r="K55" s="356" t="n"/>
      <c r="L55" s="356" t="n"/>
      <c r="M55" s="302">
        <f>IF(COUNTA(A55:L55)=0,"",IF(OR(LEN(TRIM(B55))=0,LEN(TRIM(C55))=0,LEN(TRIM(D55))=0,LEN(TRIM(E55))=0,LEN(TRIM(F55))=0,LEN(TRIM(G55))=0,LEN(TRIM(H55))=0,LEN(TRIM(I55))=0,LEN(TRIM(J55))=0,LEN(TRIM(K55))=0,LEN(TRIM(L55))=0),"Undetermined - incomplete routing",IF(Q55&lt;&gt;"OK","Undetermined - unrecognized routing value",IF(OR(D55="High",D55="Catastrophic/systemic",E55="Material",E55="Fundamental or uncertain",F55="Difficult to reverse",F55="Irreversible or unknown",G55="National/transnational/ecological",H55="Frontier or unknown",I55="Affected-party dispute or unknown"),"AF-High-Consequence",IF(OR(D55="Moderate",E55="Limited reversible",F55="Partly reversible",G55="Regional/sectoral",H55="Novel",I55="High"),"AF-Standard","AF-Lite")))))</f>
        <v/>
      </c>
      <c r="N55" s="356" t="n"/>
      <c r="O55" s="302">
        <f>IF(AND(M55="",N55=""),"",IF(AND(M55&lt;&gt;"",N55=""),"UNRECORDED",IF(AND(M55="",N55&lt;&gt;""),"ORPHAN_RECORDED",IF(M55=N55,"MATCH","MISMATCH"))))</f>
        <v/>
      </c>
      <c r="P55" s="103" t="n"/>
      <c r="Q55" s="303">
        <f>IF(COUNTA(A55:L55)=0,"",IF(AND(COUNTIF(Vocabulary!$C$5:$C$8,D55)=1,COUNTIF(Vocabulary!$D$5:$D$8,E55)=1,COUNTIF(Vocabulary!$E$5:$E$8,F55)=1,COUNTIF(Vocabulary!$F$5:$F$8,G55)=1,COUNTIF(Vocabulary!$G$5:$G$8,H55)=1,COUNTIF(Vocabulary!$H$5:$H$8,I55)=1,COUNTIF(Vocabulary!$I$5:$I$7,J55)=1,COUNTIF(Vocabulary!$I$5:$I$7,K55)=1,COUNTIF(Vocabulary!$J$5:$J$6,L55)=1),"OK","UNRECOGNISED_ROUTING_VALUE"))</f>
        <v/>
      </c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302">
        <f>IF(COUNTA(A56:L56)=0,"",IF(OR(LEN(TRIM(B56))=0,LEN(TRIM(C56))=0,LEN(TRIM(D56))=0,LEN(TRIM(E56))=0,LEN(TRIM(F56))=0,LEN(TRIM(G56))=0,LEN(TRIM(H56))=0,LEN(TRIM(I56))=0,LEN(TRIM(J56))=0,LEN(TRIM(K56))=0,LEN(TRIM(L56))=0),"Undetermined - incomplete routing",IF(Q56&lt;&gt;"OK","Undetermined - unrecognized routing value",IF(OR(D56="High",D56="Catastrophic/systemic",E56="Material",E56="Fundamental or uncertain",F56="Difficult to reverse",F56="Irreversible or unknown",G56="National/transnational/ecological",H56="Frontier or unknown",I56="Affected-party dispute or unknown"),"AF-High-Consequence",IF(OR(D56="Moderate",E56="Limited reversible",F56="Partly reversible",G56="Regional/sectoral",H56="Novel",I56="High"),"AF-Standard","AF-Lite")))))</f>
        <v/>
      </c>
      <c r="N56" s="356" t="n"/>
      <c r="O56" s="302">
        <f>IF(AND(M56="",N56=""),"",IF(AND(M56&lt;&gt;"",N56=""),"UNRECORDED",IF(AND(M56="",N56&lt;&gt;""),"ORPHAN_RECORDED",IF(M56=N56,"MATCH","MISMATCH"))))</f>
        <v/>
      </c>
      <c r="P56" s="103" t="n"/>
      <c r="Q56" s="303">
        <f>IF(COUNTA(A56:L56)=0,"",IF(AND(COUNTIF(Vocabulary!$C$5:$C$8,D56)=1,COUNTIF(Vocabulary!$D$5:$D$8,E56)=1,COUNTIF(Vocabulary!$E$5:$E$8,F56)=1,COUNTIF(Vocabulary!$F$5:$F$8,G56)=1,COUNTIF(Vocabulary!$G$5:$G$8,H56)=1,COUNTIF(Vocabulary!$H$5:$H$8,I56)=1,COUNTIF(Vocabulary!$I$5:$I$7,J56)=1,COUNTIF(Vocabulary!$I$5:$I$7,K56)=1,COUNTIF(Vocabulary!$J$5:$J$6,L56)=1),"OK","UNRECOGNISED_ROUTING_VALUE"))</f>
        <v/>
      </c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56" t="n"/>
      <c r="I57" s="356" t="n"/>
      <c r="J57" s="356" t="n"/>
      <c r="K57" s="356" t="n"/>
      <c r="L57" s="356" t="n"/>
      <c r="M57" s="302">
        <f>IF(COUNTA(A57:L57)=0,"",IF(OR(LEN(TRIM(B57))=0,LEN(TRIM(C57))=0,LEN(TRIM(D57))=0,LEN(TRIM(E57))=0,LEN(TRIM(F57))=0,LEN(TRIM(G57))=0,LEN(TRIM(H57))=0,LEN(TRIM(I57))=0,LEN(TRIM(J57))=0,LEN(TRIM(K57))=0,LEN(TRIM(L57))=0),"Undetermined - incomplete routing",IF(Q57&lt;&gt;"OK","Undetermined - unrecognized routing value",IF(OR(D57="High",D57="Catastrophic/systemic",E57="Material",E57="Fundamental or uncertain",F57="Difficult to reverse",F57="Irreversible or unknown",G57="National/transnational/ecological",H57="Frontier or unknown",I57="Affected-party dispute or unknown"),"AF-High-Consequence",IF(OR(D57="Moderate",E57="Limited reversible",F57="Partly reversible",G57="Regional/sectoral",H57="Novel",I57="High"),"AF-Standard","AF-Lite")))))</f>
        <v/>
      </c>
      <c r="N57" s="356" t="n"/>
      <c r="O57" s="302">
        <f>IF(AND(M57="",N57=""),"",IF(AND(M57&lt;&gt;"",N57=""),"UNRECORDED",IF(AND(M57="",N57&lt;&gt;""),"ORPHAN_RECORDED",IF(M57=N57,"MATCH","MISMATCH"))))</f>
        <v/>
      </c>
      <c r="P57" s="103" t="n"/>
      <c r="Q57" s="303">
        <f>IF(COUNTA(A57:L57)=0,"",IF(AND(COUNTIF(Vocabulary!$C$5:$C$8,D57)=1,COUNTIF(Vocabulary!$D$5:$D$8,E57)=1,COUNTIF(Vocabulary!$E$5:$E$8,F57)=1,COUNTIF(Vocabulary!$F$5:$F$8,G57)=1,COUNTIF(Vocabulary!$G$5:$G$8,H57)=1,COUNTIF(Vocabulary!$H$5:$H$8,I57)=1,COUNTIF(Vocabulary!$I$5:$I$7,J57)=1,COUNTIF(Vocabulary!$I$5:$I$7,K57)=1,COUNTIF(Vocabulary!$J$5:$J$6,L57)=1),"OK","UNRECOGNISED_ROUTING_VALUE"))</f>
        <v/>
      </c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302">
        <f>IF(COUNTA(A58:L58)=0,"",IF(OR(LEN(TRIM(B58))=0,LEN(TRIM(C58))=0,LEN(TRIM(D58))=0,LEN(TRIM(E58))=0,LEN(TRIM(F58))=0,LEN(TRIM(G58))=0,LEN(TRIM(H58))=0,LEN(TRIM(I58))=0,LEN(TRIM(J58))=0,LEN(TRIM(K58))=0,LEN(TRIM(L58))=0),"Undetermined - incomplete routing",IF(Q58&lt;&gt;"OK","Undetermined - unrecognized routing value",IF(OR(D58="High",D58="Catastrophic/systemic",E58="Material",E58="Fundamental or uncertain",F58="Difficult to reverse",F58="Irreversible or unknown",G58="National/transnational/ecological",H58="Frontier or unknown",I58="Affected-party dispute or unknown"),"AF-High-Consequence",IF(OR(D58="Moderate",E58="Limited reversible",F58="Partly reversible",G58="Regional/sectoral",H58="Novel",I58="High"),"AF-Standard","AF-Lite")))))</f>
        <v/>
      </c>
      <c r="N58" s="356" t="n"/>
      <c r="O58" s="302">
        <f>IF(AND(M58="",N58=""),"",IF(AND(M58&lt;&gt;"",N58=""),"UNRECORDED",IF(AND(M58="",N58&lt;&gt;""),"ORPHAN_RECORDED",IF(M58=N58,"MATCH","MISMATCH"))))</f>
        <v/>
      </c>
      <c r="P58" s="103" t="n"/>
      <c r="Q58" s="303">
        <f>IF(COUNTA(A58:L58)=0,"",IF(AND(COUNTIF(Vocabulary!$C$5:$C$8,D58)=1,COUNTIF(Vocabulary!$D$5:$D$8,E58)=1,COUNTIF(Vocabulary!$E$5:$E$8,F58)=1,COUNTIF(Vocabulary!$F$5:$F$8,G58)=1,COUNTIF(Vocabulary!$G$5:$G$8,H58)=1,COUNTIF(Vocabulary!$H$5:$H$8,I58)=1,COUNTIF(Vocabulary!$I$5:$I$7,J58)=1,COUNTIF(Vocabulary!$I$5:$I$7,K58)=1,COUNTIF(Vocabulary!$J$5:$J$6,L58)=1),"OK","UNRECOGNISED_ROUTING_VALUE"))</f>
        <v/>
      </c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56" t="n"/>
      <c r="I59" s="356" t="n"/>
      <c r="J59" s="356" t="n"/>
      <c r="K59" s="356" t="n"/>
      <c r="L59" s="356" t="n"/>
      <c r="M59" s="302">
        <f>IF(COUNTA(A59:L59)=0,"",IF(OR(LEN(TRIM(B59))=0,LEN(TRIM(C59))=0,LEN(TRIM(D59))=0,LEN(TRIM(E59))=0,LEN(TRIM(F59))=0,LEN(TRIM(G59))=0,LEN(TRIM(H59))=0,LEN(TRIM(I59))=0,LEN(TRIM(J59))=0,LEN(TRIM(K59))=0,LEN(TRIM(L59))=0),"Undetermined - incomplete routing",IF(Q59&lt;&gt;"OK","Undetermined - unrecognized routing value",IF(OR(D59="High",D59="Catastrophic/systemic",E59="Material",E59="Fundamental or uncertain",F59="Difficult to reverse",F59="Irreversible or unknown",G59="National/transnational/ecological",H59="Frontier or unknown",I59="Affected-party dispute or unknown"),"AF-High-Consequence",IF(OR(D59="Moderate",E59="Limited reversible",F59="Partly reversible",G59="Regional/sectoral",H59="Novel",I59="High"),"AF-Standard","AF-Lite")))))</f>
        <v/>
      </c>
      <c r="N59" s="356" t="n"/>
      <c r="O59" s="302">
        <f>IF(AND(M59="",N59=""),"",IF(AND(M59&lt;&gt;"",N59=""),"UNRECORDED",IF(AND(M59="",N59&lt;&gt;""),"ORPHAN_RECORDED",IF(M59=N59,"MATCH","MISMATCH"))))</f>
        <v/>
      </c>
      <c r="P59" s="103" t="n"/>
      <c r="Q59" s="303">
        <f>IF(COUNTA(A59:L59)=0,"",IF(AND(COUNTIF(Vocabulary!$C$5:$C$8,D59)=1,COUNTIF(Vocabulary!$D$5:$D$8,E59)=1,COUNTIF(Vocabulary!$E$5:$E$8,F59)=1,COUNTIF(Vocabulary!$F$5:$F$8,G59)=1,COUNTIF(Vocabulary!$G$5:$G$8,H59)=1,COUNTIF(Vocabulary!$H$5:$H$8,I59)=1,COUNTIF(Vocabulary!$I$5:$I$7,J59)=1,COUNTIF(Vocabulary!$I$5:$I$7,K59)=1,COUNTIF(Vocabulary!$J$5:$J$6,L59)=1),"OK","UNRECOGNISED_ROUTING_VALUE"))</f>
        <v/>
      </c>
    </row>
    <row r="60">
      <c r="A60" s="83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96">
        <f>IF(COUNTA(A60:L60)=0,"",IF(OR(LEN(TRIM(B60))=0,LEN(TRIM(C60))=0,LEN(TRIM(D60))=0,LEN(TRIM(E60))=0,LEN(TRIM(F60))=0,LEN(TRIM(G60))=0,LEN(TRIM(H60))=0,LEN(TRIM(I60))=0,LEN(TRIM(J60))=0,LEN(TRIM(K60))=0,LEN(TRIM(L60))=0),"Undetermined - incomplete routing",IF(Q60&lt;&gt;"OK","Undetermined - unrecognized routing value",IF(OR(D60="High",D60="Catastrophic/systemic",E60="Material",E60="Fundamental or uncertain",F60="Difficult to reverse",F60="Irreversible or unknown",G60="National/transnational/ecological",H60="Frontier or unknown",I60="Affected-party dispute or unknown"),"AF-High-Consequence",IF(OR(D60="Moderate",E60="Limited reversible",F60="Partly reversible",G60="Regional/sectoral",H60="Novel",I60="High"),"AF-Standard","AF-Lite")))))</f>
        <v/>
      </c>
      <c r="N60" s="84" t="n"/>
      <c r="O60" s="96">
        <f>IF(AND(M60="",N60=""),"",IF(AND(M60&lt;&gt;"",N60=""),"UNRECORDED",IF(AND(M60="",N60&lt;&gt;""),"ORPHAN_RECORDED",IF(M60=N60,"MATCH","MISMATCH"))))</f>
        <v/>
      </c>
      <c r="P60" s="104" t="n"/>
      <c r="Q60" s="303">
        <f>IF(COUNTA(A60:L60)=0,"",IF(AND(COUNTIF(Vocabulary!$C$5:$C$8,D60)=1,COUNTIF(Vocabulary!$D$5:$D$8,E60)=1,COUNTIF(Vocabulary!$E$5:$E$8,F60)=1,COUNTIF(Vocabulary!$F$5:$F$8,G60)=1,COUNTIF(Vocabulary!$G$5:$G$8,H60)=1,COUNTIF(Vocabulary!$H$5:$H$8,I60)=1,COUNTIF(Vocabulary!$I$5:$I$7,J60)=1,COUNTIF(Vocabulary!$I$5:$I$7,K60)=1,COUNTIF(Vocabulary!$J$5:$J$6,L60)=1),"OK","UNRECOGNISED_ROUTING_VALUE"))</f>
        <v/>
      </c>
    </row>
    <row r="61">
      <c r="M61">
        <f>IF(COUNTA(A61:L61)=0,"",IF(OR(LEN(TRIM(B61))=0,LEN(TRIM(C61))=0,LEN(TRIM(D61))=0,LEN(TRIM(E61))=0,LEN(TRIM(F61))=0,LEN(TRIM(G61))=0,LEN(TRIM(H61))=0,LEN(TRIM(I61))=0,LEN(TRIM(J61))=0,LEN(TRIM(K61))=0,LEN(TRIM(L61))=0),"Undetermined - incomplete routing",IF(Q61&lt;&gt;"OK","Undetermined - unrecognized routing value",IF(OR(D61="High",D61="Catastrophic/systemic",E61="Material",E61="Fundamental or uncertain",F61="Difficult to reverse",F61="Irreversible or unknown",G61="National/transnational/ecological",H61="Frontier or unknown",I61="Affected-party dispute or unknown"),"AF-High-Consequence",IF(OR(D61="Moderate",E61="Limited reversible",F61="Partly reversible",G61="Regional/sectoral",H61="Novel",I61="High"),"AF-Standard","AF-Lite")))))</f>
        <v/>
      </c>
      <c r="O61">
        <f>IF(AND(M61="",N61=""),"",IF(AND(M61&lt;&gt;"",N61=""),"UNRECORDED",IF(AND(M61="",N61&lt;&gt;""),"ORPHAN_RECORDED",IF(M61=N61,"MATCH","MISMATCH"))))</f>
        <v/>
      </c>
      <c r="Q61" s="303">
        <f>IF(COUNTA(A61:L61)=0,"",IF(AND(COUNTIF(Vocabulary!$C$5:$C$8,D61)=1,COUNTIF(Vocabulary!$D$5:$D$8,E61)=1,COUNTIF(Vocabulary!$E$5:$E$8,F61)=1,COUNTIF(Vocabulary!$F$5:$F$8,G61)=1,COUNTIF(Vocabulary!$G$5:$G$8,H61)=1,COUNTIF(Vocabulary!$H$5:$H$8,I61)=1,COUNTIF(Vocabulary!$I$5:$I$7,J61)=1,COUNTIF(Vocabulary!$I$5:$I$7,K61)=1,COUNTIF(Vocabulary!$J$5:$J$6,L61)=1),"OK","UNRECOGNISED_ROUTING_VALUE"))</f>
        <v/>
      </c>
    </row>
    <row r="62">
      <c r="M62">
        <f>IF(COUNTA(A62:L62)=0,"",IF(OR(LEN(TRIM(B62))=0,LEN(TRIM(C62))=0,LEN(TRIM(D62))=0,LEN(TRIM(E62))=0,LEN(TRIM(F62))=0,LEN(TRIM(G62))=0,LEN(TRIM(H62))=0,LEN(TRIM(I62))=0,LEN(TRIM(J62))=0,LEN(TRIM(K62))=0,LEN(TRIM(L62))=0),"Undetermined - incomplete routing",IF(Q62&lt;&gt;"OK","Undetermined - unrecognized routing value",IF(OR(D62="High",D62="Catastrophic/systemic",E62="Material",E62="Fundamental or uncertain",F62="Difficult to reverse",F62="Irreversible or unknown",G62="National/transnational/ecological",H62="Frontier or unknown",I62="Affected-party dispute or unknown"),"AF-High-Consequence",IF(OR(D62="Moderate",E62="Limited reversible",F62="Partly reversible",G62="Regional/sectoral",H62="Novel",I62="High"),"AF-Standard","AF-Lite")))))</f>
        <v/>
      </c>
      <c r="O62">
        <f>IF(AND(M62="",N62=""),"",IF(AND(M62&lt;&gt;"",N62=""),"UNRECORDED",IF(AND(M62="",N62&lt;&gt;""),"ORPHAN_RECORDED",IF(M62=N62,"MATCH","MISMATCH"))))</f>
        <v/>
      </c>
      <c r="Q62" s="303">
        <f>IF(COUNTA(A62:L62)=0,"",IF(AND(COUNTIF(Vocabulary!$C$5:$C$8,D62)=1,COUNTIF(Vocabulary!$D$5:$D$8,E62)=1,COUNTIF(Vocabulary!$E$5:$E$8,F62)=1,COUNTIF(Vocabulary!$F$5:$F$8,G62)=1,COUNTIF(Vocabulary!$G$5:$G$8,H62)=1,COUNTIF(Vocabulary!$H$5:$H$8,I62)=1,COUNTIF(Vocabulary!$I$5:$I$7,J62)=1,COUNTIF(Vocabulary!$I$5:$I$7,K62)=1,COUNTIF(Vocabulary!$J$5:$J$6,L62)=1),"OK","UNRECOGNISED_ROUTING_VALUE"))</f>
        <v/>
      </c>
    </row>
    <row r="63">
      <c r="M63">
        <f>IF(COUNTA(A63:L63)=0,"",IF(OR(LEN(TRIM(B63))=0,LEN(TRIM(C63))=0,LEN(TRIM(D63))=0,LEN(TRIM(E63))=0,LEN(TRIM(F63))=0,LEN(TRIM(G63))=0,LEN(TRIM(H63))=0,LEN(TRIM(I63))=0,LEN(TRIM(J63))=0,LEN(TRIM(K63))=0,LEN(TRIM(L63))=0),"Undetermined - incomplete routing",IF(Q63&lt;&gt;"OK","Undetermined - unrecognized routing value",IF(OR(D63="High",D63="Catastrophic/systemic",E63="Material",E63="Fundamental or uncertain",F63="Difficult to reverse",F63="Irreversible or unknown",G63="National/transnational/ecological",H63="Frontier or unknown",I63="Affected-party dispute or unknown"),"AF-High-Consequence",IF(OR(D63="Moderate",E63="Limited reversible",F63="Partly reversible",G63="Regional/sectoral",H63="Novel",I63="High"),"AF-Standard","AF-Lite")))))</f>
        <v/>
      </c>
      <c r="O63">
        <f>IF(AND(M63="",N63=""),"",IF(AND(M63&lt;&gt;"",N63=""),"UNRECORDED",IF(AND(M63="",N63&lt;&gt;""),"ORPHAN_RECORDED",IF(M63=N63,"MATCH","MISMATCH"))))</f>
        <v/>
      </c>
      <c r="Q63" s="303">
        <f>IF(COUNTA(A63:L63)=0,"",IF(AND(COUNTIF(Vocabulary!$C$5:$C$8,D63)=1,COUNTIF(Vocabulary!$D$5:$D$8,E63)=1,COUNTIF(Vocabulary!$E$5:$E$8,F63)=1,COUNTIF(Vocabulary!$F$5:$F$8,G63)=1,COUNTIF(Vocabulary!$G$5:$G$8,H63)=1,COUNTIF(Vocabulary!$H$5:$H$8,I63)=1,COUNTIF(Vocabulary!$I$5:$I$7,J63)=1,COUNTIF(Vocabulary!$I$5:$I$7,K63)=1,COUNTIF(Vocabulary!$J$5:$J$6,L63)=1),"OK","UNRECOGNISED_ROUTING_VALUE"))</f>
        <v/>
      </c>
    </row>
    <row r="64">
      <c r="M64">
        <f>IF(COUNTA(A64:L64)=0,"",IF(OR(LEN(TRIM(B64))=0,LEN(TRIM(C64))=0,LEN(TRIM(D64))=0,LEN(TRIM(E64))=0,LEN(TRIM(F64))=0,LEN(TRIM(G64))=0,LEN(TRIM(H64))=0,LEN(TRIM(I64))=0,LEN(TRIM(J64))=0,LEN(TRIM(K64))=0,LEN(TRIM(L64))=0),"Undetermined - incomplete routing",IF(Q64&lt;&gt;"OK","Undetermined - unrecognized routing value",IF(OR(D64="High",D64="Catastrophic/systemic",E64="Material",E64="Fundamental or uncertain",F64="Difficult to reverse",F64="Irreversible or unknown",G64="National/transnational/ecological",H64="Frontier or unknown",I64="Affected-party dispute or unknown"),"AF-High-Consequence",IF(OR(D64="Moderate",E64="Limited reversible",F64="Partly reversible",G64="Regional/sectoral",H64="Novel",I64="High"),"AF-Standard","AF-Lite")))))</f>
        <v/>
      </c>
      <c r="O64">
        <f>IF(AND(M64="",N64=""),"",IF(AND(M64&lt;&gt;"",N64=""),"UNRECORDED",IF(AND(M64="",N64&lt;&gt;""),"ORPHAN_RECORDED",IF(M64=N64,"MATCH","MISMATCH"))))</f>
        <v/>
      </c>
      <c r="Q64" s="303">
        <f>IF(COUNTA(A64:L64)=0,"",IF(AND(COUNTIF(Vocabulary!$C$5:$C$8,D64)=1,COUNTIF(Vocabulary!$D$5:$D$8,E64)=1,COUNTIF(Vocabulary!$E$5:$E$8,F64)=1,COUNTIF(Vocabulary!$F$5:$F$8,G64)=1,COUNTIF(Vocabulary!$G$5:$G$8,H64)=1,COUNTIF(Vocabulary!$H$5:$H$8,I64)=1,COUNTIF(Vocabulary!$I$5:$I$7,J64)=1,COUNTIF(Vocabulary!$I$5:$I$7,K64)=1,COUNTIF(Vocabulary!$J$5:$J$6,L64)=1),"OK","UNRECOGNISED_ROUTING_VALUE"))</f>
        <v/>
      </c>
    </row>
    <row r="65">
      <c r="M65">
        <f>IF(COUNTA(A65:L65)=0,"",IF(OR(LEN(TRIM(B65))=0,LEN(TRIM(C65))=0,LEN(TRIM(D65))=0,LEN(TRIM(E65))=0,LEN(TRIM(F65))=0,LEN(TRIM(G65))=0,LEN(TRIM(H65))=0,LEN(TRIM(I65))=0,LEN(TRIM(J65))=0,LEN(TRIM(K65))=0,LEN(TRIM(L65))=0),"Undetermined - incomplete routing",IF(Q65&lt;&gt;"OK","Undetermined - unrecognized routing value",IF(OR(D65="High",D65="Catastrophic/systemic",E65="Material",E65="Fundamental or uncertain",F65="Difficult to reverse",F65="Irreversible or unknown",G65="National/transnational/ecological",H65="Frontier or unknown",I65="Affected-party dispute or unknown"),"AF-High-Consequence",IF(OR(D65="Moderate",E65="Limited reversible",F65="Partly reversible",G65="Regional/sectoral",H65="Novel",I65="High"),"AF-Standard","AF-Lite")))))</f>
        <v/>
      </c>
      <c r="O65">
        <f>IF(AND(M65="",N65=""),"",IF(AND(M65&lt;&gt;"",N65=""),"UNRECORDED",IF(AND(M65="",N65&lt;&gt;""),"ORPHAN_RECORDED",IF(M65=N65,"MATCH","MISMATCH"))))</f>
        <v/>
      </c>
      <c r="Q65" s="303">
        <f>IF(COUNTA(A65:L65)=0,"",IF(AND(COUNTIF(Vocabulary!$C$5:$C$8,D65)=1,COUNTIF(Vocabulary!$D$5:$D$8,E65)=1,COUNTIF(Vocabulary!$E$5:$E$8,F65)=1,COUNTIF(Vocabulary!$F$5:$F$8,G65)=1,COUNTIF(Vocabulary!$G$5:$G$8,H65)=1,COUNTIF(Vocabulary!$H$5:$H$8,I65)=1,COUNTIF(Vocabulary!$I$5:$I$7,J65)=1,COUNTIF(Vocabulary!$I$5:$I$7,K65)=1,COUNTIF(Vocabulary!$J$5:$J$6,L65)=1),"OK","UNRECOGNISED_ROUTING_VALUE"))</f>
        <v/>
      </c>
    </row>
    <row r="66">
      <c r="M66">
        <f>IF(COUNTA(A66:L66)=0,"",IF(OR(LEN(TRIM(B66))=0,LEN(TRIM(C66))=0,LEN(TRIM(D66))=0,LEN(TRIM(E66))=0,LEN(TRIM(F66))=0,LEN(TRIM(G66))=0,LEN(TRIM(H66))=0,LEN(TRIM(I66))=0,LEN(TRIM(J66))=0,LEN(TRIM(K66))=0,LEN(TRIM(L66))=0),"Undetermined - incomplete routing",IF(Q66&lt;&gt;"OK","Undetermined - unrecognized routing value",IF(OR(D66="High",D66="Catastrophic/systemic",E66="Material",E66="Fundamental or uncertain",F66="Difficult to reverse",F66="Irreversible or unknown",G66="National/transnational/ecological",H66="Frontier or unknown",I66="Affected-party dispute or unknown"),"AF-High-Consequence",IF(OR(D66="Moderate",E66="Limited reversible",F66="Partly reversible",G66="Regional/sectoral",H66="Novel",I66="High"),"AF-Standard","AF-Lite")))))</f>
        <v/>
      </c>
      <c r="O66">
        <f>IF(AND(M66="",N66=""),"",IF(AND(M66&lt;&gt;"",N66=""),"UNRECORDED",IF(AND(M66="",N66&lt;&gt;""),"ORPHAN_RECORDED",IF(M66=N66,"MATCH","MISMATCH"))))</f>
        <v/>
      </c>
      <c r="Q66" s="303">
        <f>IF(COUNTA(A66:L66)=0,"",IF(AND(COUNTIF(Vocabulary!$C$5:$C$8,D66)=1,COUNTIF(Vocabulary!$D$5:$D$8,E66)=1,COUNTIF(Vocabulary!$E$5:$E$8,F66)=1,COUNTIF(Vocabulary!$F$5:$F$8,G66)=1,COUNTIF(Vocabulary!$G$5:$G$8,H66)=1,COUNTIF(Vocabulary!$H$5:$H$8,I66)=1,COUNTIF(Vocabulary!$I$5:$I$7,J66)=1,COUNTIF(Vocabulary!$I$5:$I$7,K66)=1,COUNTIF(Vocabulary!$J$5:$J$6,L66)=1),"OK","UNRECOGNISED_ROUTING_VALUE"))</f>
        <v/>
      </c>
    </row>
    <row r="67">
      <c r="M67">
        <f>IF(COUNTA(A67:L67)=0,"",IF(OR(LEN(TRIM(B67))=0,LEN(TRIM(C67))=0,LEN(TRIM(D67))=0,LEN(TRIM(E67))=0,LEN(TRIM(F67))=0,LEN(TRIM(G67))=0,LEN(TRIM(H67))=0,LEN(TRIM(I67))=0,LEN(TRIM(J67))=0,LEN(TRIM(K67))=0,LEN(TRIM(L67))=0),"Undetermined - incomplete routing",IF(Q67&lt;&gt;"OK","Undetermined - unrecognized routing value",IF(OR(D67="High",D67="Catastrophic/systemic",E67="Material",E67="Fundamental or uncertain",F67="Difficult to reverse",F67="Irreversible or unknown",G67="National/transnational/ecological",H67="Frontier or unknown",I67="Affected-party dispute or unknown"),"AF-High-Consequence",IF(OR(D67="Moderate",E67="Limited reversible",F67="Partly reversible",G67="Regional/sectoral",H67="Novel",I67="High"),"AF-Standard","AF-Lite")))))</f>
        <v/>
      </c>
      <c r="O67">
        <f>IF(AND(M67="",N67=""),"",IF(AND(M67&lt;&gt;"",N67=""),"UNRECORDED",IF(AND(M67="",N67&lt;&gt;""),"ORPHAN_RECORDED",IF(M67=N67,"MATCH","MISMATCH"))))</f>
        <v/>
      </c>
      <c r="Q67" s="303">
        <f>IF(COUNTA(A67:L67)=0,"",IF(AND(COUNTIF(Vocabulary!$C$5:$C$8,D67)=1,COUNTIF(Vocabulary!$D$5:$D$8,E67)=1,COUNTIF(Vocabulary!$E$5:$E$8,F67)=1,COUNTIF(Vocabulary!$F$5:$F$8,G67)=1,COUNTIF(Vocabulary!$G$5:$G$8,H67)=1,COUNTIF(Vocabulary!$H$5:$H$8,I67)=1,COUNTIF(Vocabulary!$I$5:$I$7,J67)=1,COUNTIF(Vocabulary!$I$5:$I$7,K67)=1,COUNTIF(Vocabulary!$J$5:$J$6,L67)=1),"OK","UNRECOGNISED_ROUTING_VALUE"))</f>
        <v/>
      </c>
    </row>
    <row r="68">
      <c r="M68">
        <f>IF(COUNTA(A68:L68)=0,"",IF(OR(LEN(TRIM(B68))=0,LEN(TRIM(C68))=0,LEN(TRIM(D68))=0,LEN(TRIM(E68))=0,LEN(TRIM(F68))=0,LEN(TRIM(G68))=0,LEN(TRIM(H68))=0,LEN(TRIM(I68))=0,LEN(TRIM(J68))=0,LEN(TRIM(K68))=0,LEN(TRIM(L68))=0),"Undetermined - incomplete routing",IF(Q68&lt;&gt;"OK","Undetermined - unrecognized routing value",IF(OR(D68="High",D68="Catastrophic/systemic",E68="Material",E68="Fundamental or uncertain",F68="Difficult to reverse",F68="Irreversible or unknown",G68="National/transnational/ecological",H68="Frontier or unknown",I68="Affected-party dispute or unknown"),"AF-High-Consequence",IF(OR(D68="Moderate",E68="Limited reversible",F68="Partly reversible",G68="Regional/sectoral",H68="Novel",I68="High"),"AF-Standard","AF-Lite")))))</f>
        <v/>
      </c>
      <c r="O68">
        <f>IF(AND(M68="",N68=""),"",IF(AND(M68&lt;&gt;"",N68=""),"UNRECORDED",IF(AND(M68="",N68&lt;&gt;""),"ORPHAN_RECORDED",IF(M68=N68,"MATCH","MISMATCH"))))</f>
        <v/>
      </c>
      <c r="Q68" s="303">
        <f>IF(COUNTA(A68:L68)=0,"",IF(AND(COUNTIF(Vocabulary!$C$5:$C$8,D68)=1,COUNTIF(Vocabulary!$D$5:$D$8,E68)=1,COUNTIF(Vocabulary!$E$5:$E$8,F68)=1,COUNTIF(Vocabulary!$F$5:$F$8,G68)=1,COUNTIF(Vocabulary!$G$5:$G$8,H68)=1,COUNTIF(Vocabulary!$H$5:$H$8,I68)=1,COUNTIF(Vocabulary!$I$5:$I$7,J68)=1,COUNTIF(Vocabulary!$I$5:$I$7,K68)=1,COUNTIF(Vocabulary!$J$5:$J$6,L68)=1),"OK","UNRECOGNISED_ROUTING_VALUE"))</f>
        <v/>
      </c>
    </row>
    <row r="69">
      <c r="M69">
        <f>IF(COUNTA(A69:L69)=0,"",IF(OR(LEN(TRIM(B69))=0,LEN(TRIM(C69))=0,LEN(TRIM(D69))=0,LEN(TRIM(E69))=0,LEN(TRIM(F69))=0,LEN(TRIM(G69))=0,LEN(TRIM(H69))=0,LEN(TRIM(I69))=0,LEN(TRIM(J69))=0,LEN(TRIM(K69))=0,LEN(TRIM(L69))=0),"Undetermined - incomplete routing",IF(Q69&lt;&gt;"OK","Undetermined - unrecognized routing value",IF(OR(D69="High",D69="Catastrophic/systemic",E69="Material",E69="Fundamental or uncertain",F69="Difficult to reverse",F69="Irreversible or unknown",G69="National/transnational/ecological",H69="Frontier or unknown",I69="Affected-party dispute or unknown"),"AF-High-Consequence",IF(OR(D69="Moderate",E69="Limited reversible",F69="Partly reversible",G69="Regional/sectoral",H69="Novel",I69="High"),"AF-Standard","AF-Lite")))))</f>
        <v/>
      </c>
      <c r="O69">
        <f>IF(AND(M69="",N69=""),"",IF(AND(M69&lt;&gt;"",N69=""),"UNRECORDED",IF(AND(M69="",N69&lt;&gt;""),"ORPHAN_RECORDED",IF(M69=N69,"MATCH","MISMATCH"))))</f>
        <v/>
      </c>
      <c r="Q69" s="303">
        <f>IF(COUNTA(A69:L69)=0,"",IF(AND(COUNTIF(Vocabulary!$C$5:$C$8,D69)=1,COUNTIF(Vocabulary!$D$5:$D$8,E69)=1,COUNTIF(Vocabulary!$E$5:$E$8,F69)=1,COUNTIF(Vocabulary!$F$5:$F$8,G69)=1,COUNTIF(Vocabulary!$G$5:$G$8,H69)=1,COUNTIF(Vocabulary!$H$5:$H$8,I69)=1,COUNTIF(Vocabulary!$I$5:$I$7,J69)=1,COUNTIF(Vocabulary!$I$5:$I$7,K69)=1,COUNTIF(Vocabulary!$J$5:$J$6,L69)=1),"OK","UNRECOGNISED_ROUTING_VALUE"))</f>
        <v/>
      </c>
    </row>
    <row r="70">
      <c r="M70">
        <f>IF(COUNTA(A70:L70)=0,"",IF(OR(LEN(TRIM(B70))=0,LEN(TRIM(C70))=0,LEN(TRIM(D70))=0,LEN(TRIM(E70))=0,LEN(TRIM(F70))=0,LEN(TRIM(G70))=0,LEN(TRIM(H70))=0,LEN(TRIM(I70))=0,LEN(TRIM(J70))=0,LEN(TRIM(K70))=0,LEN(TRIM(L70))=0),"Undetermined - incomplete routing",IF(Q70&lt;&gt;"OK","Undetermined - unrecognized routing value",IF(OR(D70="High",D70="Catastrophic/systemic",E70="Material",E70="Fundamental or uncertain",F70="Difficult to reverse",F70="Irreversible or unknown",G70="National/transnational/ecological",H70="Frontier or unknown",I70="Affected-party dispute or unknown"),"AF-High-Consequence",IF(OR(D70="Moderate",E70="Limited reversible",F70="Partly reversible",G70="Regional/sectoral",H70="Novel",I70="High"),"AF-Standard","AF-Lite")))))</f>
        <v/>
      </c>
      <c r="O70">
        <f>IF(AND(M70="",N70=""),"",IF(AND(M70&lt;&gt;"",N70=""),"UNRECORDED",IF(AND(M70="",N70&lt;&gt;""),"ORPHAN_RECORDED",IF(M70=N70,"MATCH","MISMATCH"))))</f>
        <v/>
      </c>
      <c r="Q70" s="303">
        <f>IF(COUNTA(A70:L70)=0,"",IF(AND(COUNTIF(Vocabulary!$C$5:$C$8,D70)=1,COUNTIF(Vocabulary!$D$5:$D$8,E70)=1,COUNTIF(Vocabulary!$E$5:$E$8,F70)=1,COUNTIF(Vocabulary!$F$5:$F$8,G70)=1,COUNTIF(Vocabulary!$G$5:$G$8,H70)=1,COUNTIF(Vocabulary!$H$5:$H$8,I70)=1,COUNTIF(Vocabulary!$I$5:$I$7,J70)=1,COUNTIF(Vocabulary!$I$5:$I$7,K70)=1,COUNTIF(Vocabulary!$J$5:$J$6,L70)=1),"OK","UNRECOGNISED_ROUTING_VALUE"))</f>
        <v/>
      </c>
    </row>
    <row r="71">
      <c r="M71">
        <f>IF(COUNTA(A71:L71)=0,"",IF(OR(LEN(TRIM(B71))=0,LEN(TRIM(C71))=0,LEN(TRIM(D71))=0,LEN(TRIM(E71))=0,LEN(TRIM(F71))=0,LEN(TRIM(G71))=0,LEN(TRIM(H71))=0,LEN(TRIM(I71))=0,LEN(TRIM(J71))=0,LEN(TRIM(K71))=0,LEN(TRIM(L71))=0),"Undetermined - incomplete routing",IF(Q71&lt;&gt;"OK","Undetermined - unrecognized routing value",IF(OR(D71="High",D71="Catastrophic/systemic",E71="Material",E71="Fundamental or uncertain",F71="Difficult to reverse",F71="Irreversible or unknown",G71="National/transnational/ecological",H71="Frontier or unknown",I71="Affected-party dispute or unknown"),"AF-High-Consequence",IF(OR(D71="Moderate",E71="Limited reversible",F71="Partly reversible",G71="Regional/sectoral",H71="Novel",I71="High"),"AF-Standard","AF-Lite")))))</f>
        <v/>
      </c>
      <c r="O71">
        <f>IF(AND(M71="",N71=""),"",IF(AND(M71&lt;&gt;"",N71=""),"UNRECORDED",IF(AND(M71="",N71&lt;&gt;""),"ORPHAN_RECORDED",IF(M71=N71,"MATCH","MISMATCH"))))</f>
        <v/>
      </c>
      <c r="Q71" s="303">
        <f>IF(COUNTA(A71:L71)=0,"",IF(AND(COUNTIF(Vocabulary!$C$5:$C$8,D71)=1,COUNTIF(Vocabulary!$D$5:$D$8,E71)=1,COUNTIF(Vocabulary!$E$5:$E$8,F71)=1,COUNTIF(Vocabulary!$F$5:$F$8,G71)=1,COUNTIF(Vocabulary!$G$5:$G$8,H71)=1,COUNTIF(Vocabulary!$H$5:$H$8,I71)=1,COUNTIF(Vocabulary!$I$5:$I$7,J71)=1,COUNTIF(Vocabulary!$I$5:$I$7,K71)=1,COUNTIF(Vocabulary!$J$5:$J$6,L71)=1),"OK","UNRECOGNISED_ROUTING_VALUE"))</f>
        <v/>
      </c>
    </row>
    <row r="72">
      <c r="M72">
        <f>IF(COUNTA(A72:L72)=0,"",IF(OR(LEN(TRIM(B72))=0,LEN(TRIM(C72))=0,LEN(TRIM(D72))=0,LEN(TRIM(E72))=0,LEN(TRIM(F72))=0,LEN(TRIM(G72))=0,LEN(TRIM(H72))=0,LEN(TRIM(I72))=0,LEN(TRIM(J72))=0,LEN(TRIM(K72))=0,LEN(TRIM(L72))=0),"Undetermined - incomplete routing",IF(Q72&lt;&gt;"OK","Undetermined - unrecognized routing value",IF(OR(D72="High",D72="Catastrophic/systemic",E72="Material",E72="Fundamental or uncertain",F72="Difficult to reverse",F72="Irreversible or unknown",G72="National/transnational/ecological",H72="Frontier or unknown",I72="Affected-party dispute or unknown"),"AF-High-Consequence",IF(OR(D72="Moderate",E72="Limited reversible",F72="Partly reversible",G72="Regional/sectoral",H72="Novel",I72="High"),"AF-Standard","AF-Lite")))))</f>
        <v/>
      </c>
      <c r="O72">
        <f>IF(AND(M72="",N72=""),"",IF(AND(M72&lt;&gt;"",N72=""),"UNRECORDED",IF(AND(M72="",N72&lt;&gt;""),"ORPHAN_RECORDED",IF(M72=N72,"MATCH","MISMATCH"))))</f>
        <v/>
      </c>
      <c r="Q72" s="303">
        <f>IF(COUNTA(A72:L72)=0,"",IF(AND(COUNTIF(Vocabulary!$C$5:$C$8,D72)=1,COUNTIF(Vocabulary!$D$5:$D$8,E72)=1,COUNTIF(Vocabulary!$E$5:$E$8,F72)=1,COUNTIF(Vocabulary!$F$5:$F$8,G72)=1,COUNTIF(Vocabulary!$G$5:$G$8,H72)=1,COUNTIF(Vocabulary!$H$5:$H$8,I72)=1,COUNTIF(Vocabulary!$I$5:$I$7,J72)=1,COUNTIF(Vocabulary!$I$5:$I$7,K72)=1,COUNTIF(Vocabulary!$J$5:$J$6,L72)=1),"OK","UNRECOGNISED_ROUTING_VALUE"))</f>
        <v/>
      </c>
    </row>
    <row r="73">
      <c r="M73">
        <f>IF(COUNTA(A73:L73)=0,"",IF(OR(LEN(TRIM(B73))=0,LEN(TRIM(C73))=0,LEN(TRIM(D73))=0,LEN(TRIM(E73))=0,LEN(TRIM(F73))=0,LEN(TRIM(G73))=0,LEN(TRIM(H73))=0,LEN(TRIM(I73))=0,LEN(TRIM(J73))=0,LEN(TRIM(K73))=0,LEN(TRIM(L73))=0),"Undetermined - incomplete routing",IF(Q73&lt;&gt;"OK","Undetermined - unrecognized routing value",IF(OR(D73="High",D73="Catastrophic/systemic",E73="Material",E73="Fundamental or uncertain",F73="Difficult to reverse",F73="Irreversible or unknown",G73="National/transnational/ecological",H73="Frontier or unknown",I73="Affected-party dispute or unknown"),"AF-High-Consequence",IF(OR(D73="Moderate",E73="Limited reversible",F73="Partly reversible",G73="Regional/sectoral",H73="Novel",I73="High"),"AF-Standard","AF-Lite")))))</f>
        <v/>
      </c>
      <c r="O73">
        <f>IF(AND(M73="",N73=""),"",IF(AND(M73&lt;&gt;"",N73=""),"UNRECORDED",IF(AND(M73="",N73&lt;&gt;""),"ORPHAN_RECORDED",IF(M73=N73,"MATCH","MISMATCH"))))</f>
        <v/>
      </c>
      <c r="Q73" s="303">
        <f>IF(COUNTA(A73:L73)=0,"",IF(AND(COUNTIF(Vocabulary!$C$5:$C$8,D73)=1,COUNTIF(Vocabulary!$D$5:$D$8,E73)=1,COUNTIF(Vocabulary!$E$5:$E$8,F73)=1,COUNTIF(Vocabulary!$F$5:$F$8,G73)=1,COUNTIF(Vocabulary!$G$5:$G$8,H73)=1,COUNTIF(Vocabulary!$H$5:$H$8,I73)=1,COUNTIF(Vocabulary!$I$5:$I$7,J73)=1,COUNTIF(Vocabulary!$I$5:$I$7,K73)=1,COUNTIF(Vocabulary!$J$5:$J$6,L73)=1),"OK","UNRECOGNISED_ROUTING_VALUE"))</f>
        <v/>
      </c>
    </row>
    <row r="74">
      <c r="M74">
        <f>IF(COUNTA(A74:L74)=0,"",IF(OR(LEN(TRIM(B74))=0,LEN(TRIM(C74))=0,LEN(TRIM(D74))=0,LEN(TRIM(E74))=0,LEN(TRIM(F74))=0,LEN(TRIM(G74))=0,LEN(TRIM(H74))=0,LEN(TRIM(I74))=0,LEN(TRIM(J74))=0,LEN(TRIM(K74))=0,LEN(TRIM(L74))=0),"Undetermined - incomplete routing",IF(Q74&lt;&gt;"OK","Undetermined - unrecognized routing value",IF(OR(D74="High",D74="Catastrophic/systemic",E74="Material",E74="Fundamental or uncertain",F74="Difficult to reverse",F74="Irreversible or unknown",G74="National/transnational/ecological",H74="Frontier or unknown",I74="Affected-party dispute or unknown"),"AF-High-Consequence",IF(OR(D74="Moderate",E74="Limited reversible",F74="Partly reversible",G74="Regional/sectoral",H74="Novel",I74="High"),"AF-Standard","AF-Lite")))))</f>
        <v/>
      </c>
      <c r="O74">
        <f>IF(AND(M74="",N74=""),"",IF(AND(M74&lt;&gt;"",N74=""),"UNRECORDED",IF(AND(M74="",N74&lt;&gt;""),"ORPHAN_RECORDED",IF(M74=N74,"MATCH","MISMATCH"))))</f>
        <v/>
      </c>
      <c r="Q74" s="303">
        <f>IF(COUNTA(A74:L74)=0,"",IF(AND(COUNTIF(Vocabulary!$C$5:$C$8,D74)=1,COUNTIF(Vocabulary!$D$5:$D$8,E74)=1,COUNTIF(Vocabulary!$E$5:$E$8,F74)=1,COUNTIF(Vocabulary!$F$5:$F$8,G74)=1,COUNTIF(Vocabulary!$G$5:$G$8,H74)=1,COUNTIF(Vocabulary!$H$5:$H$8,I74)=1,COUNTIF(Vocabulary!$I$5:$I$7,J74)=1,COUNTIF(Vocabulary!$I$5:$I$7,K74)=1,COUNTIF(Vocabulary!$J$5:$J$6,L74)=1),"OK","UNRECOGNISED_ROUTING_VALUE"))</f>
        <v/>
      </c>
    </row>
    <row r="75">
      <c r="M75">
        <f>IF(COUNTA(A75:L75)=0,"",IF(OR(LEN(TRIM(B75))=0,LEN(TRIM(C75))=0,LEN(TRIM(D75))=0,LEN(TRIM(E75))=0,LEN(TRIM(F75))=0,LEN(TRIM(G75))=0,LEN(TRIM(H75))=0,LEN(TRIM(I75))=0,LEN(TRIM(J75))=0,LEN(TRIM(K75))=0,LEN(TRIM(L75))=0),"Undetermined - incomplete routing",IF(Q75&lt;&gt;"OK","Undetermined - unrecognized routing value",IF(OR(D75="High",D75="Catastrophic/systemic",E75="Material",E75="Fundamental or uncertain",F75="Difficult to reverse",F75="Irreversible or unknown",G75="National/transnational/ecological",H75="Frontier or unknown",I75="Affected-party dispute or unknown"),"AF-High-Consequence",IF(OR(D75="Moderate",E75="Limited reversible",F75="Partly reversible",G75="Regional/sectoral",H75="Novel",I75="High"),"AF-Standard","AF-Lite")))))</f>
        <v/>
      </c>
      <c r="O75">
        <f>IF(AND(M75="",N75=""),"",IF(AND(M75&lt;&gt;"",N75=""),"UNRECORDED",IF(AND(M75="",N75&lt;&gt;""),"ORPHAN_RECORDED",IF(M75=N75,"MATCH","MISMATCH"))))</f>
        <v/>
      </c>
      <c r="Q75" s="303">
        <f>IF(COUNTA(A75:L75)=0,"",IF(AND(COUNTIF(Vocabulary!$C$5:$C$8,D75)=1,COUNTIF(Vocabulary!$D$5:$D$8,E75)=1,COUNTIF(Vocabulary!$E$5:$E$8,F75)=1,COUNTIF(Vocabulary!$F$5:$F$8,G75)=1,COUNTIF(Vocabulary!$G$5:$G$8,H75)=1,COUNTIF(Vocabulary!$H$5:$H$8,I75)=1,COUNTIF(Vocabulary!$I$5:$I$7,J75)=1,COUNTIF(Vocabulary!$I$5:$I$7,K75)=1,COUNTIF(Vocabulary!$J$5:$J$6,L75)=1),"OK","UNRECOGNISED_ROUTING_VALUE"))</f>
        <v/>
      </c>
    </row>
    <row r="76">
      <c r="M76">
        <f>IF(COUNTA(A76:L76)=0,"",IF(OR(LEN(TRIM(B76))=0,LEN(TRIM(C76))=0,LEN(TRIM(D76))=0,LEN(TRIM(E76))=0,LEN(TRIM(F76))=0,LEN(TRIM(G76))=0,LEN(TRIM(H76))=0,LEN(TRIM(I76))=0,LEN(TRIM(J76))=0,LEN(TRIM(K76))=0,LEN(TRIM(L76))=0),"Undetermined - incomplete routing",IF(Q76&lt;&gt;"OK","Undetermined - unrecognized routing value",IF(OR(D76="High",D76="Catastrophic/systemic",E76="Material",E76="Fundamental or uncertain",F76="Difficult to reverse",F76="Irreversible or unknown",G76="National/transnational/ecological",H76="Frontier or unknown",I76="Affected-party dispute or unknown"),"AF-High-Consequence",IF(OR(D76="Moderate",E76="Limited reversible",F76="Partly reversible",G76="Regional/sectoral",H76="Novel",I76="High"),"AF-Standard","AF-Lite")))))</f>
        <v/>
      </c>
      <c r="O76">
        <f>IF(AND(M76="",N76=""),"",IF(AND(M76&lt;&gt;"",N76=""),"UNRECORDED",IF(AND(M76="",N76&lt;&gt;""),"ORPHAN_RECORDED",IF(M76=N76,"MATCH","MISMATCH"))))</f>
        <v/>
      </c>
      <c r="Q76" s="303">
        <f>IF(COUNTA(A76:L76)=0,"",IF(AND(COUNTIF(Vocabulary!$C$5:$C$8,D76)=1,COUNTIF(Vocabulary!$D$5:$D$8,E76)=1,COUNTIF(Vocabulary!$E$5:$E$8,F76)=1,COUNTIF(Vocabulary!$F$5:$F$8,G76)=1,COUNTIF(Vocabulary!$G$5:$G$8,H76)=1,COUNTIF(Vocabulary!$H$5:$H$8,I76)=1,COUNTIF(Vocabulary!$I$5:$I$7,J76)=1,COUNTIF(Vocabulary!$I$5:$I$7,K76)=1,COUNTIF(Vocabulary!$J$5:$J$6,L76)=1),"OK","UNRECOGNISED_ROUTING_VALUE"))</f>
        <v/>
      </c>
    </row>
    <row r="77">
      <c r="M77">
        <f>IF(COUNTA(A77:L77)=0,"",IF(OR(LEN(TRIM(B77))=0,LEN(TRIM(C77))=0,LEN(TRIM(D77))=0,LEN(TRIM(E77))=0,LEN(TRIM(F77))=0,LEN(TRIM(G77))=0,LEN(TRIM(H77))=0,LEN(TRIM(I77))=0,LEN(TRIM(J77))=0,LEN(TRIM(K77))=0,LEN(TRIM(L77))=0),"Undetermined - incomplete routing",IF(Q77&lt;&gt;"OK","Undetermined - unrecognized routing value",IF(OR(D77="High",D77="Catastrophic/systemic",E77="Material",E77="Fundamental or uncertain",F77="Difficult to reverse",F77="Irreversible or unknown",G77="National/transnational/ecological",H77="Frontier or unknown",I77="Affected-party dispute or unknown"),"AF-High-Consequence",IF(OR(D77="Moderate",E77="Limited reversible",F77="Partly reversible",G77="Regional/sectoral",H77="Novel",I77="High"),"AF-Standard","AF-Lite")))))</f>
        <v/>
      </c>
      <c r="O77">
        <f>IF(AND(M77="",N77=""),"",IF(AND(M77&lt;&gt;"",N77=""),"UNRECORDED",IF(AND(M77="",N77&lt;&gt;""),"ORPHAN_RECORDED",IF(M77=N77,"MATCH","MISMATCH"))))</f>
        <v/>
      </c>
      <c r="Q77" s="303">
        <f>IF(COUNTA(A77:L77)=0,"",IF(AND(COUNTIF(Vocabulary!$C$5:$C$8,D77)=1,COUNTIF(Vocabulary!$D$5:$D$8,E77)=1,COUNTIF(Vocabulary!$E$5:$E$8,F77)=1,COUNTIF(Vocabulary!$F$5:$F$8,G77)=1,COUNTIF(Vocabulary!$G$5:$G$8,H77)=1,COUNTIF(Vocabulary!$H$5:$H$8,I77)=1,COUNTIF(Vocabulary!$I$5:$I$7,J77)=1,COUNTIF(Vocabulary!$I$5:$I$7,K77)=1,COUNTIF(Vocabulary!$J$5:$J$6,L77)=1),"OK","UNRECOGNISED_ROUTING_VALUE"))</f>
        <v/>
      </c>
    </row>
    <row r="78">
      <c r="M78">
        <f>IF(COUNTA(A78:L78)=0,"",IF(OR(LEN(TRIM(B78))=0,LEN(TRIM(C78))=0,LEN(TRIM(D78))=0,LEN(TRIM(E78))=0,LEN(TRIM(F78))=0,LEN(TRIM(G78))=0,LEN(TRIM(H78))=0,LEN(TRIM(I78))=0,LEN(TRIM(J78))=0,LEN(TRIM(K78))=0,LEN(TRIM(L78))=0),"Undetermined - incomplete routing",IF(Q78&lt;&gt;"OK","Undetermined - unrecognized routing value",IF(OR(D78="High",D78="Catastrophic/systemic",E78="Material",E78="Fundamental or uncertain",F78="Difficult to reverse",F78="Irreversible or unknown",G78="National/transnational/ecological",H78="Frontier or unknown",I78="Affected-party dispute or unknown"),"AF-High-Consequence",IF(OR(D78="Moderate",E78="Limited reversible",F78="Partly reversible",G78="Regional/sectoral",H78="Novel",I78="High"),"AF-Standard","AF-Lite")))))</f>
        <v/>
      </c>
      <c r="O78">
        <f>IF(AND(M78="",N78=""),"",IF(AND(M78&lt;&gt;"",N78=""),"UNRECORDED",IF(AND(M78="",N78&lt;&gt;""),"ORPHAN_RECORDED",IF(M78=N78,"MATCH","MISMATCH"))))</f>
        <v/>
      </c>
      <c r="Q78" s="303">
        <f>IF(COUNTA(A78:L78)=0,"",IF(AND(COUNTIF(Vocabulary!$C$5:$C$8,D78)=1,COUNTIF(Vocabulary!$D$5:$D$8,E78)=1,COUNTIF(Vocabulary!$E$5:$E$8,F78)=1,COUNTIF(Vocabulary!$F$5:$F$8,G78)=1,COUNTIF(Vocabulary!$G$5:$G$8,H78)=1,COUNTIF(Vocabulary!$H$5:$H$8,I78)=1,COUNTIF(Vocabulary!$I$5:$I$7,J78)=1,COUNTIF(Vocabulary!$I$5:$I$7,K78)=1,COUNTIF(Vocabulary!$J$5:$J$6,L78)=1),"OK","UNRECOGNISED_ROUTING_VALUE"))</f>
        <v/>
      </c>
    </row>
    <row r="79">
      <c r="M79">
        <f>IF(COUNTA(A79:L79)=0,"",IF(OR(LEN(TRIM(B79))=0,LEN(TRIM(C79))=0,LEN(TRIM(D79))=0,LEN(TRIM(E79))=0,LEN(TRIM(F79))=0,LEN(TRIM(G79))=0,LEN(TRIM(H79))=0,LEN(TRIM(I79))=0,LEN(TRIM(J79))=0,LEN(TRIM(K79))=0,LEN(TRIM(L79))=0),"Undetermined - incomplete routing",IF(Q79&lt;&gt;"OK","Undetermined - unrecognized routing value",IF(OR(D79="High",D79="Catastrophic/systemic",E79="Material",E79="Fundamental or uncertain",F79="Difficult to reverse",F79="Irreversible or unknown",G79="National/transnational/ecological",H79="Frontier or unknown",I79="Affected-party dispute or unknown"),"AF-High-Consequence",IF(OR(D79="Moderate",E79="Limited reversible",F79="Partly reversible",G79="Regional/sectoral",H79="Novel",I79="High"),"AF-Standard","AF-Lite")))))</f>
        <v/>
      </c>
      <c r="O79">
        <f>IF(AND(M79="",N79=""),"",IF(AND(M79&lt;&gt;"",N79=""),"UNRECORDED",IF(AND(M79="",N79&lt;&gt;""),"ORPHAN_RECORDED",IF(M79=N79,"MATCH","MISMATCH"))))</f>
        <v/>
      </c>
      <c r="Q79" s="303">
        <f>IF(COUNTA(A79:L79)=0,"",IF(AND(COUNTIF(Vocabulary!$C$5:$C$8,D79)=1,COUNTIF(Vocabulary!$D$5:$D$8,E79)=1,COUNTIF(Vocabulary!$E$5:$E$8,F79)=1,COUNTIF(Vocabulary!$F$5:$F$8,G79)=1,COUNTIF(Vocabulary!$G$5:$G$8,H79)=1,COUNTIF(Vocabulary!$H$5:$H$8,I79)=1,COUNTIF(Vocabulary!$I$5:$I$7,J79)=1,COUNTIF(Vocabulary!$I$5:$I$7,K79)=1,COUNTIF(Vocabulary!$J$5:$J$6,L79)=1),"OK","UNRECOGNISED_ROUTING_VALUE"))</f>
        <v/>
      </c>
    </row>
    <row r="80">
      <c r="M80">
        <f>IF(COUNTA(A80:L80)=0,"",IF(OR(LEN(TRIM(B80))=0,LEN(TRIM(C80))=0,LEN(TRIM(D80))=0,LEN(TRIM(E80))=0,LEN(TRIM(F80))=0,LEN(TRIM(G80))=0,LEN(TRIM(H80))=0,LEN(TRIM(I80))=0,LEN(TRIM(J80))=0,LEN(TRIM(K80))=0,LEN(TRIM(L80))=0),"Undetermined - incomplete routing",IF(Q80&lt;&gt;"OK","Undetermined - unrecognized routing value",IF(OR(D80="High",D80="Catastrophic/systemic",E80="Material",E80="Fundamental or uncertain",F80="Difficult to reverse",F80="Irreversible or unknown",G80="National/transnational/ecological",H80="Frontier or unknown",I80="Affected-party dispute or unknown"),"AF-High-Consequence",IF(OR(D80="Moderate",E80="Limited reversible",F80="Partly reversible",G80="Regional/sectoral",H80="Novel",I80="High"),"AF-Standard","AF-Lite")))))</f>
        <v/>
      </c>
      <c r="O80">
        <f>IF(AND(M80="",N80=""),"",IF(AND(M80&lt;&gt;"",N80=""),"UNRECORDED",IF(AND(M80="",N80&lt;&gt;""),"ORPHAN_RECORDED",IF(M80=N80,"MATCH","MISMATCH"))))</f>
        <v/>
      </c>
      <c r="Q80" s="303">
        <f>IF(COUNTA(A80:L80)=0,"",IF(AND(COUNTIF(Vocabulary!$C$5:$C$8,D80)=1,COUNTIF(Vocabulary!$D$5:$D$8,E80)=1,COUNTIF(Vocabulary!$E$5:$E$8,F80)=1,COUNTIF(Vocabulary!$F$5:$F$8,G80)=1,COUNTIF(Vocabulary!$G$5:$G$8,H80)=1,COUNTIF(Vocabulary!$H$5:$H$8,I80)=1,COUNTIF(Vocabulary!$I$5:$I$7,J80)=1,COUNTIF(Vocabulary!$I$5:$I$7,K80)=1,COUNTIF(Vocabulary!$J$5:$J$6,L80)=1),"OK","UNRECOGNISED_ROUTING_VALUE"))</f>
        <v/>
      </c>
    </row>
    <row r="81">
      <c r="M81">
        <f>IF(COUNTA(A81:L81)=0,"",IF(OR(LEN(TRIM(B81))=0,LEN(TRIM(C81))=0,LEN(TRIM(D81))=0,LEN(TRIM(E81))=0,LEN(TRIM(F81))=0,LEN(TRIM(G81))=0,LEN(TRIM(H81))=0,LEN(TRIM(I81))=0,LEN(TRIM(J81))=0,LEN(TRIM(K81))=0,LEN(TRIM(L81))=0),"Undetermined - incomplete routing",IF(Q81&lt;&gt;"OK","Undetermined - unrecognized routing value",IF(OR(D81="High",D81="Catastrophic/systemic",E81="Material",E81="Fundamental or uncertain",F81="Difficult to reverse",F81="Irreversible or unknown",G81="National/transnational/ecological",H81="Frontier or unknown",I81="Affected-party dispute or unknown"),"AF-High-Consequence",IF(OR(D81="Moderate",E81="Limited reversible",F81="Partly reversible",G81="Regional/sectoral",H81="Novel",I81="High"),"AF-Standard","AF-Lite")))))</f>
        <v/>
      </c>
      <c r="O81">
        <f>IF(AND(M81="",N81=""),"",IF(AND(M81&lt;&gt;"",N81=""),"UNRECORDED",IF(AND(M81="",N81&lt;&gt;""),"ORPHAN_RECORDED",IF(M81=N81,"MATCH","MISMATCH"))))</f>
        <v/>
      </c>
      <c r="Q81" s="303">
        <f>IF(COUNTA(A81:L81)=0,"",IF(AND(COUNTIF(Vocabulary!$C$5:$C$8,D81)=1,COUNTIF(Vocabulary!$D$5:$D$8,E81)=1,COUNTIF(Vocabulary!$E$5:$E$8,F81)=1,COUNTIF(Vocabulary!$F$5:$F$8,G81)=1,COUNTIF(Vocabulary!$G$5:$G$8,H81)=1,COUNTIF(Vocabulary!$H$5:$H$8,I81)=1,COUNTIF(Vocabulary!$I$5:$I$7,J81)=1,COUNTIF(Vocabulary!$I$5:$I$7,K81)=1,COUNTIF(Vocabulary!$J$5:$J$6,L81)=1),"OK","UNRECOGNISED_ROUTING_VALUE"))</f>
        <v/>
      </c>
    </row>
    <row r="82">
      <c r="M82">
        <f>IF(COUNTA(A82:L82)=0,"",IF(OR(LEN(TRIM(B82))=0,LEN(TRIM(C82))=0,LEN(TRIM(D82))=0,LEN(TRIM(E82))=0,LEN(TRIM(F82))=0,LEN(TRIM(G82))=0,LEN(TRIM(H82))=0,LEN(TRIM(I82))=0,LEN(TRIM(J82))=0,LEN(TRIM(K82))=0,LEN(TRIM(L82))=0),"Undetermined - incomplete routing",IF(Q82&lt;&gt;"OK","Undetermined - unrecognized routing value",IF(OR(D82="High",D82="Catastrophic/systemic",E82="Material",E82="Fundamental or uncertain",F82="Difficult to reverse",F82="Irreversible or unknown",G82="National/transnational/ecological",H82="Frontier or unknown",I82="Affected-party dispute or unknown"),"AF-High-Consequence",IF(OR(D82="Moderate",E82="Limited reversible",F82="Partly reversible",G82="Regional/sectoral",H82="Novel",I82="High"),"AF-Standard","AF-Lite")))))</f>
        <v/>
      </c>
      <c r="O82">
        <f>IF(AND(M82="",N82=""),"",IF(AND(M82&lt;&gt;"",N82=""),"UNRECORDED",IF(AND(M82="",N82&lt;&gt;""),"ORPHAN_RECORDED",IF(M82=N82,"MATCH","MISMATCH"))))</f>
        <v/>
      </c>
      <c r="Q82" s="303">
        <f>IF(COUNTA(A82:L82)=0,"",IF(AND(COUNTIF(Vocabulary!$C$5:$C$8,D82)=1,COUNTIF(Vocabulary!$D$5:$D$8,E82)=1,COUNTIF(Vocabulary!$E$5:$E$8,F82)=1,COUNTIF(Vocabulary!$F$5:$F$8,G82)=1,COUNTIF(Vocabulary!$G$5:$G$8,H82)=1,COUNTIF(Vocabulary!$H$5:$H$8,I82)=1,COUNTIF(Vocabulary!$I$5:$I$7,J82)=1,COUNTIF(Vocabulary!$I$5:$I$7,K82)=1,COUNTIF(Vocabulary!$J$5:$J$6,L82)=1),"OK","UNRECOGNISED_ROUTING_VALUE"))</f>
        <v/>
      </c>
    </row>
    <row r="83">
      <c r="M83">
        <f>IF(COUNTA(A83:L83)=0,"",IF(OR(LEN(TRIM(B83))=0,LEN(TRIM(C83))=0,LEN(TRIM(D83))=0,LEN(TRIM(E83))=0,LEN(TRIM(F83))=0,LEN(TRIM(G83))=0,LEN(TRIM(H83))=0,LEN(TRIM(I83))=0,LEN(TRIM(J83))=0,LEN(TRIM(K83))=0,LEN(TRIM(L83))=0),"Undetermined - incomplete routing",IF(Q83&lt;&gt;"OK","Undetermined - unrecognized routing value",IF(OR(D83="High",D83="Catastrophic/systemic",E83="Material",E83="Fundamental or uncertain",F83="Difficult to reverse",F83="Irreversible or unknown",G83="National/transnational/ecological",H83="Frontier or unknown",I83="Affected-party dispute or unknown"),"AF-High-Consequence",IF(OR(D83="Moderate",E83="Limited reversible",F83="Partly reversible",G83="Regional/sectoral",H83="Novel",I83="High"),"AF-Standard","AF-Lite")))))</f>
        <v/>
      </c>
      <c r="O83">
        <f>IF(AND(M83="",N83=""),"",IF(AND(M83&lt;&gt;"",N83=""),"UNRECORDED",IF(AND(M83="",N83&lt;&gt;""),"ORPHAN_RECORDED",IF(M83=N83,"MATCH","MISMATCH"))))</f>
        <v/>
      </c>
      <c r="Q83" s="303">
        <f>IF(COUNTA(A83:L83)=0,"",IF(AND(COUNTIF(Vocabulary!$C$5:$C$8,D83)=1,COUNTIF(Vocabulary!$D$5:$D$8,E83)=1,COUNTIF(Vocabulary!$E$5:$E$8,F83)=1,COUNTIF(Vocabulary!$F$5:$F$8,G83)=1,COUNTIF(Vocabulary!$G$5:$G$8,H83)=1,COUNTIF(Vocabulary!$H$5:$H$8,I83)=1,COUNTIF(Vocabulary!$I$5:$I$7,J83)=1,COUNTIF(Vocabulary!$I$5:$I$7,K83)=1,COUNTIF(Vocabulary!$J$5:$J$6,L83)=1),"OK","UNRECOGNISED_ROUTING_VALUE"))</f>
        <v/>
      </c>
    </row>
    <row r="84">
      <c r="M84">
        <f>IF(COUNTA(A84:L84)=0,"",IF(OR(LEN(TRIM(B84))=0,LEN(TRIM(C84))=0,LEN(TRIM(D84))=0,LEN(TRIM(E84))=0,LEN(TRIM(F84))=0,LEN(TRIM(G84))=0,LEN(TRIM(H84))=0,LEN(TRIM(I84))=0,LEN(TRIM(J84))=0,LEN(TRIM(K84))=0,LEN(TRIM(L84))=0),"Undetermined - incomplete routing",IF(Q84&lt;&gt;"OK","Undetermined - unrecognized routing value",IF(OR(D84="High",D84="Catastrophic/systemic",E84="Material",E84="Fundamental or uncertain",F84="Difficult to reverse",F84="Irreversible or unknown",G84="National/transnational/ecological",H84="Frontier or unknown",I84="Affected-party dispute or unknown"),"AF-High-Consequence",IF(OR(D84="Moderate",E84="Limited reversible",F84="Partly reversible",G84="Regional/sectoral",H84="Novel",I84="High"),"AF-Standard","AF-Lite")))))</f>
        <v/>
      </c>
      <c r="O84">
        <f>IF(AND(M84="",N84=""),"",IF(AND(M84&lt;&gt;"",N84=""),"UNRECORDED",IF(AND(M84="",N84&lt;&gt;""),"ORPHAN_RECORDED",IF(M84=N84,"MATCH","MISMATCH"))))</f>
        <v/>
      </c>
      <c r="Q84" s="303">
        <f>IF(COUNTA(A84:L84)=0,"",IF(AND(COUNTIF(Vocabulary!$C$5:$C$8,D84)=1,COUNTIF(Vocabulary!$D$5:$D$8,E84)=1,COUNTIF(Vocabulary!$E$5:$E$8,F84)=1,COUNTIF(Vocabulary!$F$5:$F$8,G84)=1,COUNTIF(Vocabulary!$G$5:$G$8,H84)=1,COUNTIF(Vocabulary!$H$5:$H$8,I84)=1,COUNTIF(Vocabulary!$I$5:$I$7,J84)=1,COUNTIF(Vocabulary!$I$5:$I$7,K84)=1,COUNTIF(Vocabulary!$J$5:$J$6,L84)=1),"OK","UNRECOGNISED_ROUTING_VALUE"))</f>
        <v/>
      </c>
    </row>
    <row r="85">
      <c r="M85">
        <f>IF(COUNTA(A85:L85)=0,"",IF(OR(LEN(TRIM(B85))=0,LEN(TRIM(C85))=0,LEN(TRIM(D85))=0,LEN(TRIM(E85))=0,LEN(TRIM(F85))=0,LEN(TRIM(G85))=0,LEN(TRIM(H85))=0,LEN(TRIM(I85))=0,LEN(TRIM(J85))=0,LEN(TRIM(K85))=0,LEN(TRIM(L85))=0),"Undetermined - incomplete routing",IF(Q85&lt;&gt;"OK","Undetermined - unrecognized routing value",IF(OR(D85="High",D85="Catastrophic/systemic",E85="Material",E85="Fundamental or uncertain",F85="Difficult to reverse",F85="Irreversible or unknown",G85="National/transnational/ecological",H85="Frontier or unknown",I85="Affected-party dispute or unknown"),"AF-High-Consequence",IF(OR(D85="Moderate",E85="Limited reversible",F85="Partly reversible",G85="Regional/sectoral",H85="Novel",I85="High"),"AF-Standard","AF-Lite")))))</f>
        <v/>
      </c>
      <c r="O85">
        <f>IF(AND(M85="",N85=""),"",IF(AND(M85&lt;&gt;"",N85=""),"UNRECORDED",IF(AND(M85="",N85&lt;&gt;""),"ORPHAN_RECORDED",IF(M85=N85,"MATCH","MISMATCH"))))</f>
        <v/>
      </c>
      <c r="Q85" s="303">
        <f>IF(COUNTA(A85:L85)=0,"",IF(AND(COUNTIF(Vocabulary!$C$5:$C$8,D85)=1,COUNTIF(Vocabulary!$D$5:$D$8,E85)=1,COUNTIF(Vocabulary!$E$5:$E$8,F85)=1,COUNTIF(Vocabulary!$F$5:$F$8,G85)=1,COUNTIF(Vocabulary!$G$5:$G$8,H85)=1,COUNTIF(Vocabulary!$H$5:$H$8,I85)=1,COUNTIF(Vocabulary!$I$5:$I$7,J85)=1,COUNTIF(Vocabulary!$I$5:$I$7,K85)=1,COUNTIF(Vocabulary!$J$5:$J$6,L85)=1),"OK","UNRECOGNISED_ROUTING_VALUE"))</f>
        <v/>
      </c>
    </row>
    <row r="86">
      <c r="M86">
        <f>IF(COUNTA(A86:L86)=0,"",IF(OR(LEN(TRIM(B86))=0,LEN(TRIM(C86))=0,LEN(TRIM(D86))=0,LEN(TRIM(E86))=0,LEN(TRIM(F86))=0,LEN(TRIM(G86))=0,LEN(TRIM(H86))=0,LEN(TRIM(I86))=0,LEN(TRIM(J86))=0,LEN(TRIM(K86))=0,LEN(TRIM(L86))=0),"Undetermined - incomplete routing",IF(Q86&lt;&gt;"OK","Undetermined - unrecognized routing value",IF(OR(D86="High",D86="Catastrophic/systemic",E86="Material",E86="Fundamental or uncertain",F86="Difficult to reverse",F86="Irreversible or unknown",G86="National/transnational/ecological",H86="Frontier or unknown",I86="Affected-party dispute or unknown"),"AF-High-Consequence",IF(OR(D86="Moderate",E86="Limited reversible",F86="Partly reversible",G86="Regional/sectoral",H86="Novel",I86="High"),"AF-Standard","AF-Lite")))))</f>
        <v/>
      </c>
      <c r="O86">
        <f>IF(AND(M86="",N86=""),"",IF(AND(M86&lt;&gt;"",N86=""),"UNRECORDED",IF(AND(M86="",N86&lt;&gt;""),"ORPHAN_RECORDED",IF(M86=N86,"MATCH","MISMATCH"))))</f>
        <v/>
      </c>
      <c r="Q86" s="303">
        <f>IF(COUNTA(A86:L86)=0,"",IF(AND(COUNTIF(Vocabulary!$C$5:$C$8,D86)=1,COUNTIF(Vocabulary!$D$5:$D$8,E86)=1,COUNTIF(Vocabulary!$E$5:$E$8,F86)=1,COUNTIF(Vocabulary!$F$5:$F$8,G86)=1,COUNTIF(Vocabulary!$G$5:$G$8,H86)=1,COUNTIF(Vocabulary!$H$5:$H$8,I86)=1,COUNTIF(Vocabulary!$I$5:$I$7,J86)=1,COUNTIF(Vocabulary!$I$5:$I$7,K86)=1,COUNTIF(Vocabulary!$J$5:$J$6,L86)=1),"OK","UNRECOGNISED_ROUTING_VALUE"))</f>
        <v/>
      </c>
    </row>
    <row r="87">
      <c r="M87">
        <f>IF(COUNTA(A87:L87)=0,"",IF(OR(LEN(TRIM(B87))=0,LEN(TRIM(C87))=0,LEN(TRIM(D87))=0,LEN(TRIM(E87))=0,LEN(TRIM(F87))=0,LEN(TRIM(G87))=0,LEN(TRIM(H87))=0,LEN(TRIM(I87))=0,LEN(TRIM(J87))=0,LEN(TRIM(K87))=0,LEN(TRIM(L87))=0),"Undetermined - incomplete routing",IF(Q87&lt;&gt;"OK","Undetermined - unrecognized routing value",IF(OR(D87="High",D87="Catastrophic/systemic",E87="Material",E87="Fundamental or uncertain",F87="Difficult to reverse",F87="Irreversible or unknown",G87="National/transnational/ecological",H87="Frontier or unknown",I87="Affected-party dispute or unknown"),"AF-High-Consequence",IF(OR(D87="Moderate",E87="Limited reversible",F87="Partly reversible",G87="Regional/sectoral",H87="Novel",I87="High"),"AF-Standard","AF-Lite")))))</f>
        <v/>
      </c>
      <c r="O87">
        <f>IF(AND(M87="",N87=""),"",IF(AND(M87&lt;&gt;"",N87=""),"UNRECORDED",IF(AND(M87="",N87&lt;&gt;""),"ORPHAN_RECORDED",IF(M87=N87,"MATCH","MISMATCH"))))</f>
        <v/>
      </c>
      <c r="Q87" s="303">
        <f>IF(COUNTA(A87:L87)=0,"",IF(AND(COUNTIF(Vocabulary!$C$5:$C$8,D87)=1,COUNTIF(Vocabulary!$D$5:$D$8,E87)=1,COUNTIF(Vocabulary!$E$5:$E$8,F87)=1,COUNTIF(Vocabulary!$F$5:$F$8,G87)=1,COUNTIF(Vocabulary!$G$5:$G$8,H87)=1,COUNTIF(Vocabulary!$H$5:$H$8,I87)=1,COUNTIF(Vocabulary!$I$5:$I$7,J87)=1,COUNTIF(Vocabulary!$I$5:$I$7,K87)=1,COUNTIF(Vocabulary!$J$5:$J$6,L87)=1),"OK","UNRECOGNISED_ROUTING_VALUE"))</f>
        <v/>
      </c>
    </row>
    <row r="88">
      <c r="M88">
        <f>IF(COUNTA(A88:L88)=0,"",IF(OR(LEN(TRIM(B88))=0,LEN(TRIM(C88))=0,LEN(TRIM(D88))=0,LEN(TRIM(E88))=0,LEN(TRIM(F88))=0,LEN(TRIM(G88))=0,LEN(TRIM(H88))=0,LEN(TRIM(I88))=0,LEN(TRIM(J88))=0,LEN(TRIM(K88))=0,LEN(TRIM(L88))=0),"Undetermined - incomplete routing",IF(Q88&lt;&gt;"OK","Undetermined - unrecognized routing value",IF(OR(D88="High",D88="Catastrophic/systemic",E88="Material",E88="Fundamental or uncertain",F88="Difficult to reverse",F88="Irreversible or unknown",G88="National/transnational/ecological",H88="Frontier or unknown",I88="Affected-party dispute or unknown"),"AF-High-Consequence",IF(OR(D88="Moderate",E88="Limited reversible",F88="Partly reversible",G88="Regional/sectoral",H88="Novel",I88="High"),"AF-Standard","AF-Lite")))))</f>
        <v/>
      </c>
      <c r="O88">
        <f>IF(AND(M88="",N88=""),"",IF(AND(M88&lt;&gt;"",N88=""),"UNRECORDED",IF(AND(M88="",N88&lt;&gt;""),"ORPHAN_RECORDED",IF(M88=N88,"MATCH","MISMATCH"))))</f>
        <v/>
      </c>
      <c r="Q88" s="303">
        <f>IF(COUNTA(A88:L88)=0,"",IF(AND(COUNTIF(Vocabulary!$C$5:$C$8,D88)=1,COUNTIF(Vocabulary!$D$5:$D$8,E88)=1,COUNTIF(Vocabulary!$E$5:$E$8,F88)=1,COUNTIF(Vocabulary!$F$5:$F$8,G88)=1,COUNTIF(Vocabulary!$G$5:$G$8,H88)=1,COUNTIF(Vocabulary!$H$5:$H$8,I88)=1,COUNTIF(Vocabulary!$I$5:$I$7,J88)=1,COUNTIF(Vocabulary!$I$5:$I$7,K88)=1,COUNTIF(Vocabulary!$J$5:$J$6,L88)=1),"OK","UNRECOGNISED_ROUTING_VALUE"))</f>
        <v/>
      </c>
    </row>
    <row r="89">
      <c r="M89">
        <f>IF(COUNTA(A89:L89)=0,"",IF(OR(LEN(TRIM(B89))=0,LEN(TRIM(C89))=0,LEN(TRIM(D89))=0,LEN(TRIM(E89))=0,LEN(TRIM(F89))=0,LEN(TRIM(G89))=0,LEN(TRIM(H89))=0,LEN(TRIM(I89))=0,LEN(TRIM(J89))=0,LEN(TRIM(K89))=0,LEN(TRIM(L89))=0),"Undetermined - incomplete routing",IF(Q89&lt;&gt;"OK","Undetermined - unrecognized routing value",IF(OR(D89="High",D89="Catastrophic/systemic",E89="Material",E89="Fundamental or uncertain",F89="Difficult to reverse",F89="Irreversible or unknown",G89="National/transnational/ecological",H89="Frontier or unknown",I89="Affected-party dispute or unknown"),"AF-High-Consequence",IF(OR(D89="Moderate",E89="Limited reversible",F89="Partly reversible",G89="Regional/sectoral",H89="Novel",I89="High"),"AF-Standard","AF-Lite")))))</f>
        <v/>
      </c>
      <c r="O89">
        <f>IF(AND(M89="",N89=""),"",IF(AND(M89&lt;&gt;"",N89=""),"UNRECORDED",IF(AND(M89="",N89&lt;&gt;""),"ORPHAN_RECORDED",IF(M89=N89,"MATCH","MISMATCH"))))</f>
        <v/>
      </c>
      <c r="Q89" s="303">
        <f>IF(COUNTA(A89:L89)=0,"",IF(AND(COUNTIF(Vocabulary!$C$5:$C$8,D89)=1,COUNTIF(Vocabulary!$D$5:$D$8,E89)=1,COUNTIF(Vocabulary!$E$5:$E$8,F89)=1,COUNTIF(Vocabulary!$F$5:$F$8,G89)=1,COUNTIF(Vocabulary!$G$5:$G$8,H89)=1,COUNTIF(Vocabulary!$H$5:$H$8,I89)=1,COUNTIF(Vocabulary!$I$5:$I$7,J89)=1,COUNTIF(Vocabulary!$I$5:$I$7,K89)=1,COUNTIF(Vocabulary!$J$5:$J$6,L89)=1),"OK","UNRECOGNISED_ROUTING_VALUE"))</f>
        <v/>
      </c>
    </row>
    <row r="90">
      <c r="M90">
        <f>IF(COUNTA(A90:L90)=0,"",IF(OR(LEN(TRIM(B90))=0,LEN(TRIM(C90))=0,LEN(TRIM(D90))=0,LEN(TRIM(E90))=0,LEN(TRIM(F90))=0,LEN(TRIM(G90))=0,LEN(TRIM(H90))=0,LEN(TRIM(I90))=0,LEN(TRIM(J90))=0,LEN(TRIM(K90))=0,LEN(TRIM(L90))=0),"Undetermined - incomplete routing",IF(Q90&lt;&gt;"OK","Undetermined - unrecognized routing value",IF(OR(D90="High",D90="Catastrophic/systemic",E90="Material",E90="Fundamental or uncertain",F90="Difficult to reverse",F90="Irreversible or unknown",G90="National/transnational/ecological",H90="Frontier or unknown",I90="Affected-party dispute or unknown"),"AF-High-Consequence",IF(OR(D90="Moderate",E90="Limited reversible",F90="Partly reversible",G90="Regional/sectoral",H90="Novel",I90="High"),"AF-Standard","AF-Lite")))))</f>
        <v/>
      </c>
      <c r="O90">
        <f>IF(AND(M90="",N90=""),"",IF(AND(M90&lt;&gt;"",N90=""),"UNRECORDED",IF(AND(M90="",N90&lt;&gt;""),"ORPHAN_RECORDED",IF(M90=N90,"MATCH","MISMATCH"))))</f>
        <v/>
      </c>
      <c r="Q90" s="303">
        <f>IF(COUNTA(A90:L90)=0,"",IF(AND(COUNTIF(Vocabulary!$C$5:$C$8,D90)=1,COUNTIF(Vocabulary!$D$5:$D$8,E90)=1,COUNTIF(Vocabulary!$E$5:$E$8,F90)=1,COUNTIF(Vocabulary!$F$5:$F$8,G90)=1,COUNTIF(Vocabulary!$G$5:$G$8,H90)=1,COUNTIF(Vocabulary!$H$5:$H$8,I90)=1,COUNTIF(Vocabulary!$I$5:$I$7,J90)=1,COUNTIF(Vocabulary!$I$5:$I$7,K90)=1,COUNTIF(Vocabulary!$J$5:$J$6,L90)=1),"OK","UNRECOGNISED_ROUTING_VALUE"))</f>
        <v/>
      </c>
    </row>
    <row r="91">
      <c r="M91">
        <f>IF(COUNTA(A91:L91)=0,"",IF(OR(LEN(TRIM(B91))=0,LEN(TRIM(C91))=0,LEN(TRIM(D91))=0,LEN(TRIM(E91))=0,LEN(TRIM(F91))=0,LEN(TRIM(G91))=0,LEN(TRIM(H91))=0,LEN(TRIM(I91))=0,LEN(TRIM(J91))=0,LEN(TRIM(K91))=0,LEN(TRIM(L91))=0),"Undetermined - incomplete routing",IF(Q91&lt;&gt;"OK","Undetermined - unrecognized routing value",IF(OR(D91="High",D91="Catastrophic/systemic",E91="Material",E91="Fundamental or uncertain",F91="Difficult to reverse",F91="Irreversible or unknown",G91="National/transnational/ecological",H91="Frontier or unknown",I91="Affected-party dispute or unknown"),"AF-High-Consequence",IF(OR(D91="Moderate",E91="Limited reversible",F91="Partly reversible",G91="Regional/sectoral",H91="Novel",I91="High"),"AF-Standard","AF-Lite")))))</f>
        <v/>
      </c>
      <c r="O91">
        <f>IF(AND(M91="",N91=""),"",IF(AND(M91&lt;&gt;"",N91=""),"UNRECORDED",IF(AND(M91="",N91&lt;&gt;""),"ORPHAN_RECORDED",IF(M91=N91,"MATCH","MISMATCH"))))</f>
        <v/>
      </c>
      <c r="Q91" s="303">
        <f>IF(COUNTA(A91:L91)=0,"",IF(AND(COUNTIF(Vocabulary!$C$5:$C$8,D91)=1,COUNTIF(Vocabulary!$D$5:$D$8,E91)=1,COUNTIF(Vocabulary!$E$5:$E$8,F91)=1,COUNTIF(Vocabulary!$F$5:$F$8,G91)=1,COUNTIF(Vocabulary!$G$5:$G$8,H91)=1,COUNTIF(Vocabulary!$H$5:$H$8,I91)=1,COUNTIF(Vocabulary!$I$5:$I$7,J91)=1,COUNTIF(Vocabulary!$I$5:$I$7,K91)=1,COUNTIF(Vocabulary!$J$5:$J$6,L91)=1),"OK","UNRECOGNISED_ROUTING_VALUE"))</f>
        <v/>
      </c>
    </row>
    <row r="92">
      <c r="M92">
        <f>IF(COUNTA(A92:L92)=0,"",IF(OR(LEN(TRIM(B92))=0,LEN(TRIM(C92))=0,LEN(TRIM(D92))=0,LEN(TRIM(E92))=0,LEN(TRIM(F92))=0,LEN(TRIM(G92))=0,LEN(TRIM(H92))=0,LEN(TRIM(I92))=0,LEN(TRIM(J92))=0,LEN(TRIM(K92))=0,LEN(TRIM(L92))=0),"Undetermined - incomplete routing",IF(Q92&lt;&gt;"OK","Undetermined - unrecognized routing value",IF(OR(D92="High",D92="Catastrophic/systemic",E92="Material",E92="Fundamental or uncertain",F92="Difficult to reverse",F92="Irreversible or unknown",G92="National/transnational/ecological",H92="Frontier or unknown",I92="Affected-party dispute or unknown"),"AF-High-Consequence",IF(OR(D92="Moderate",E92="Limited reversible",F92="Partly reversible",G92="Regional/sectoral",H92="Novel",I92="High"),"AF-Standard","AF-Lite")))))</f>
        <v/>
      </c>
      <c r="O92">
        <f>IF(AND(M92="",N92=""),"",IF(AND(M92&lt;&gt;"",N92=""),"UNRECORDED",IF(AND(M92="",N92&lt;&gt;""),"ORPHAN_RECORDED",IF(M92=N92,"MATCH","MISMATCH"))))</f>
        <v/>
      </c>
      <c r="Q92" s="303">
        <f>IF(COUNTA(A92:L92)=0,"",IF(AND(COUNTIF(Vocabulary!$C$5:$C$8,D92)=1,COUNTIF(Vocabulary!$D$5:$D$8,E92)=1,COUNTIF(Vocabulary!$E$5:$E$8,F92)=1,COUNTIF(Vocabulary!$F$5:$F$8,G92)=1,COUNTIF(Vocabulary!$G$5:$G$8,H92)=1,COUNTIF(Vocabulary!$H$5:$H$8,I92)=1,COUNTIF(Vocabulary!$I$5:$I$7,J92)=1,COUNTIF(Vocabulary!$I$5:$I$7,K92)=1,COUNTIF(Vocabulary!$J$5:$J$6,L92)=1),"OK","UNRECOGNISED_ROUTING_VALUE"))</f>
        <v/>
      </c>
    </row>
    <row r="93">
      <c r="M93">
        <f>IF(COUNTA(A93:L93)=0,"",IF(OR(LEN(TRIM(B93))=0,LEN(TRIM(C93))=0,LEN(TRIM(D93))=0,LEN(TRIM(E93))=0,LEN(TRIM(F93))=0,LEN(TRIM(G93))=0,LEN(TRIM(H93))=0,LEN(TRIM(I93))=0,LEN(TRIM(J93))=0,LEN(TRIM(K93))=0,LEN(TRIM(L93))=0),"Undetermined - incomplete routing",IF(Q93&lt;&gt;"OK","Undetermined - unrecognized routing value",IF(OR(D93="High",D93="Catastrophic/systemic",E93="Material",E93="Fundamental or uncertain",F93="Difficult to reverse",F93="Irreversible or unknown",G93="National/transnational/ecological",H93="Frontier or unknown",I93="Affected-party dispute or unknown"),"AF-High-Consequence",IF(OR(D93="Moderate",E93="Limited reversible",F93="Partly reversible",G93="Regional/sectoral",H93="Novel",I93="High"),"AF-Standard","AF-Lite")))))</f>
        <v/>
      </c>
      <c r="O93">
        <f>IF(AND(M93="",N93=""),"",IF(AND(M93&lt;&gt;"",N93=""),"UNRECORDED",IF(AND(M93="",N93&lt;&gt;""),"ORPHAN_RECORDED",IF(M93=N93,"MATCH","MISMATCH"))))</f>
        <v/>
      </c>
      <c r="Q93" s="303">
        <f>IF(COUNTA(A93:L93)=0,"",IF(AND(COUNTIF(Vocabulary!$C$5:$C$8,D93)=1,COUNTIF(Vocabulary!$D$5:$D$8,E93)=1,COUNTIF(Vocabulary!$E$5:$E$8,F93)=1,COUNTIF(Vocabulary!$F$5:$F$8,G93)=1,COUNTIF(Vocabulary!$G$5:$G$8,H93)=1,COUNTIF(Vocabulary!$H$5:$H$8,I93)=1,COUNTIF(Vocabulary!$I$5:$I$7,J93)=1,COUNTIF(Vocabulary!$I$5:$I$7,K93)=1,COUNTIF(Vocabulary!$J$5:$J$6,L93)=1),"OK","UNRECOGNISED_ROUTING_VALUE"))</f>
        <v/>
      </c>
    </row>
    <row r="94">
      <c r="M94">
        <f>IF(COUNTA(A94:L94)=0,"",IF(OR(LEN(TRIM(B94))=0,LEN(TRIM(C94))=0,LEN(TRIM(D94))=0,LEN(TRIM(E94))=0,LEN(TRIM(F94))=0,LEN(TRIM(G94))=0,LEN(TRIM(H94))=0,LEN(TRIM(I94))=0,LEN(TRIM(J94))=0,LEN(TRIM(K94))=0,LEN(TRIM(L94))=0),"Undetermined - incomplete routing",IF(Q94&lt;&gt;"OK","Undetermined - unrecognized routing value",IF(OR(D94="High",D94="Catastrophic/systemic",E94="Material",E94="Fundamental or uncertain",F94="Difficult to reverse",F94="Irreversible or unknown",G94="National/transnational/ecological",H94="Frontier or unknown",I94="Affected-party dispute or unknown"),"AF-High-Consequence",IF(OR(D94="Moderate",E94="Limited reversible",F94="Partly reversible",G94="Regional/sectoral",H94="Novel",I94="High"),"AF-Standard","AF-Lite")))))</f>
        <v/>
      </c>
      <c r="O94">
        <f>IF(AND(M94="",N94=""),"",IF(AND(M94&lt;&gt;"",N94=""),"UNRECORDED",IF(AND(M94="",N94&lt;&gt;""),"ORPHAN_RECORDED",IF(M94=N94,"MATCH","MISMATCH"))))</f>
        <v/>
      </c>
      <c r="Q94" s="303">
        <f>IF(COUNTA(A94:L94)=0,"",IF(AND(COUNTIF(Vocabulary!$C$5:$C$8,D94)=1,COUNTIF(Vocabulary!$D$5:$D$8,E94)=1,COUNTIF(Vocabulary!$E$5:$E$8,F94)=1,COUNTIF(Vocabulary!$F$5:$F$8,G94)=1,COUNTIF(Vocabulary!$G$5:$G$8,H94)=1,COUNTIF(Vocabulary!$H$5:$H$8,I94)=1,COUNTIF(Vocabulary!$I$5:$I$7,J94)=1,COUNTIF(Vocabulary!$I$5:$I$7,K94)=1,COUNTIF(Vocabulary!$J$5:$J$6,L94)=1),"OK","UNRECOGNISED_ROUTING_VALUE"))</f>
        <v/>
      </c>
    </row>
    <row r="95">
      <c r="M95">
        <f>IF(COUNTA(A95:L95)=0,"",IF(OR(LEN(TRIM(B95))=0,LEN(TRIM(C95))=0,LEN(TRIM(D95))=0,LEN(TRIM(E95))=0,LEN(TRIM(F95))=0,LEN(TRIM(G95))=0,LEN(TRIM(H95))=0,LEN(TRIM(I95))=0,LEN(TRIM(J95))=0,LEN(TRIM(K95))=0,LEN(TRIM(L95))=0),"Undetermined - incomplete routing",IF(Q95&lt;&gt;"OK","Undetermined - unrecognized routing value",IF(OR(D95="High",D95="Catastrophic/systemic",E95="Material",E95="Fundamental or uncertain",F95="Difficult to reverse",F95="Irreversible or unknown",G95="National/transnational/ecological",H95="Frontier or unknown",I95="Affected-party dispute or unknown"),"AF-High-Consequence",IF(OR(D95="Moderate",E95="Limited reversible",F95="Partly reversible",G95="Regional/sectoral",H95="Novel",I95="High"),"AF-Standard","AF-Lite")))))</f>
        <v/>
      </c>
      <c r="O95">
        <f>IF(AND(M95="",N95=""),"",IF(AND(M95&lt;&gt;"",N95=""),"UNRECORDED",IF(AND(M95="",N95&lt;&gt;""),"ORPHAN_RECORDED",IF(M95=N95,"MATCH","MISMATCH"))))</f>
        <v/>
      </c>
      <c r="Q95" s="303">
        <f>IF(COUNTA(A95:L95)=0,"",IF(AND(COUNTIF(Vocabulary!$C$5:$C$8,D95)=1,COUNTIF(Vocabulary!$D$5:$D$8,E95)=1,COUNTIF(Vocabulary!$E$5:$E$8,F95)=1,COUNTIF(Vocabulary!$F$5:$F$8,G95)=1,COUNTIF(Vocabulary!$G$5:$G$8,H95)=1,COUNTIF(Vocabulary!$H$5:$H$8,I95)=1,COUNTIF(Vocabulary!$I$5:$I$7,J95)=1,COUNTIF(Vocabulary!$I$5:$I$7,K95)=1,COUNTIF(Vocabulary!$J$5:$J$6,L95)=1),"OK","UNRECOGNISED_ROUTING_VALUE"))</f>
        <v/>
      </c>
    </row>
    <row r="96">
      <c r="M96">
        <f>IF(COUNTA(A96:L96)=0,"",IF(OR(LEN(TRIM(B96))=0,LEN(TRIM(C96))=0,LEN(TRIM(D96))=0,LEN(TRIM(E96))=0,LEN(TRIM(F96))=0,LEN(TRIM(G96))=0,LEN(TRIM(H96))=0,LEN(TRIM(I96))=0,LEN(TRIM(J96))=0,LEN(TRIM(K96))=0,LEN(TRIM(L96))=0),"Undetermined - incomplete routing",IF(Q96&lt;&gt;"OK","Undetermined - unrecognized routing value",IF(OR(D96="High",D96="Catastrophic/systemic",E96="Material",E96="Fundamental or uncertain",F96="Difficult to reverse",F96="Irreversible or unknown",G96="National/transnational/ecological",H96="Frontier or unknown",I96="Affected-party dispute or unknown"),"AF-High-Consequence",IF(OR(D96="Moderate",E96="Limited reversible",F96="Partly reversible",G96="Regional/sectoral",H96="Novel",I96="High"),"AF-Standard","AF-Lite")))))</f>
        <v/>
      </c>
      <c r="O96">
        <f>IF(AND(M96="",N96=""),"",IF(AND(M96&lt;&gt;"",N96=""),"UNRECORDED",IF(AND(M96="",N96&lt;&gt;""),"ORPHAN_RECORDED",IF(M96=N96,"MATCH","MISMATCH"))))</f>
        <v/>
      </c>
      <c r="Q96" s="303">
        <f>IF(COUNTA(A96:L96)=0,"",IF(AND(COUNTIF(Vocabulary!$C$5:$C$8,D96)=1,COUNTIF(Vocabulary!$D$5:$D$8,E96)=1,COUNTIF(Vocabulary!$E$5:$E$8,F96)=1,COUNTIF(Vocabulary!$F$5:$F$8,G96)=1,COUNTIF(Vocabulary!$G$5:$G$8,H96)=1,COUNTIF(Vocabulary!$H$5:$H$8,I96)=1,COUNTIF(Vocabulary!$I$5:$I$7,J96)=1,COUNTIF(Vocabulary!$I$5:$I$7,K96)=1,COUNTIF(Vocabulary!$J$5:$J$6,L96)=1),"OK","UNRECOGNISED_ROUTING_VALUE"))</f>
        <v/>
      </c>
    </row>
    <row r="97">
      <c r="M97">
        <f>IF(COUNTA(A97:L97)=0,"",IF(OR(LEN(TRIM(B97))=0,LEN(TRIM(C97))=0,LEN(TRIM(D97))=0,LEN(TRIM(E97))=0,LEN(TRIM(F97))=0,LEN(TRIM(G97))=0,LEN(TRIM(H97))=0,LEN(TRIM(I97))=0,LEN(TRIM(J97))=0,LEN(TRIM(K97))=0,LEN(TRIM(L97))=0),"Undetermined - incomplete routing",IF(Q97&lt;&gt;"OK","Undetermined - unrecognized routing value",IF(OR(D97="High",D97="Catastrophic/systemic",E97="Material",E97="Fundamental or uncertain",F97="Difficult to reverse",F97="Irreversible or unknown",G97="National/transnational/ecological",H97="Frontier or unknown",I97="Affected-party dispute or unknown"),"AF-High-Consequence",IF(OR(D97="Moderate",E97="Limited reversible",F97="Partly reversible",G97="Regional/sectoral",H97="Novel",I97="High"),"AF-Standard","AF-Lite")))))</f>
        <v/>
      </c>
      <c r="O97">
        <f>IF(AND(M97="",N97=""),"",IF(AND(M97&lt;&gt;"",N97=""),"UNRECORDED",IF(AND(M97="",N97&lt;&gt;""),"ORPHAN_RECORDED",IF(M97=N97,"MATCH","MISMATCH"))))</f>
        <v/>
      </c>
      <c r="Q97" s="303">
        <f>IF(COUNTA(A97:L97)=0,"",IF(AND(COUNTIF(Vocabulary!$C$5:$C$8,D97)=1,COUNTIF(Vocabulary!$D$5:$D$8,E97)=1,COUNTIF(Vocabulary!$E$5:$E$8,F97)=1,COUNTIF(Vocabulary!$F$5:$F$8,G97)=1,COUNTIF(Vocabulary!$G$5:$G$8,H97)=1,COUNTIF(Vocabulary!$H$5:$H$8,I97)=1,COUNTIF(Vocabulary!$I$5:$I$7,J97)=1,COUNTIF(Vocabulary!$I$5:$I$7,K97)=1,COUNTIF(Vocabulary!$J$5:$J$6,L97)=1),"OK","UNRECOGNISED_ROUTING_VALUE"))</f>
        <v/>
      </c>
    </row>
    <row r="98">
      <c r="M98">
        <f>IF(COUNTA(A98:L98)=0,"",IF(OR(LEN(TRIM(B98))=0,LEN(TRIM(C98))=0,LEN(TRIM(D98))=0,LEN(TRIM(E98))=0,LEN(TRIM(F98))=0,LEN(TRIM(G98))=0,LEN(TRIM(H98))=0,LEN(TRIM(I98))=0,LEN(TRIM(J98))=0,LEN(TRIM(K98))=0,LEN(TRIM(L98))=0),"Undetermined - incomplete routing",IF(Q98&lt;&gt;"OK","Undetermined - unrecognized routing value",IF(OR(D98="High",D98="Catastrophic/systemic",E98="Material",E98="Fundamental or uncertain",F98="Difficult to reverse",F98="Irreversible or unknown",G98="National/transnational/ecological",H98="Frontier or unknown",I98="Affected-party dispute or unknown"),"AF-High-Consequence",IF(OR(D98="Moderate",E98="Limited reversible",F98="Partly reversible",G98="Regional/sectoral",H98="Novel",I98="High"),"AF-Standard","AF-Lite")))))</f>
        <v/>
      </c>
      <c r="O98">
        <f>IF(AND(M98="",N98=""),"",IF(AND(M98&lt;&gt;"",N98=""),"UNRECORDED",IF(AND(M98="",N98&lt;&gt;""),"ORPHAN_RECORDED",IF(M98=N98,"MATCH","MISMATCH"))))</f>
        <v/>
      </c>
      <c r="Q98" s="303">
        <f>IF(COUNTA(A98:L98)=0,"",IF(AND(COUNTIF(Vocabulary!$C$5:$C$8,D98)=1,COUNTIF(Vocabulary!$D$5:$D$8,E98)=1,COUNTIF(Vocabulary!$E$5:$E$8,F98)=1,COUNTIF(Vocabulary!$F$5:$F$8,G98)=1,COUNTIF(Vocabulary!$G$5:$G$8,H98)=1,COUNTIF(Vocabulary!$H$5:$H$8,I98)=1,COUNTIF(Vocabulary!$I$5:$I$7,J98)=1,COUNTIF(Vocabulary!$I$5:$I$7,K98)=1,COUNTIF(Vocabulary!$J$5:$J$6,L98)=1),"OK","UNRECOGNISED_ROUTING_VALUE"))</f>
        <v/>
      </c>
    </row>
    <row r="99">
      <c r="M99">
        <f>IF(COUNTA(A99:L99)=0,"",IF(OR(LEN(TRIM(B99))=0,LEN(TRIM(C99))=0,LEN(TRIM(D99))=0,LEN(TRIM(E99))=0,LEN(TRIM(F99))=0,LEN(TRIM(G99))=0,LEN(TRIM(H99))=0,LEN(TRIM(I99))=0,LEN(TRIM(J99))=0,LEN(TRIM(K99))=0,LEN(TRIM(L99))=0),"Undetermined - incomplete routing",IF(Q99&lt;&gt;"OK","Undetermined - unrecognized routing value",IF(OR(D99="High",D99="Catastrophic/systemic",E99="Material",E99="Fundamental or uncertain",F99="Difficult to reverse",F99="Irreversible or unknown",G99="National/transnational/ecological",H99="Frontier or unknown",I99="Affected-party dispute or unknown"),"AF-High-Consequence",IF(OR(D99="Moderate",E99="Limited reversible",F99="Partly reversible",G99="Regional/sectoral",H99="Novel",I99="High"),"AF-Standard","AF-Lite")))))</f>
        <v/>
      </c>
      <c r="O99">
        <f>IF(AND(M99="",N99=""),"",IF(AND(M99&lt;&gt;"",N99=""),"UNRECORDED",IF(AND(M99="",N99&lt;&gt;""),"ORPHAN_RECORDED",IF(M99=N99,"MATCH","MISMATCH"))))</f>
        <v/>
      </c>
      <c r="Q99" s="303">
        <f>IF(COUNTA(A99:L99)=0,"",IF(AND(COUNTIF(Vocabulary!$C$5:$C$8,D99)=1,COUNTIF(Vocabulary!$D$5:$D$8,E99)=1,COUNTIF(Vocabulary!$E$5:$E$8,F99)=1,COUNTIF(Vocabulary!$F$5:$F$8,G99)=1,COUNTIF(Vocabulary!$G$5:$G$8,H99)=1,COUNTIF(Vocabulary!$H$5:$H$8,I99)=1,COUNTIF(Vocabulary!$I$5:$I$7,J99)=1,COUNTIF(Vocabulary!$I$5:$I$7,K99)=1,COUNTIF(Vocabulary!$J$5:$J$6,L99)=1),"OK","UNRECOGNISED_ROUTING_VALUE"))</f>
        <v/>
      </c>
    </row>
    <row r="100">
      <c r="M100">
        <f>IF(COUNTA(A100:L100)=0,"",IF(OR(LEN(TRIM(B100))=0,LEN(TRIM(C100))=0,LEN(TRIM(D100))=0,LEN(TRIM(E100))=0,LEN(TRIM(F100))=0,LEN(TRIM(G100))=0,LEN(TRIM(H100))=0,LEN(TRIM(I100))=0,LEN(TRIM(J100))=0,LEN(TRIM(K100))=0,LEN(TRIM(L100))=0),"Undetermined - incomplete routing",IF(Q100&lt;&gt;"OK","Undetermined - unrecognized routing value",IF(OR(D100="High",D100="Catastrophic/systemic",E100="Material",E100="Fundamental or uncertain",F100="Difficult to reverse",F100="Irreversible or unknown",G100="National/transnational/ecological",H100="Frontier or unknown",I100="Affected-party dispute or unknown"),"AF-High-Consequence",IF(OR(D100="Moderate",E100="Limited reversible",F100="Partly reversible",G100="Regional/sectoral",H100="Novel",I100="High"),"AF-Standard","AF-Lite")))))</f>
        <v/>
      </c>
      <c r="O100">
        <f>IF(AND(M100="",N100=""),"",IF(AND(M100&lt;&gt;"",N100=""),"UNRECORDED",IF(AND(M100="",N100&lt;&gt;""),"ORPHAN_RECORDED",IF(M100=N100,"MATCH","MISMATCH"))))</f>
        <v/>
      </c>
      <c r="Q100" s="303">
        <f>IF(COUNTA(A100:L100)=0,"",IF(AND(COUNTIF(Vocabulary!$C$5:$C$8,D100)=1,COUNTIF(Vocabulary!$D$5:$D$8,E100)=1,COUNTIF(Vocabulary!$E$5:$E$8,F100)=1,COUNTIF(Vocabulary!$F$5:$F$8,G100)=1,COUNTIF(Vocabulary!$G$5:$G$8,H100)=1,COUNTIF(Vocabulary!$H$5:$H$8,I100)=1,COUNTIF(Vocabulary!$I$5:$I$7,J100)=1,COUNTIF(Vocabulary!$I$5:$I$7,K100)=1,COUNTIF(Vocabulary!$J$5:$J$6,L100)=1),"OK","UNRECOGNISED_ROUTING_VALUE"))</f>
        <v/>
      </c>
    </row>
    <row r="101">
      <c r="M101">
        <f>IF(COUNTA(A101:L101)=0,"",IF(OR(LEN(TRIM(B101))=0,LEN(TRIM(C101))=0,LEN(TRIM(D101))=0,LEN(TRIM(E101))=0,LEN(TRIM(F101))=0,LEN(TRIM(G101))=0,LEN(TRIM(H101))=0,LEN(TRIM(I101))=0,LEN(TRIM(J101))=0,LEN(TRIM(K101))=0,LEN(TRIM(L101))=0),"Undetermined - incomplete routing",IF(Q101&lt;&gt;"OK","Undetermined - unrecognized routing value",IF(OR(D101="High",D101="Catastrophic/systemic",E101="Material",E101="Fundamental or uncertain",F101="Difficult to reverse",F101="Irreversible or unknown",G101="National/transnational/ecological",H101="Frontier or unknown",I101="Affected-party dispute or unknown"),"AF-High-Consequence",IF(OR(D101="Moderate",E101="Limited reversible",F101="Partly reversible",G101="Regional/sectoral",H101="Novel",I101="High"),"AF-Standard","AF-Lite")))))</f>
        <v/>
      </c>
      <c r="O101">
        <f>IF(AND(M101="",N101=""),"",IF(AND(M101&lt;&gt;"",N101=""),"UNRECORDED",IF(AND(M101="",N101&lt;&gt;""),"ORPHAN_RECORDED",IF(M101=N101,"MATCH","MISMATCH"))))</f>
        <v/>
      </c>
      <c r="Q101" s="303">
        <f>IF(COUNTA(A101:L101)=0,"",IF(AND(COUNTIF(Vocabulary!$C$5:$C$8,D101)=1,COUNTIF(Vocabulary!$D$5:$D$8,E101)=1,COUNTIF(Vocabulary!$E$5:$E$8,F101)=1,COUNTIF(Vocabulary!$F$5:$F$8,G101)=1,COUNTIF(Vocabulary!$G$5:$G$8,H101)=1,COUNTIF(Vocabulary!$H$5:$H$8,I101)=1,COUNTIF(Vocabulary!$I$5:$I$7,J101)=1,COUNTIF(Vocabulary!$I$5:$I$7,K101)=1,COUNTIF(Vocabulary!$J$5:$J$6,L101)=1),"OK","UNRECOGNISED_ROUTING_VALUE"))</f>
        <v/>
      </c>
    </row>
    <row r="102">
      <c r="M102">
        <f>IF(COUNTA(A102:L102)=0,"",IF(OR(LEN(TRIM(B102))=0,LEN(TRIM(C102))=0,LEN(TRIM(D102))=0,LEN(TRIM(E102))=0,LEN(TRIM(F102))=0,LEN(TRIM(G102))=0,LEN(TRIM(H102))=0,LEN(TRIM(I102))=0,LEN(TRIM(J102))=0,LEN(TRIM(K102))=0,LEN(TRIM(L102))=0),"Undetermined - incomplete routing",IF(Q102&lt;&gt;"OK","Undetermined - unrecognized routing value",IF(OR(D102="High",D102="Catastrophic/systemic",E102="Material",E102="Fundamental or uncertain",F102="Difficult to reverse",F102="Irreversible or unknown",G102="National/transnational/ecological",H102="Frontier or unknown",I102="Affected-party dispute or unknown"),"AF-High-Consequence",IF(OR(D102="Moderate",E102="Limited reversible",F102="Partly reversible",G102="Regional/sectoral",H102="Novel",I102="High"),"AF-Standard","AF-Lite")))))</f>
        <v/>
      </c>
      <c r="O102">
        <f>IF(AND(M102="",N102=""),"",IF(AND(M102&lt;&gt;"",N102=""),"UNRECORDED",IF(AND(M102="",N102&lt;&gt;""),"ORPHAN_RECORDED",IF(M102=N102,"MATCH","MISMATCH"))))</f>
        <v/>
      </c>
      <c r="Q102" s="303">
        <f>IF(COUNTA(A102:L102)=0,"",IF(AND(COUNTIF(Vocabulary!$C$5:$C$8,D102)=1,COUNTIF(Vocabulary!$D$5:$D$8,E102)=1,COUNTIF(Vocabulary!$E$5:$E$8,F102)=1,COUNTIF(Vocabulary!$F$5:$F$8,G102)=1,COUNTIF(Vocabulary!$G$5:$G$8,H102)=1,COUNTIF(Vocabulary!$H$5:$H$8,I102)=1,COUNTIF(Vocabulary!$I$5:$I$7,J102)=1,COUNTIF(Vocabulary!$I$5:$I$7,K102)=1,COUNTIF(Vocabulary!$J$5:$J$6,L102)=1),"OK","UNRECOGNISED_ROUTING_VALUE"))</f>
        <v/>
      </c>
    </row>
    <row r="103">
      <c r="M103">
        <f>IF(COUNTA(A103:L103)=0,"",IF(OR(LEN(TRIM(B103))=0,LEN(TRIM(C103))=0,LEN(TRIM(D103))=0,LEN(TRIM(E103))=0,LEN(TRIM(F103))=0,LEN(TRIM(G103))=0,LEN(TRIM(H103))=0,LEN(TRIM(I103))=0,LEN(TRIM(J103))=0,LEN(TRIM(K103))=0,LEN(TRIM(L103))=0),"Undetermined - incomplete routing",IF(Q103&lt;&gt;"OK","Undetermined - unrecognized routing value",IF(OR(D103="High",D103="Catastrophic/systemic",E103="Material",E103="Fundamental or uncertain",F103="Difficult to reverse",F103="Irreversible or unknown",G103="National/transnational/ecological",H103="Frontier or unknown",I103="Affected-party dispute or unknown"),"AF-High-Consequence",IF(OR(D103="Moderate",E103="Limited reversible",F103="Partly reversible",G103="Regional/sectoral",H103="Novel",I103="High"),"AF-Standard","AF-Lite")))))</f>
        <v/>
      </c>
      <c r="O103">
        <f>IF(AND(M103="",N103=""),"",IF(AND(M103&lt;&gt;"",N103=""),"UNRECORDED",IF(AND(M103="",N103&lt;&gt;""),"ORPHAN_RECORDED",IF(M103=N103,"MATCH","MISMATCH"))))</f>
        <v/>
      </c>
      <c r="Q103" s="303">
        <f>IF(COUNTA(A103:L103)=0,"",IF(AND(COUNTIF(Vocabulary!$C$5:$C$8,D103)=1,COUNTIF(Vocabulary!$D$5:$D$8,E103)=1,COUNTIF(Vocabulary!$E$5:$E$8,F103)=1,COUNTIF(Vocabulary!$F$5:$F$8,G103)=1,COUNTIF(Vocabulary!$G$5:$G$8,H103)=1,COUNTIF(Vocabulary!$H$5:$H$8,I103)=1,COUNTIF(Vocabulary!$I$5:$I$7,J103)=1,COUNTIF(Vocabulary!$I$5:$I$7,K103)=1,COUNTIF(Vocabulary!$J$5:$J$6,L103)=1),"OK","UNRECOGNISED_ROUTING_VALUE"))</f>
        <v/>
      </c>
    </row>
    <row r="104">
      <c r="M104">
        <f>IF(COUNTA(A104:L104)=0,"",IF(OR(LEN(TRIM(B104))=0,LEN(TRIM(C104))=0,LEN(TRIM(D104))=0,LEN(TRIM(E104))=0,LEN(TRIM(F104))=0,LEN(TRIM(G104))=0,LEN(TRIM(H104))=0,LEN(TRIM(I104))=0,LEN(TRIM(J104))=0,LEN(TRIM(K104))=0,LEN(TRIM(L104))=0),"Undetermined - incomplete routing",IF(Q104&lt;&gt;"OK","Undetermined - unrecognized routing value",IF(OR(D104="High",D104="Catastrophic/systemic",E104="Material",E104="Fundamental or uncertain",F104="Difficult to reverse",F104="Irreversible or unknown",G104="National/transnational/ecological",H104="Frontier or unknown",I104="Affected-party dispute or unknown"),"AF-High-Consequence",IF(OR(D104="Moderate",E104="Limited reversible",F104="Partly reversible",G104="Regional/sectoral",H104="Novel",I104="High"),"AF-Standard","AF-Lite")))))</f>
        <v/>
      </c>
      <c r="O104">
        <f>IF(AND(M104="",N104=""),"",IF(AND(M104&lt;&gt;"",N104=""),"UNRECORDED",IF(AND(M104="",N104&lt;&gt;""),"ORPHAN_RECORDED",IF(M104=N104,"MATCH","MISMATCH"))))</f>
        <v/>
      </c>
      <c r="Q104" s="303">
        <f>IF(COUNTA(A104:L104)=0,"",IF(AND(COUNTIF(Vocabulary!$C$5:$C$8,D104)=1,COUNTIF(Vocabulary!$D$5:$D$8,E104)=1,COUNTIF(Vocabulary!$E$5:$E$8,F104)=1,COUNTIF(Vocabulary!$F$5:$F$8,G104)=1,COUNTIF(Vocabulary!$G$5:$G$8,H104)=1,COUNTIF(Vocabulary!$H$5:$H$8,I104)=1,COUNTIF(Vocabulary!$I$5:$I$7,J104)=1,COUNTIF(Vocabulary!$I$5:$I$7,K104)=1,COUNTIF(Vocabulary!$J$5:$J$6,L104)=1),"OK","UNRECOGNISED_ROUTING_VALUE"))</f>
        <v/>
      </c>
    </row>
    <row r="105">
      <c r="M105">
        <f>IF(COUNTA(A105:L105)=0,"",IF(OR(LEN(TRIM(B105))=0,LEN(TRIM(C105))=0,LEN(TRIM(D105))=0,LEN(TRIM(E105))=0,LEN(TRIM(F105))=0,LEN(TRIM(G105))=0,LEN(TRIM(H105))=0,LEN(TRIM(I105))=0,LEN(TRIM(J105))=0,LEN(TRIM(K105))=0,LEN(TRIM(L105))=0),"Undetermined - incomplete routing",IF(Q105&lt;&gt;"OK","Undetermined - unrecognized routing value",IF(OR(D105="High",D105="Catastrophic/systemic",E105="Material",E105="Fundamental or uncertain",F105="Difficult to reverse",F105="Irreversible or unknown",G105="National/transnational/ecological",H105="Frontier or unknown",I105="Affected-party dispute or unknown"),"AF-High-Consequence",IF(OR(D105="Moderate",E105="Limited reversible",F105="Partly reversible",G105="Regional/sectoral",H105="Novel",I105="High"),"AF-Standard","AF-Lite")))))</f>
        <v/>
      </c>
      <c r="O105">
        <f>IF(AND(M105="",N105=""),"",IF(AND(M105&lt;&gt;"",N105=""),"UNRECORDED",IF(AND(M105="",N105&lt;&gt;""),"ORPHAN_RECORDED",IF(M105=N105,"MATCH","MISMATCH"))))</f>
        <v/>
      </c>
      <c r="Q105" s="303">
        <f>IF(COUNTA(A105:L105)=0,"",IF(AND(COUNTIF(Vocabulary!$C$5:$C$8,D105)=1,COUNTIF(Vocabulary!$D$5:$D$8,E105)=1,COUNTIF(Vocabulary!$E$5:$E$8,F105)=1,COUNTIF(Vocabulary!$F$5:$F$8,G105)=1,COUNTIF(Vocabulary!$G$5:$G$8,H105)=1,COUNTIF(Vocabulary!$H$5:$H$8,I105)=1,COUNTIF(Vocabulary!$I$5:$I$7,J105)=1,COUNTIF(Vocabulary!$I$5:$I$7,K105)=1,COUNTIF(Vocabulary!$J$5:$J$6,L105)=1),"OK","UNRECOGNISED_ROUTING_VALUE"))</f>
        <v/>
      </c>
    </row>
    <row r="106">
      <c r="M106">
        <f>IF(COUNTA(A106:L106)=0,"",IF(OR(LEN(TRIM(B106))=0,LEN(TRIM(C106))=0,LEN(TRIM(D106))=0,LEN(TRIM(E106))=0,LEN(TRIM(F106))=0,LEN(TRIM(G106))=0,LEN(TRIM(H106))=0,LEN(TRIM(I106))=0,LEN(TRIM(J106))=0,LEN(TRIM(K106))=0,LEN(TRIM(L106))=0),"Undetermined - incomplete routing",IF(Q106&lt;&gt;"OK","Undetermined - unrecognized routing value",IF(OR(D106="High",D106="Catastrophic/systemic",E106="Material",E106="Fundamental or uncertain",F106="Difficult to reverse",F106="Irreversible or unknown",G106="National/transnational/ecological",H106="Frontier or unknown",I106="Affected-party dispute or unknown"),"AF-High-Consequence",IF(OR(D106="Moderate",E106="Limited reversible",F106="Partly reversible",G106="Regional/sectoral",H106="Novel",I106="High"),"AF-Standard","AF-Lite")))))</f>
        <v/>
      </c>
      <c r="O106">
        <f>IF(AND(M106="",N106=""),"",IF(AND(M106&lt;&gt;"",N106=""),"UNRECORDED",IF(AND(M106="",N106&lt;&gt;""),"ORPHAN_RECORDED",IF(M106=N106,"MATCH","MISMATCH"))))</f>
        <v/>
      </c>
      <c r="Q106" s="303">
        <f>IF(COUNTA(A106:L106)=0,"",IF(AND(COUNTIF(Vocabulary!$C$5:$C$8,D106)=1,COUNTIF(Vocabulary!$D$5:$D$8,E106)=1,COUNTIF(Vocabulary!$E$5:$E$8,F106)=1,COUNTIF(Vocabulary!$F$5:$F$8,G106)=1,COUNTIF(Vocabulary!$G$5:$G$8,H106)=1,COUNTIF(Vocabulary!$H$5:$H$8,I106)=1,COUNTIF(Vocabulary!$I$5:$I$7,J106)=1,COUNTIF(Vocabulary!$I$5:$I$7,K106)=1,COUNTIF(Vocabulary!$J$5:$J$6,L106)=1),"OK","UNRECOGNISED_ROUTING_VALUE"))</f>
        <v/>
      </c>
    </row>
    <row r="107">
      <c r="M107">
        <f>IF(COUNTA(A107:L107)=0,"",IF(OR(LEN(TRIM(B107))=0,LEN(TRIM(C107))=0,LEN(TRIM(D107))=0,LEN(TRIM(E107))=0,LEN(TRIM(F107))=0,LEN(TRIM(G107))=0,LEN(TRIM(H107))=0,LEN(TRIM(I107))=0,LEN(TRIM(J107))=0,LEN(TRIM(K107))=0,LEN(TRIM(L107))=0),"Undetermined - incomplete routing",IF(Q107&lt;&gt;"OK","Undetermined - unrecognized routing value",IF(OR(D107="High",D107="Catastrophic/systemic",E107="Material",E107="Fundamental or uncertain",F107="Difficult to reverse",F107="Irreversible or unknown",G107="National/transnational/ecological",H107="Frontier or unknown",I107="Affected-party dispute or unknown"),"AF-High-Consequence",IF(OR(D107="Moderate",E107="Limited reversible",F107="Partly reversible",G107="Regional/sectoral",H107="Novel",I107="High"),"AF-Standard","AF-Lite")))))</f>
        <v/>
      </c>
      <c r="O107">
        <f>IF(AND(M107="",N107=""),"",IF(AND(M107&lt;&gt;"",N107=""),"UNRECORDED",IF(AND(M107="",N107&lt;&gt;""),"ORPHAN_RECORDED",IF(M107=N107,"MATCH","MISMATCH"))))</f>
        <v/>
      </c>
      <c r="Q107" s="303">
        <f>IF(COUNTA(A107:L107)=0,"",IF(AND(COUNTIF(Vocabulary!$C$5:$C$8,D107)=1,COUNTIF(Vocabulary!$D$5:$D$8,E107)=1,COUNTIF(Vocabulary!$E$5:$E$8,F107)=1,COUNTIF(Vocabulary!$F$5:$F$8,G107)=1,COUNTIF(Vocabulary!$G$5:$G$8,H107)=1,COUNTIF(Vocabulary!$H$5:$H$8,I107)=1,COUNTIF(Vocabulary!$I$5:$I$7,J107)=1,COUNTIF(Vocabulary!$I$5:$I$7,K107)=1,COUNTIF(Vocabulary!$J$5:$J$6,L107)=1),"OK","UNRECOGNISED_ROUTING_VALUE"))</f>
        <v/>
      </c>
    </row>
    <row r="108">
      <c r="M108">
        <f>IF(COUNTA(A108:L108)=0,"",IF(OR(LEN(TRIM(B108))=0,LEN(TRIM(C108))=0,LEN(TRIM(D108))=0,LEN(TRIM(E108))=0,LEN(TRIM(F108))=0,LEN(TRIM(G108))=0,LEN(TRIM(H108))=0,LEN(TRIM(I108))=0,LEN(TRIM(J108))=0,LEN(TRIM(K108))=0,LEN(TRIM(L108))=0),"Undetermined - incomplete routing",IF(Q108&lt;&gt;"OK","Undetermined - unrecognized routing value",IF(OR(D108="High",D108="Catastrophic/systemic",E108="Material",E108="Fundamental or uncertain",F108="Difficult to reverse",F108="Irreversible or unknown",G108="National/transnational/ecological",H108="Frontier or unknown",I108="Affected-party dispute or unknown"),"AF-High-Consequence",IF(OR(D108="Moderate",E108="Limited reversible",F108="Partly reversible",G108="Regional/sectoral",H108="Novel",I108="High"),"AF-Standard","AF-Lite")))))</f>
        <v/>
      </c>
      <c r="O108">
        <f>IF(AND(M108="",N108=""),"",IF(AND(M108&lt;&gt;"",N108=""),"UNRECORDED",IF(AND(M108="",N108&lt;&gt;""),"ORPHAN_RECORDED",IF(M108=N108,"MATCH","MISMATCH"))))</f>
        <v/>
      </c>
      <c r="Q108" s="303">
        <f>IF(COUNTA(A108:L108)=0,"",IF(AND(COUNTIF(Vocabulary!$C$5:$C$8,D108)=1,COUNTIF(Vocabulary!$D$5:$D$8,E108)=1,COUNTIF(Vocabulary!$E$5:$E$8,F108)=1,COUNTIF(Vocabulary!$F$5:$F$8,G108)=1,COUNTIF(Vocabulary!$G$5:$G$8,H108)=1,COUNTIF(Vocabulary!$H$5:$H$8,I108)=1,COUNTIF(Vocabulary!$I$5:$I$7,J108)=1,COUNTIF(Vocabulary!$I$5:$I$7,K108)=1,COUNTIF(Vocabulary!$J$5:$J$6,L108)=1),"OK","UNRECOGNISED_ROUTING_VALUE"))</f>
        <v/>
      </c>
    </row>
    <row r="109">
      <c r="M109">
        <f>IF(COUNTA(A109:L109)=0,"",IF(OR(LEN(TRIM(B109))=0,LEN(TRIM(C109))=0,LEN(TRIM(D109))=0,LEN(TRIM(E109))=0,LEN(TRIM(F109))=0,LEN(TRIM(G109))=0,LEN(TRIM(H109))=0,LEN(TRIM(I109))=0,LEN(TRIM(J109))=0,LEN(TRIM(K109))=0,LEN(TRIM(L109))=0),"Undetermined - incomplete routing",IF(Q109&lt;&gt;"OK","Undetermined - unrecognized routing value",IF(OR(D109="High",D109="Catastrophic/systemic",E109="Material",E109="Fundamental or uncertain",F109="Difficult to reverse",F109="Irreversible or unknown",G109="National/transnational/ecological",H109="Frontier or unknown",I109="Affected-party dispute or unknown"),"AF-High-Consequence",IF(OR(D109="Moderate",E109="Limited reversible",F109="Partly reversible",G109="Regional/sectoral",H109="Novel",I109="High"),"AF-Standard","AF-Lite")))))</f>
        <v/>
      </c>
      <c r="O109">
        <f>IF(AND(M109="",N109=""),"",IF(AND(M109&lt;&gt;"",N109=""),"UNRECORDED",IF(AND(M109="",N109&lt;&gt;""),"ORPHAN_RECORDED",IF(M109=N109,"MATCH","MISMATCH"))))</f>
        <v/>
      </c>
      <c r="Q109" s="303">
        <f>IF(COUNTA(A109:L109)=0,"",IF(AND(COUNTIF(Vocabulary!$C$5:$C$8,D109)=1,COUNTIF(Vocabulary!$D$5:$D$8,E109)=1,COUNTIF(Vocabulary!$E$5:$E$8,F109)=1,COUNTIF(Vocabulary!$F$5:$F$8,G109)=1,COUNTIF(Vocabulary!$G$5:$G$8,H109)=1,COUNTIF(Vocabulary!$H$5:$H$8,I109)=1,COUNTIF(Vocabulary!$I$5:$I$7,J109)=1,COUNTIF(Vocabulary!$I$5:$I$7,K109)=1,COUNTIF(Vocabulary!$J$5:$J$6,L109)=1),"OK","UNRECOGNISED_ROUTING_VALUE"))</f>
        <v/>
      </c>
    </row>
    <row r="110">
      <c r="M110">
        <f>IF(COUNTA(A110:L110)=0,"",IF(OR(LEN(TRIM(B110))=0,LEN(TRIM(C110))=0,LEN(TRIM(D110))=0,LEN(TRIM(E110))=0,LEN(TRIM(F110))=0,LEN(TRIM(G110))=0,LEN(TRIM(H110))=0,LEN(TRIM(I110))=0,LEN(TRIM(J110))=0,LEN(TRIM(K110))=0,LEN(TRIM(L110))=0),"Undetermined - incomplete routing",IF(Q110&lt;&gt;"OK","Undetermined - unrecognized routing value",IF(OR(D110="High",D110="Catastrophic/systemic",E110="Material",E110="Fundamental or uncertain",F110="Difficult to reverse",F110="Irreversible or unknown",G110="National/transnational/ecological",H110="Frontier or unknown",I110="Affected-party dispute or unknown"),"AF-High-Consequence",IF(OR(D110="Moderate",E110="Limited reversible",F110="Partly reversible",G110="Regional/sectoral",H110="Novel",I110="High"),"AF-Standard","AF-Lite")))))</f>
        <v/>
      </c>
      <c r="O110">
        <f>IF(AND(M110="",N110=""),"",IF(AND(M110&lt;&gt;"",N110=""),"UNRECORDED",IF(AND(M110="",N110&lt;&gt;""),"ORPHAN_RECORDED",IF(M110=N110,"MATCH","MISMATCH"))))</f>
        <v/>
      </c>
      <c r="Q110" s="303">
        <f>IF(COUNTA(A110:L110)=0,"",IF(AND(COUNTIF(Vocabulary!$C$5:$C$8,D110)=1,COUNTIF(Vocabulary!$D$5:$D$8,E110)=1,COUNTIF(Vocabulary!$E$5:$E$8,F110)=1,COUNTIF(Vocabulary!$F$5:$F$8,G110)=1,COUNTIF(Vocabulary!$G$5:$G$8,H110)=1,COUNTIF(Vocabulary!$H$5:$H$8,I110)=1,COUNTIF(Vocabulary!$I$5:$I$7,J110)=1,COUNTIF(Vocabulary!$I$5:$I$7,K110)=1,COUNTIF(Vocabulary!$J$5:$J$6,L110)=1),"OK","UNRECOGNISED_ROUTING_VALUE"))</f>
        <v/>
      </c>
    </row>
    <row r="111">
      <c r="M111">
        <f>IF(COUNTA(A111:L111)=0,"",IF(OR(LEN(TRIM(B111))=0,LEN(TRIM(C111))=0,LEN(TRIM(D111))=0,LEN(TRIM(E111))=0,LEN(TRIM(F111))=0,LEN(TRIM(G111))=0,LEN(TRIM(H111))=0,LEN(TRIM(I111))=0,LEN(TRIM(J111))=0,LEN(TRIM(K111))=0,LEN(TRIM(L111))=0),"Undetermined - incomplete routing",IF(Q111&lt;&gt;"OK","Undetermined - unrecognized routing value",IF(OR(D111="High",D111="Catastrophic/systemic",E111="Material",E111="Fundamental or uncertain",F111="Difficult to reverse",F111="Irreversible or unknown",G111="National/transnational/ecological",H111="Frontier or unknown",I111="Affected-party dispute or unknown"),"AF-High-Consequence",IF(OR(D111="Moderate",E111="Limited reversible",F111="Partly reversible",G111="Regional/sectoral",H111="Novel",I111="High"),"AF-Standard","AF-Lite")))))</f>
        <v/>
      </c>
      <c r="O111">
        <f>IF(AND(M111="",N111=""),"",IF(AND(M111&lt;&gt;"",N111=""),"UNRECORDED",IF(AND(M111="",N111&lt;&gt;""),"ORPHAN_RECORDED",IF(M111=N111,"MATCH","MISMATCH"))))</f>
        <v/>
      </c>
      <c r="Q111" s="303">
        <f>IF(COUNTA(A111:L111)=0,"",IF(AND(COUNTIF(Vocabulary!$C$5:$C$8,D111)=1,COUNTIF(Vocabulary!$D$5:$D$8,E111)=1,COUNTIF(Vocabulary!$E$5:$E$8,F111)=1,COUNTIF(Vocabulary!$F$5:$F$8,G111)=1,COUNTIF(Vocabulary!$G$5:$G$8,H111)=1,COUNTIF(Vocabulary!$H$5:$H$8,I111)=1,COUNTIF(Vocabulary!$I$5:$I$7,J111)=1,COUNTIF(Vocabulary!$I$5:$I$7,K111)=1,COUNTIF(Vocabulary!$J$5:$J$6,L111)=1),"OK","UNRECOGNISED_ROUTING_VALUE"))</f>
        <v/>
      </c>
    </row>
    <row r="112">
      <c r="M112">
        <f>IF(COUNTA(A112:L112)=0,"",IF(OR(LEN(TRIM(B112))=0,LEN(TRIM(C112))=0,LEN(TRIM(D112))=0,LEN(TRIM(E112))=0,LEN(TRIM(F112))=0,LEN(TRIM(G112))=0,LEN(TRIM(H112))=0,LEN(TRIM(I112))=0,LEN(TRIM(J112))=0,LEN(TRIM(K112))=0,LEN(TRIM(L112))=0),"Undetermined - incomplete routing",IF(Q112&lt;&gt;"OK","Undetermined - unrecognized routing value",IF(OR(D112="High",D112="Catastrophic/systemic",E112="Material",E112="Fundamental or uncertain",F112="Difficult to reverse",F112="Irreversible or unknown",G112="National/transnational/ecological",H112="Frontier or unknown",I112="Affected-party dispute or unknown"),"AF-High-Consequence",IF(OR(D112="Moderate",E112="Limited reversible",F112="Partly reversible",G112="Regional/sectoral",H112="Novel",I112="High"),"AF-Standard","AF-Lite")))))</f>
        <v/>
      </c>
      <c r="O112">
        <f>IF(AND(M112="",N112=""),"",IF(AND(M112&lt;&gt;"",N112=""),"UNRECORDED",IF(AND(M112="",N112&lt;&gt;""),"ORPHAN_RECORDED",IF(M112=N112,"MATCH","MISMATCH"))))</f>
        <v/>
      </c>
      <c r="Q112" s="303">
        <f>IF(COUNTA(A112:L112)=0,"",IF(AND(COUNTIF(Vocabulary!$C$5:$C$8,D112)=1,COUNTIF(Vocabulary!$D$5:$D$8,E112)=1,COUNTIF(Vocabulary!$E$5:$E$8,F112)=1,COUNTIF(Vocabulary!$F$5:$F$8,G112)=1,COUNTIF(Vocabulary!$G$5:$G$8,H112)=1,COUNTIF(Vocabulary!$H$5:$H$8,I112)=1,COUNTIF(Vocabulary!$I$5:$I$7,J112)=1,COUNTIF(Vocabulary!$I$5:$I$7,K112)=1,COUNTIF(Vocabulary!$J$5:$J$6,L112)=1),"OK","UNRECOGNISED_ROUTING_VALUE"))</f>
        <v/>
      </c>
    </row>
    <row r="113">
      <c r="M113">
        <f>IF(COUNTA(A113:L113)=0,"",IF(OR(LEN(TRIM(B113))=0,LEN(TRIM(C113))=0,LEN(TRIM(D113))=0,LEN(TRIM(E113))=0,LEN(TRIM(F113))=0,LEN(TRIM(G113))=0,LEN(TRIM(H113))=0,LEN(TRIM(I113))=0,LEN(TRIM(J113))=0,LEN(TRIM(K113))=0,LEN(TRIM(L113))=0),"Undetermined - incomplete routing",IF(Q113&lt;&gt;"OK","Undetermined - unrecognized routing value",IF(OR(D113="High",D113="Catastrophic/systemic",E113="Material",E113="Fundamental or uncertain",F113="Difficult to reverse",F113="Irreversible or unknown",G113="National/transnational/ecological",H113="Frontier or unknown",I113="Affected-party dispute or unknown"),"AF-High-Consequence",IF(OR(D113="Moderate",E113="Limited reversible",F113="Partly reversible",G113="Regional/sectoral",H113="Novel",I113="High"),"AF-Standard","AF-Lite")))))</f>
        <v/>
      </c>
      <c r="O113">
        <f>IF(AND(M113="",N113=""),"",IF(AND(M113&lt;&gt;"",N113=""),"UNRECORDED",IF(AND(M113="",N113&lt;&gt;""),"ORPHAN_RECORDED",IF(M113=N113,"MATCH","MISMATCH"))))</f>
        <v/>
      </c>
      <c r="Q113" s="303">
        <f>IF(COUNTA(A113:L113)=0,"",IF(AND(COUNTIF(Vocabulary!$C$5:$C$8,D113)=1,COUNTIF(Vocabulary!$D$5:$D$8,E113)=1,COUNTIF(Vocabulary!$E$5:$E$8,F113)=1,COUNTIF(Vocabulary!$F$5:$F$8,G113)=1,COUNTIF(Vocabulary!$G$5:$G$8,H113)=1,COUNTIF(Vocabulary!$H$5:$H$8,I113)=1,COUNTIF(Vocabulary!$I$5:$I$7,J113)=1,COUNTIF(Vocabulary!$I$5:$I$7,K113)=1,COUNTIF(Vocabulary!$J$5:$J$6,L113)=1),"OK","UNRECOGNISED_ROUTING_VALUE"))</f>
        <v/>
      </c>
    </row>
    <row r="114">
      <c r="M114">
        <f>IF(COUNTA(A114:L114)=0,"",IF(OR(LEN(TRIM(B114))=0,LEN(TRIM(C114))=0,LEN(TRIM(D114))=0,LEN(TRIM(E114))=0,LEN(TRIM(F114))=0,LEN(TRIM(G114))=0,LEN(TRIM(H114))=0,LEN(TRIM(I114))=0,LEN(TRIM(J114))=0,LEN(TRIM(K114))=0,LEN(TRIM(L114))=0),"Undetermined - incomplete routing",IF(Q114&lt;&gt;"OK","Undetermined - unrecognized routing value",IF(OR(D114="High",D114="Catastrophic/systemic",E114="Material",E114="Fundamental or uncertain",F114="Difficult to reverse",F114="Irreversible or unknown",G114="National/transnational/ecological",H114="Frontier or unknown",I114="Affected-party dispute or unknown"),"AF-High-Consequence",IF(OR(D114="Moderate",E114="Limited reversible",F114="Partly reversible",G114="Regional/sectoral",H114="Novel",I114="High"),"AF-Standard","AF-Lite")))))</f>
        <v/>
      </c>
      <c r="O114">
        <f>IF(AND(M114="",N114=""),"",IF(AND(M114&lt;&gt;"",N114=""),"UNRECORDED",IF(AND(M114="",N114&lt;&gt;""),"ORPHAN_RECORDED",IF(M114=N114,"MATCH","MISMATCH"))))</f>
        <v/>
      </c>
      <c r="Q114" s="303">
        <f>IF(COUNTA(A114:L114)=0,"",IF(AND(COUNTIF(Vocabulary!$C$5:$C$8,D114)=1,COUNTIF(Vocabulary!$D$5:$D$8,E114)=1,COUNTIF(Vocabulary!$E$5:$E$8,F114)=1,COUNTIF(Vocabulary!$F$5:$F$8,G114)=1,COUNTIF(Vocabulary!$G$5:$G$8,H114)=1,COUNTIF(Vocabulary!$H$5:$H$8,I114)=1,COUNTIF(Vocabulary!$I$5:$I$7,J114)=1,COUNTIF(Vocabulary!$I$5:$I$7,K114)=1,COUNTIF(Vocabulary!$J$5:$J$6,L114)=1),"OK","UNRECOGNISED_ROUTING_VALUE"))</f>
        <v/>
      </c>
    </row>
    <row r="115">
      <c r="M115">
        <f>IF(COUNTA(A115:L115)=0,"",IF(OR(LEN(TRIM(B115))=0,LEN(TRIM(C115))=0,LEN(TRIM(D115))=0,LEN(TRIM(E115))=0,LEN(TRIM(F115))=0,LEN(TRIM(G115))=0,LEN(TRIM(H115))=0,LEN(TRIM(I115))=0,LEN(TRIM(J115))=0,LEN(TRIM(K115))=0,LEN(TRIM(L115))=0),"Undetermined - incomplete routing",IF(Q115&lt;&gt;"OK","Undetermined - unrecognized routing value",IF(OR(D115="High",D115="Catastrophic/systemic",E115="Material",E115="Fundamental or uncertain",F115="Difficult to reverse",F115="Irreversible or unknown",G115="National/transnational/ecological",H115="Frontier or unknown",I115="Affected-party dispute or unknown"),"AF-High-Consequence",IF(OR(D115="Moderate",E115="Limited reversible",F115="Partly reversible",G115="Regional/sectoral",H115="Novel",I115="High"),"AF-Standard","AF-Lite")))))</f>
        <v/>
      </c>
      <c r="O115">
        <f>IF(AND(M115="",N115=""),"",IF(AND(M115&lt;&gt;"",N115=""),"UNRECORDED",IF(AND(M115="",N115&lt;&gt;""),"ORPHAN_RECORDED",IF(M115=N115,"MATCH","MISMATCH"))))</f>
        <v/>
      </c>
      <c r="Q115" s="303">
        <f>IF(COUNTA(A115:L115)=0,"",IF(AND(COUNTIF(Vocabulary!$C$5:$C$8,D115)=1,COUNTIF(Vocabulary!$D$5:$D$8,E115)=1,COUNTIF(Vocabulary!$E$5:$E$8,F115)=1,COUNTIF(Vocabulary!$F$5:$F$8,G115)=1,COUNTIF(Vocabulary!$G$5:$G$8,H115)=1,COUNTIF(Vocabulary!$H$5:$H$8,I115)=1,COUNTIF(Vocabulary!$I$5:$I$7,J115)=1,COUNTIF(Vocabulary!$I$5:$I$7,K115)=1,COUNTIF(Vocabulary!$J$5:$J$6,L115)=1),"OK","UNRECOGNISED_ROUTING_VALUE"))</f>
        <v/>
      </c>
    </row>
    <row r="116">
      <c r="M116">
        <f>IF(COUNTA(A116:L116)=0,"",IF(OR(LEN(TRIM(B116))=0,LEN(TRIM(C116))=0,LEN(TRIM(D116))=0,LEN(TRIM(E116))=0,LEN(TRIM(F116))=0,LEN(TRIM(G116))=0,LEN(TRIM(H116))=0,LEN(TRIM(I116))=0,LEN(TRIM(J116))=0,LEN(TRIM(K116))=0,LEN(TRIM(L116))=0),"Undetermined - incomplete routing",IF(Q116&lt;&gt;"OK","Undetermined - unrecognized routing value",IF(OR(D116="High",D116="Catastrophic/systemic",E116="Material",E116="Fundamental or uncertain",F116="Difficult to reverse",F116="Irreversible or unknown",G116="National/transnational/ecological",H116="Frontier or unknown",I116="Affected-party dispute or unknown"),"AF-High-Consequence",IF(OR(D116="Moderate",E116="Limited reversible",F116="Partly reversible",G116="Regional/sectoral",H116="Novel",I116="High"),"AF-Standard","AF-Lite")))))</f>
        <v/>
      </c>
      <c r="O116">
        <f>IF(AND(M116="",N116=""),"",IF(AND(M116&lt;&gt;"",N116=""),"UNRECORDED",IF(AND(M116="",N116&lt;&gt;""),"ORPHAN_RECORDED",IF(M116=N116,"MATCH","MISMATCH"))))</f>
        <v/>
      </c>
      <c r="Q116" s="303">
        <f>IF(COUNTA(A116:L116)=0,"",IF(AND(COUNTIF(Vocabulary!$C$5:$C$8,D116)=1,COUNTIF(Vocabulary!$D$5:$D$8,E116)=1,COUNTIF(Vocabulary!$E$5:$E$8,F116)=1,COUNTIF(Vocabulary!$F$5:$F$8,G116)=1,COUNTIF(Vocabulary!$G$5:$G$8,H116)=1,COUNTIF(Vocabulary!$H$5:$H$8,I116)=1,COUNTIF(Vocabulary!$I$5:$I$7,J116)=1,COUNTIF(Vocabulary!$I$5:$I$7,K116)=1,COUNTIF(Vocabulary!$J$5:$J$6,L116)=1),"OK","UNRECOGNISED_ROUTING_VALUE"))</f>
        <v/>
      </c>
    </row>
    <row r="117">
      <c r="M117">
        <f>IF(COUNTA(A117:L117)=0,"",IF(OR(LEN(TRIM(B117))=0,LEN(TRIM(C117))=0,LEN(TRIM(D117))=0,LEN(TRIM(E117))=0,LEN(TRIM(F117))=0,LEN(TRIM(G117))=0,LEN(TRIM(H117))=0,LEN(TRIM(I117))=0,LEN(TRIM(J117))=0,LEN(TRIM(K117))=0,LEN(TRIM(L117))=0),"Undetermined - incomplete routing",IF(Q117&lt;&gt;"OK","Undetermined - unrecognized routing value",IF(OR(D117="High",D117="Catastrophic/systemic",E117="Material",E117="Fundamental or uncertain",F117="Difficult to reverse",F117="Irreversible or unknown",G117="National/transnational/ecological",H117="Frontier or unknown",I117="Affected-party dispute or unknown"),"AF-High-Consequence",IF(OR(D117="Moderate",E117="Limited reversible",F117="Partly reversible",G117="Regional/sectoral",H117="Novel",I117="High"),"AF-Standard","AF-Lite")))))</f>
        <v/>
      </c>
      <c r="O117">
        <f>IF(AND(M117="",N117=""),"",IF(AND(M117&lt;&gt;"",N117=""),"UNRECORDED",IF(AND(M117="",N117&lt;&gt;""),"ORPHAN_RECORDED",IF(M117=N117,"MATCH","MISMATCH"))))</f>
        <v/>
      </c>
      <c r="Q117" s="303">
        <f>IF(COUNTA(A117:L117)=0,"",IF(AND(COUNTIF(Vocabulary!$C$5:$C$8,D117)=1,COUNTIF(Vocabulary!$D$5:$D$8,E117)=1,COUNTIF(Vocabulary!$E$5:$E$8,F117)=1,COUNTIF(Vocabulary!$F$5:$F$8,G117)=1,COUNTIF(Vocabulary!$G$5:$G$8,H117)=1,COUNTIF(Vocabulary!$H$5:$H$8,I117)=1,COUNTIF(Vocabulary!$I$5:$I$7,J117)=1,COUNTIF(Vocabulary!$I$5:$I$7,K117)=1,COUNTIF(Vocabulary!$J$5:$J$6,L117)=1),"OK","UNRECOGNISED_ROUTING_VALUE"))</f>
        <v/>
      </c>
    </row>
    <row r="118">
      <c r="M118">
        <f>IF(COUNTA(A118:L118)=0,"",IF(OR(LEN(TRIM(B118))=0,LEN(TRIM(C118))=0,LEN(TRIM(D118))=0,LEN(TRIM(E118))=0,LEN(TRIM(F118))=0,LEN(TRIM(G118))=0,LEN(TRIM(H118))=0,LEN(TRIM(I118))=0,LEN(TRIM(J118))=0,LEN(TRIM(K118))=0,LEN(TRIM(L118))=0),"Undetermined - incomplete routing",IF(Q118&lt;&gt;"OK","Undetermined - unrecognized routing value",IF(OR(D118="High",D118="Catastrophic/systemic",E118="Material",E118="Fundamental or uncertain",F118="Difficult to reverse",F118="Irreversible or unknown",G118="National/transnational/ecological",H118="Frontier or unknown",I118="Affected-party dispute or unknown"),"AF-High-Consequence",IF(OR(D118="Moderate",E118="Limited reversible",F118="Partly reversible",G118="Regional/sectoral",H118="Novel",I118="High"),"AF-Standard","AF-Lite")))))</f>
        <v/>
      </c>
      <c r="O118">
        <f>IF(AND(M118="",N118=""),"",IF(AND(M118&lt;&gt;"",N118=""),"UNRECORDED",IF(AND(M118="",N118&lt;&gt;""),"ORPHAN_RECORDED",IF(M118=N118,"MATCH","MISMATCH"))))</f>
        <v/>
      </c>
      <c r="Q118" s="303">
        <f>IF(COUNTA(A118:L118)=0,"",IF(AND(COUNTIF(Vocabulary!$C$5:$C$8,D118)=1,COUNTIF(Vocabulary!$D$5:$D$8,E118)=1,COUNTIF(Vocabulary!$E$5:$E$8,F118)=1,COUNTIF(Vocabulary!$F$5:$F$8,G118)=1,COUNTIF(Vocabulary!$G$5:$G$8,H118)=1,COUNTIF(Vocabulary!$H$5:$H$8,I118)=1,COUNTIF(Vocabulary!$I$5:$I$7,J118)=1,COUNTIF(Vocabulary!$I$5:$I$7,K118)=1,COUNTIF(Vocabulary!$J$5:$J$6,L118)=1),"OK","UNRECOGNISED_ROUTING_VALUE"))</f>
        <v/>
      </c>
    </row>
    <row r="119">
      <c r="M119">
        <f>IF(COUNTA(A119:L119)=0,"",IF(OR(LEN(TRIM(B119))=0,LEN(TRIM(C119))=0,LEN(TRIM(D119))=0,LEN(TRIM(E119))=0,LEN(TRIM(F119))=0,LEN(TRIM(G119))=0,LEN(TRIM(H119))=0,LEN(TRIM(I119))=0,LEN(TRIM(J119))=0,LEN(TRIM(K119))=0,LEN(TRIM(L119))=0),"Undetermined - incomplete routing",IF(Q119&lt;&gt;"OK","Undetermined - unrecognized routing value",IF(OR(D119="High",D119="Catastrophic/systemic",E119="Material",E119="Fundamental or uncertain",F119="Difficult to reverse",F119="Irreversible or unknown",G119="National/transnational/ecological",H119="Frontier or unknown",I119="Affected-party dispute or unknown"),"AF-High-Consequence",IF(OR(D119="Moderate",E119="Limited reversible",F119="Partly reversible",G119="Regional/sectoral",H119="Novel",I119="High"),"AF-Standard","AF-Lite")))))</f>
        <v/>
      </c>
      <c r="O119">
        <f>IF(AND(M119="",N119=""),"",IF(AND(M119&lt;&gt;"",N119=""),"UNRECORDED",IF(AND(M119="",N119&lt;&gt;""),"ORPHAN_RECORDED",IF(M119=N119,"MATCH","MISMATCH"))))</f>
        <v/>
      </c>
      <c r="Q119" s="303">
        <f>IF(COUNTA(A119:L119)=0,"",IF(AND(COUNTIF(Vocabulary!$C$5:$C$8,D119)=1,COUNTIF(Vocabulary!$D$5:$D$8,E119)=1,COUNTIF(Vocabulary!$E$5:$E$8,F119)=1,COUNTIF(Vocabulary!$F$5:$F$8,G119)=1,COUNTIF(Vocabulary!$G$5:$G$8,H119)=1,COUNTIF(Vocabulary!$H$5:$H$8,I119)=1,COUNTIF(Vocabulary!$I$5:$I$7,J119)=1,COUNTIF(Vocabulary!$I$5:$I$7,K119)=1,COUNTIF(Vocabulary!$J$5:$J$6,L119)=1),"OK","UNRECOGNISED_ROUTING_VALUE"))</f>
        <v/>
      </c>
    </row>
    <row r="120">
      <c r="M120">
        <f>IF(COUNTA(A120:L120)=0,"",IF(OR(LEN(TRIM(B120))=0,LEN(TRIM(C120))=0,LEN(TRIM(D120))=0,LEN(TRIM(E120))=0,LEN(TRIM(F120))=0,LEN(TRIM(G120))=0,LEN(TRIM(H120))=0,LEN(TRIM(I120))=0,LEN(TRIM(J120))=0,LEN(TRIM(K120))=0,LEN(TRIM(L120))=0),"Undetermined - incomplete routing",IF(Q120&lt;&gt;"OK","Undetermined - unrecognized routing value",IF(OR(D120="High",D120="Catastrophic/systemic",E120="Material",E120="Fundamental or uncertain",F120="Difficult to reverse",F120="Irreversible or unknown",G120="National/transnational/ecological",H120="Frontier or unknown",I120="Affected-party dispute or unknown"),"AF-High-Consequence",IF(OR(D120="Moderate",E120="Limited reversible",F120="Partly reversible",G120="Regional/sectoral",H120="Novel",I120="High"),"AF-Standard","AF-Lite")))))</f>
        <v/>
      </c>
      <c r="O120">
        <f>IF(AND(M120="",N120=""),"",IF(AND(M120&lt;&gt;"",N120=""),"UNRECORDED",IF(AND(M120="",N120&lt;&gt;""),"ORPHAN_RECORDED",IF(M120=N120,"MATCH","MISMATCH"))))</f>
        <v/>
      </c>
      <c r="Q120" s="303">
        <f>IF(COUNTA(A120:L120)=0,"",IF(AND(COUNTIF(Vocabulary!$C$5:$C$8,D120)=1,COUNTIF(Vocabulary!$D$5:$D$8,E120)=1,COUNTIF(Vocabulary!$E$5:$E$8,F120)=1,COUNTIF(Vocabulary!$F$5:$F$8,G120)=1,COUNTIF(Vocabulary!$G$5:$G$8,H120)=1,COUNTIF(Vocabulary!$H$5:$H$8,I120)=1,COUNTIF(Vocabulary!$I$5:$I$7,J120)=1,COUNTIF(Vocabulary!$I$5:$I$7,K120)=1,COUNTIF(Vocabulary!$J$5:$J$6,L120)=1),"OK","UNRECOGNISED_ROUTING_VALUE"))</f>
        <v/>
      </c>
    </row>
    <row r="121">
      <c r="M121">
        <f>IF(COUNTA(A121:L121)=0,"",IF(OR(LEN(TRIM(B121))=0,LEN(TRIM(C121))=0,LEN(TRIM(D121))=0,LEN(TRIM(E121))=0,LEN(TRIM(F121))=0,LEN(TRIM(G121))=0,LEN(TRIM(H121))=0,LEN(TRIM(I121))=0,LEN(TRIM(J121))=0,LEN(TRIM(K121))=0,LEN(TRIM(L121))=0),"Undetermined - incomplete routing",IF(Q121&lt;&gt;"OK","Undetermined - unrecognized routing value",IF(OR(D121="High",D121="Catastrophic/systemic",E121="Material",E121="Fundamental or uncertain",F121="Difficult to reverse",F121="Irreversible or unknown",G121="National/transnational/ecological",H121="Frontier or unknown",I121="Affected-party dispute or unknown"),"AF-High-Consequence",IF(OR(D121="Moderate",E121="Limited reversible",F121="Partly reversible",G121="Regional/sectoral",H121="Novel",I121="High"),"AF-Standard","AF-Lite")))))</f>
        <v/>
      </c>
      <c r="O121">
        <f>IF(AND(M121="",N121=""),"",IF(AND(M121&lt;&gt;"",N121=""),"UNRECORDED",IF(AND(M121="",N121&lt;&gt;""),"ORPHAN_RECORDED",IF(M121=N121,"MATCH","MISMATCH"))))</f>
        <v/>
      </c>
      <c r="Q121" s="303">
        <f>IF(COUNTA(A121:L121)=0,"",IF(AND(COUNTIF(Vocabulary!$C$5:$C$8,D121)=1,COUNTIF(Vocabulary!$D$5:$D$8,E121)=1,COUNTIF(Vocabulary!$E$5:$E$8,F121)=1,COUNTIF(Vocabulary!$F$5:$F$8,G121)=1,COUNTIF(Vocabulary!$G$5:$G$8,H121)=1,COUNTIF(Vocabulary!$H$5:$H$8,I121)=1,COUNTIF(Vocabulary!$I$5:$I$7,J121)=1,COUNTIF(Vocabulary!$I$5:$I$7,K121)=1,COUNTIF(Vocabulary!$J$5:$J$6,L121)=1),"OK","UNRECOGNISED_ROUTING_VALUE"))</f>
        <v/>
      </c>
    </row>
    <row r="122">
      <c r="M122">
        <f>IF(COUNTA(A122:L122)=0,"",IF(OR(LEN(TRIM(B122))=0,LEN(TRIM(C122))=0,LEN(TRIM(D122))=0,LEN(TRIM(E122))=0,LEN(TRIM(F122))=0,LEN(TRIM(G122))=0,LEN(TRIM(H122))=0,LEN(TRIM(I122))=0,LEN(TRIM(J122))=0,LEN(TRIM(K122))=0,LEN(TRIM(L122))=0),"Undetermined - incomplete routing",IF(Q122&lt;&gt;"OK","Undetermined - unrecognized routing value",IF(OR(D122="High",D122="Catastrophic/systemic",E122="Material",E122="Fundamental or uncertain",F122="Difficult to reverse",F122="Irreversible or unknown",G122="National/transnational/ecological",H122="Frontier or unknown",I122="Affected-party dispute or unknown"),"AF-High-Consequence",IF(OR(D122="Moderate",E122="Limited reversible",F122="Partly reversible",G122="Regional/sectoral",H122="Novel",I122="High"),"AF-Standard","AF-Lite")))))</f>
        <v/>
      </c>
      <c r="O122">
        <f>IF(AND(M122="",N122=""),"",IF(AND(M122&lt;&gt;"",N122=""),"UNRECORDED",IF(AND(M122="",N122&lt;&gt;""),"ORPHAN_RECORDED",IF(M122=N122,"MATCH","MISMATCH"))))</f>
        <v/>
      </c>
      <c r="Q122" s="303">
        <f>IF(COUNTA(A122:L122)=0,"",IF(AND(COUNTIF(Vocabulary!$C$5:$C$8,D122)=1,COUNTIF(Vocabulary!$D$5:$D$8,E122)=1,COUNTIF(Vocabulary!$E$5:$E$8,F122)=1,COUNTIF(Vocabulary!$F$5:$F$8,G122)=1,COUNTIF(Vocabulary!$G$5:$G$8,H122)=1,COUNTIF(Vocabulary!$H$5:$H$8,I122)=1,COUNTIF(Vocabulary!$I$5:$I$7,J122)=1,COUNTIF(Vocabulary!$I$5:$I$7,K122)=1,COUNTIF(Vocabulary!$J$5:$J$6,L122)=1),"OK","UNRECOGNISED_ROUTING_VALUE"))</f>
        <v/>
      </c>
    </row>
    <row r="123">
      <c r="M123">
        <f>IF(COUNTA(A123:L123)=0,"",IF(OR(LEN(TRIM(B123))=0,LEN(TRIM(C123))=0,LEN(TRIM(D123))=0,LEN(TRIM(E123))=0,LEN(TRIM(F123))=0,LEN(TRIM(G123))=0,LEN(TRIM(H123))=0,LEN(TRIM(I123))=0,LEN(TRIM(J123))=0,LEN(TRIM(K123))=0,LEN(TRIM(L123))=0),"Undetermined - incomplete routing",IF(Q123&lt;&gt;"OK","Undetermined - unrecognized routing value",IF(OR(D123="High",D123="Catastrophic/systemic",E123="Material",E123="Fundamental or uncertain",F123="Difficult to reverse",F123="Irreversible or unknown",G123="National/transnational/ecological",H123="Frontier or unknown",I123="Affected-party dispute or unknown"),"AF-High-Consequence",IF(OR(D123="Moderate",E123="Limited reversible",F123="Partly reversible",G123="Regional/sectoral",H123="Novel",I123="High"),"AF-Standard","AF-Lite")))))</f>
        <v/>
      </c>
      <c r="O123">
        <f>IF(AND(M123="",N123=""),"",IF(AND(M123&lt;&gt;"",N123=""),"UNRECORDED",IF(AND(M123="",N123&lt;&gt;""),"ORPHAN_RECORDED",IF(M123=N123,"MATCH","MISMATCH"))))</f>
        <v/>
      </c>
      <c r="Q123" s="303">
        <f>IF(COUNTA(A123:L123)=0,"",IF(AND(COUNTIF(Vocabulary!$C$5:$C$8,D123)=1,COUNTIF(Vocabulary!$D$5:$D$8,E123)=1,COUNTIF(Vocabulary!$E$5:$E$8,F123)=1,COUNTIF(Vocabulary!$F$5:$F$8,G123)=1,COUNTIF(Vocabulary!$G$5:$G$8,H123)=1,COUNTIF(Vocabulary!$H$5:$H$8,I123)=1,COUNTIF(Vocabulary!$I$5:$I$7,J123)=1,COUNTIF(Vocabulary!$I$5:$I$7,K123)=1,COUNTIF(Vocabulary!$J$5:$J$6,L123)=1),"OK","UNRECOGNISED_ROUTING_VALUE"))</f>
        <v/>
      </c>
    </row>
    <row r="124">
      <c r="M124">
        <f>IF(COUNTA(A124:L124)=0,"",IF(OR(LEN(TRIM(B124))=0,LEN(TRIM(C124))=0,LEN(TRIM(D124))=0,LEN(TRIM(E124))=0,LEN(TRIM(F124))=0,LEN(TRIM(G124))=0,LEN(TRIM(H124))=0,LEN(TRIM(I124))=0,LEN(TRIM(J124))=0,LEN(TRIM(K124))=0,LEN(TRIM(L124))=0),"Undetermined - incomplete routing",IF(Q124&lt;&gt;"OK","Undetermined - unrecognized routing value",IF(OR(D124="High",D124="Catastrophic/systemic",E124="Material",E124="Fundamental or uncertain",F124="Difficult to reverse",F124="Irreversible or unknown",G124="National/transnational/ecological",H124="Frontier or unknown",I124="Affected-party dispute or unknown"),"AF-High-Consequence",IF(OR(D124="Moderate",E124="Limited reversible",F124="Partly reversible",G124="Regional/sectoral",H124="Novel",I124="High"),"AF-Standard","AF-Lite")))))</f>
        <v/>
      </c>
      <c r="O124">
        <f>IF(AND(M124="",N124=""),"",IF(AND(M124&lt;&gt;"",N124=""),"UNRECORDED",IF(AND(M124="",N124&lt;&gt;""),"ORPHAN_RECORDED",IF(M124=N124,"MATCH","MISMATCH"))))</f>
        <v/>
      </c>
      <c r="Q124" s="303">
        <f>IF(COUNTA(A124:L124)=0,"",IF(AND(COUNTIF(Vocabulary!$C$5:$C$8,D124)=1,COUNTIF(Vocabulary!$D$5:$D$8,E124)=1,COUNTIF(Vocabulary!$E$5:$E$8,F124)=1,COUNTIF(Vocabulary!$F$5:$F$8,G124)=1,COUNTIF(Vocabulary!$G$5:$G$8,H124)=1,COUNTIF(Vocabulary!$H$5:$H$8,I124)=1,COUNTIF(Vocabulary!$I$5:$I$7,J124)=1,COUNTIF(Vocabulary!$I$5:$I$7,K124)=1,COUNTIF(Vocabulary!$J$5:$J$6,L124)=1),"OK","UNRECOGNISED_ROUTING_VALUE"))</f>
        <v/>
      </c>
    </row>
    <row r="125">
      <c r="M125">
        <f>IF(COUNTA(A125:L125)=0,"",IF(OR(LEN(TRIM(B125))=0,LEN(TRIM(C125))=0,LEN(TRIM(D125))=0,LEN(TRIM(E125))=0,LEN(TRIM(F125))=0,LEN(TRIM(G125))=0,LEN(TRIM(H125))=0,LEN(TRIM(I125))=0,LEN(TRIM(J125))=0,LEN(TRIM(K125))=0,LEN(TRIM(L125))=0),"Undetermined - incomplete routing",IF(Q125&lt;&gt;"OK","Undetermined - unrecognized routing value",IF(OR(D125="High",D125="Catastrophic/systemic",E125="Material",E125="Fundamental or uncertain",F125="Difficult to reverse",F125="Irreversible or unknown",G125="National/transnational/ecological",H125="Frontier or unknown",I125="Affected-party dispute or unknown"),"AF-High-Consequence",IF(OR(D125="Moderate",E125="Limited reversible",F125="Partly reversible",G125="Regional/sectoral",H125="Novel",I125="High"),"AF-Standard","AF-Lite")))))</f>
        <v/>
      </c>
      <c r="O125">
        <f>IF(AND(M125="",N125=""),"",IF(AND(M125&lt;&gt;"",N125=""),"UNRECORDED",IF(AND(M125="",N125&lt;&gt;""),"ORPHAN_RECORDED",IF(M125=N125,"MATCH","MISMATCH"))))</f>
        <v/>
      </c>
      <c r="Q125" s="303">
        <f>IF(COUNTA(A125:L125)=0,"",IF(AND(COUNTIF(Vocabulary!$C$5:$C$8,D125)=1,COUNTIF(Vocabulary!$D$5:$D$8,E125)=1,COUNTIF(Vocabulary!$E$5:$E$8,F125)=1,COUNTIF(Vocabulary!$F$5:$F$8,G125)=1,COUNTIF(Vocabulary!$G$5:$G$8,H125)=1,COUNTIF(Vocabulary!$H$5:$H$8,I125)=1,COUNTIF(Vocabulary!$I$5:$I$7,J125)=1,COUNTIF(Vocabulary!$I$5:$I$7,K125)=1,COUNTIF(Vocabulary!$J$5:$J$6,L125)=1),"OK","UNRECOGNISED_ROUTING_VALUE"))</f>
        <v/>
      </c>
    </row>
    <row r="126">
      <c r="M126">
        <f>IF(COUNTA(A126:L126)=0,"",IF(OR(LEN(TRIM(B126))=0,LEN(TRIM(C126))=0,LEN(TRIM(D126))=0,LEN(TRIM(E126))=0,LEN(TRIM(F126))=0,LEN(TRIM(G126))=0,LEN(TRIM(H126))=0,LEN(TRIM(I126))=0,LEN(TRIM(J126))=0,LEN(TRIM(K126))=0,LEN(TRIM(L126))=0),"Undetermined - incomplete routing",IF(Q126&lt;&gt;"OK","Undetermined - unrecognized routing value",IF(OR(D126="High",D126="Catastrophic/systemic",E126="Material",E126="Fundamental or uncertain",F126="Difficult to reverse",F126="Irreversible or unknown",G126="National/transnational/ecological",H126="Frontier or unknown",I126="Affected-party dispute or unknown"),"AF-High-Consequence",IF(OR(D126="Moderate",E126="Limited reversible",F126="Partly reversible",G126="Regional/sectoral",H126="Novel",I126="High"),"AF-Standard","AF-Lite")))))</f>
        <v/>
      </c>
      <c r="O126">
        <f>IF(AND(M126="",N126=""),"",IF(AND(M126&lt;&gt;"",N126=""),"UNRECORDED",IF(AND(M126="",N126&lt;&gt;""),"ORPHAN_RECORDED",IF(M126=N126,"MATCH","MISMATCH"))))</f>
        <v/>
      </c>
      <c r="Q126" s="303">
        <f>IF(COUNTA(A126:L126)=0,"",IF(AND(COUNTIF(Vocabulary!$C$5:$C$8,D126)=1,COUNTIF(Vocabulary!$D$5:$D$8,E126)=1,COUNTIF(Vocabulary!$E$5:$E$8,F126)=1,COUNTIF(Vocabulary!$F$5:$F$8,G126)=1,COUNTIF(Vocabulary!$G$5:$G$8,H126)=1,COUNTIF(Vocabulary!$H$5:$H$8,I126)=1,COUNTIF(Vocabulary!$I$5:$I$7,J126)=1,COUNTIF(Vocabulary!$I$5:$I$7,K126)=1,COUNTIF(Vocabulary!$J$5:$J$6,L126)=1),"OK","UNRECOGNISED_ROUTING_VALUE"))</f>
        <v/>
      </c>
    </row>
    <row r="127">
      <c r="M127">
        <f>IF(COUNTA(A127:L127)=0,"",IF(OR(LEN(TRIM(B127))=0,LEN(TRIM(C127))=0,LEN(TRIM(D127))=0,LEN(TRIM(E127))=0,LEN(TRIM(F127))=0,LEN(TRIM(G127))=0,LEN(TRIM(H127))=0,LEN(TRIM(I127))=0,LEN(TRIM(J127))=0,LEN(TRIM(K127))=0,LEN(TRIM(L127))=0),"Undetermined - incomplete routing",IF(Q127&lt;&gt;"OK","Undetermined - unrecognized routing value",IF(OR(D127="High",D127="Catastrophic/systemic",E127="Material",E127="Fundamental or uncertain",F127="Difficult to reverse",F127="Irreversible or unknown",G127="National/transnational/ecological",H127="Frontier or unknown",I127="Affected-party dispute or unknown"),"AF-High-Consequence",IF(OR(D127="Moderate",E127="Limited reversible",F127="Partly reversible",G127="Regional/sectoral",H127="Novel",I127="High"),"AF-Standard","AF-Lite")))))</f>
        <v/>
      </c>
      <c r="O127">
        <f>IF(AND(M127="",N127=""),"",IF(AND(M127&lt;&gt;"",N127=""),"UNRECORDED",IF(AND(M127="",N127&lt;&gt;""),"ORPHAN_RECORDED",IF(M127=N127,"MATCH","MISMATCH"))))</f>
        <v/>
      </c>
      <c r="Q127" s="303">
        <f>IF(COUNTA(A127:L127)=0,"",IF(AND(COUNTIF(Vocabulary!$C$5:$C$8,D127)=1,COUNTIF(Vocabulary!$D$5:$D$8,E127)=1,COUNTIF(Vocabulary!$E$5:$E$8,F127)=1,COUNTIF(Vocabulary!$F$5:$F$8,G127)=1,COUNTIF(Vocabulary!$G$5:$G$8,H127)=1,COUNTIF(Vocabulary!$H$5:$H$8,I127)=1,COUNTIF(Vocabulary!$I$5:$I$7,J127)=1,COUNTIF(Vocabulary!$I$5:$I$7,K127)=1,COUNTIF(Vocabulary!$J$5:$J$6,L127)=1),"OK","UNRECOGNISED_ROUTING_VALUE"))</f>
        <v/>
      </c>
    </row>
    <row r="128">
      <c r="M128">
        <f>IF(COUNTA(A128:L128)=0,"",IF(OR(LEN(TRIM(B128))=0,LEN(TRIM(C128))=0,LEN(TRIM(D128))=0,LEN(TRIM(E128))=0,LEN(TRIM(F128))=0,LEN(TRIM(G128))=0,LEN(TRIM(H128))=0,LEN(TRIM(I128))=0,LEN(TRIM(J128))=0,LEN(TRIM(K128))=0,LEN(TRIM(L128))=0),"Undetermined - incomplete routing",IF(Q128&lt;&gt;"OK","Undetermined - unrecognized routing value",IF(OR(D128="High",D128="Catastrophic/systemic",E128="Material",E128="Fundamental or uncertain",F128="Difficult to reverse",F128="Irreversible or unknown",G128="National/transnational/ecological",H128="Frontier or unknown",I128="Affected-party dispute or unknown"),"AF-High-Consequence",IF(OR(D128="Moderate",E128="Limited reversible",F128="Partly reversible",G128="Regional/sectoral",H128="Novel",I128="High"),"AF-Standard","AF-Lite")))))</f>
        <v/>
      </c>
      <c r="O128">
        <f>IF(AND(M128="",N128=""),"",IF(AND(M128&lt;&gt;"",N128=""),"UNRECORDED",IF(AND(M128="",N128&lt;&gt;""),"ORPHAN_RECORDED",IF(M128=N128,"MATCH","MISMATCH"))))</f>
        <v/>
      </c>
      <c r="Q128" s="303">
        <f>IF(COUNTA(A128:L128)=0,"",IF(AND(COUNTIF(Vocabulary!$C$5:$C$8,D128)=1,COUNTIF(Vocabulary!$D$5:$D$8,E128)=1,COUNTIF(Vocabulary!$E$5:$E$8,F128)=1,COUNTIF(Vocabulary!$F$5:$F$8,G128)=1,COUNTIF(Vocabulary!$G$5:$G$8,H128)=1,COUNTIF(Vocabulary!$H$5:$H$8,I128)=1,COUNTIF(Vocabulary!$I$5:$I$7,J128)=1,COUNTIF(Vocabulary!$I$5:$I$7,K128)=1,COUNTIF(Vocabulary!$J$5:$J$6,L128)=1),"OK","UNRECOGNISED_ROUTING_VALUE"))</f>
        <v/>
      </c>
    </row>
    <row r="129">
      <c r="M129">
        <f>IF(COUNTA(A129:L129)=0,"",IF(OR(LEN(TRIM(B129))=0,LEN(TRIM(C129))=0,LEN(TRIM(D129))=0,LEN(TRIM(E129))=0,LEN(TRIM(F129))=0,LEN(TRIM(G129))=0,LEN(TRIM(H129))=0,LEN(TRIM(I129))=0,LEN(TRIM(J129))=0,LEN(TRIM(K129))=0,LEN(TRIM(L129))=0),"Undetermined - incomplete routing",IF(Q129&lt;&gt;"OK","Undetermined - unrecognized routing value",IF(OR(D129="High",D129="Catastrophic/systemic",E129="Material",E129="Fundamental or uncertain",F129="Difficult to reverse",F129="Irreversible or unknown",G129="National/transnational/ecological",H129="Frontier or unknown",I129="Affected-party dispute or unknown"),"AF-High-Consequence",IF(OR(D129="Moderate",E129="Limited reversible",F129="Partly reversible",G129="Regional/sectoral",H129="Novel",I129="High"),"AF-Standard","AF-Lite")))))</f>
        <v/>
      </c>
      <c r="O129">
        <f>IF(AND(M129="",N129=""),"",IF(AND(M129&lt;&gt;"",N129=""),"UNRECORDED",IF(AND(M129="",N129&lt;&gt;""),"ORPHAN_RECORDED",IF(M129=N129,"MATCH","MISMATCH"))))</f>
        <v/>
      </c>
      <c r="Q129" s="303">
        <f>IF(COUNTA(A129:L129)=0,"",IF(AND(COUNTIF(Vocabulary!$C$5:$C$8,D129)=1,COUNTIF(Vocabulary!$D$5:$D$8,E129)=1,COUNTIF(Vocabulary!$E$5:$E$8,F129)=1,COUNTIF(Vocabulary!$F$5:$F$8,G129)=1,COUNTIF(Vocabulary!$G$5:$G$8,H129)=1,COUNTIF(Vocabulary!$H$5:$H$8,I129)=1,COUNTIF(Vocabulary!$I$5:$I$7,J129)=1,COUNTIF(Vocabulary!$I$5:$I$7,K129)=1,COUNTIF(Vocabulary!$J$5:$J$6,L129)=1),"OK","UNRECOGNISED_ROUTING_VALUE"))</f>
        <v/>
      </c>
    </row>
    <row r="130">
      <c r="M130">
        <f>IF(COUNTA(A130:L130)=0,"",IF(OR(LEN(TRIM(B130))=0,LEN(TRIM(C130))=0,LEN(TRIM(D130))=0,LEN(TRIM(E130))=0,LEN(TRIM(F130))=0,LEN(TRIM(G130))=0,LEN(TRIM(H130))=0,LEN(TRIM(I130))=0,LEN(TRIM(J130))=0,LEN(TRIM(K130))=0,LEN(TRIM(L130))=0),"Undetermined - incomplete routing",IF(Q130&lt;&gt;"OK","Undetermined - unrecognized routing value",IF(OR(D130="High",D130="Catastrophic/systemic",E130="Material",E130="Fundamental or uncertain",F130="Difficult to reverse",F130="Irreversible or unknown",G130="National/transnational/ecological",H130="Frontier or unknown",I130="Affected-party dispute or unknown"),"AF-High-Consequence",IF(OR(D130="Moderate",E130="Limited reversible",F130="Partly reversible",G130="Regional/sectoral",H130="Novel",I130="High"),"AF-Standard","AF-Lite")))))</f>
        <v/>
      </c>
      <c r="O130">
        <f>IF(AND(M130="",N130=""),"",IF(AND(M130&lt;&gt;"",N130=""),"UNRECORDED",IF(AND(M130="",N130&lt;&gt;""),"ORPHAN_RECORDED",IF(M130=N130,"MATCH","MISMATCH"))))</f>
        <v/>
      </c>
      <c r="Q130" s="303">
        <f>IF(COUNTA(A130:L130)=0,"",IF(AND(COUNTIF(Vocabulary!$C$5:$C$8,D130)=1,COUNTIF(Vocabulary!$D$5:$D$8,E130)=1,COUNTIF(Vocabulary!$E$5:$E$8,F130)=1,COUNTIF(Vocabulary!$F$5:$F$8,G130)=1,COUNTIF(Vocabulary!$G$5:$G$8,H130)=1,COUNTIF(Vocabulary!$H$5:$H$8,I130)=1,COUNTIF(Vocabulary!$I$5:$I$7,J130)=1,COUNTIF(Vocabulary!$I$5:$I$7,K130)=1,COUNTIF(Vocabulary!$J$5:$J$6,L130)=1),"OK","UNRECOGNISED_ROUTING_VALUE"))</f>
        <v/>
      </c>
    </row>
    <row r="131">
      <c r="M131">
        <f>IF(COUNTA(A131:L131)=0,"",IF(OR(LEN(TRIM(B131))=0,LEN(TRIM(C131))=0,LEN(TRIM(D131))=0,LEN(TRIM(E131))=0,LEN(TRIM(F131))=0,LEN(TRIM(G131))=0,LEN(TRIM(H131))=0,LEN(TRIM(I131))=0,LEN(TRIM(J131))=0,LEN(TRIM(K131))=0,LEN(TRIM(L131))=0),"Undetermined - incomplete routing",IF(Q131&lt;&gt;"OK","Undetermined - unrecognized routing value",IF(OR(D131="High",D131="Catastrophic/systemic",E131="Material",E131="Fundamental or uncertain",F131="Difficult to reverse",F131="Irreversible or unknown",G131="National/transnational/ecological",H131="Frontier or unknown",I131="Affected-party dispute or unknown"),"AF-High-Consequence",IF(OR(D131="Moderate",E131="Limited reversible",F131="Partly reversible",G131="Regional/sectoral",H131="Novel",I131="High"),"AF-Standard","AF-Lite")))))</f>
        <v/>
      </c>
      <c r="O131">
        <f>IF(AND(M131="",N131=""),"",IF(AND(M131&lt;&gt;"",N131=""),"UNRECORDED",IF(AND(M131="",N131&lt;&gt;""),"ORPHAN_RECORDED",IF(M131=N131,"MATCH","MISMATCH"))))</f>
        <v/>
      </c>
      <c r="Q131" s="303">
        <f>IF(COUNTA(A131:L131)=0,"",IF(AND(COUNTIF(Vocabulary!$C$5:$C$8,D131)=1,COUNTIF(Vocabulary!$D$5:$D$8,E131)=1,COUNTIF(Vocabulary!$E$5:$E$8,F131)=1,COUNTIF(Vocabulary!$F$5:$F$8,G131)=1,COUNTIF(Vocabulary!$G$5:$G$8,H131)=1,COUNTIF(Vocabulary!$H$5:$H$8,I131)=1,COUNTIF(Vocabulary!$I$5:$I$7,J131)=1,COUNTIF(Vocabulary!$I$5:$I$7,K131)=1,COUNTIF(Vocabulary!$J$5:$J$6,L131)=1),"OK","UNRECOGNISED_ROUTING_VALUE"))</f>
        <v/>
      </c>
    </row>
    <row r="132">
      <c r="M132">
        <f>IF(COUNTA(A132:L132)=0,"",IF(OR(LEN(TRIM(B132))=0,LEN(TRIM(C132))=0,LEN(TRIM(D132))=0,LEN(TRIM(E132))=0,LEN(TRIM(F132))=0,LEN(TRIM(G132))=0,LEN(TRIM(H132))=0,LEN(TRIM(I132))=0,LEN(TRIM(J132))=0,LEN(TRIM(K132))=0,LEN(TRIM(L132))=0),"Undetermined - incomplete routing",IF(Q132&lt;&gt;"OK","Undetermined - unrecognized routing value",IF(OR(D132="High",D132="Catastrophic/systemic",E132="Material",E132="Fundamental or uncertain",F132="Difficult to reverse",F132="Irreversible or unknown",G132="National/transnational/ecological",H132="Frontier or unknown",I132="Affected-party dispute or unknown"),"AF-High-Consequence",IF(OR(D132="Moderate",E132="Limited reversible",F132="Partly reversible",G132="Regional/sectoral",H132="Novel",I132="High"),"AF-Standard","AF-Lite")))))</f>
        <v/>
      </c>
      <c r="O132">
        <f>IF(AND(M132="",N132=""),"",IF(AND(M132&lt;&gt;"",N132=""),"UNRECORDED",IF(AND(M132="",N132&lt;&gt;""),"ORPHAN_RECORDED",IF(M132=N132,"MATCH","MISMATCH"))))</f>
        <v/>
      </c>
      <c r="Q132" s="303">
        <f>IF(COUNTA(A132:L132)=0,"",IF(AND(COUNTIF(Vocabulary!$C$5:$C$8,D132)=1,COUNTIF(Vocabulary!$D$5:$D$8,E132)=1,COUNTIF(Vocabulary!$E$5:$E$8,F132)=1,COUNTIF(Vocabulary!$F$5:$F$8,G132)=1,COUNTIF(Vocabulary!$G$5:$G$8,H132)=1,COUNTIF(Vocabulary!$H$5:$H$8,I132)=1,COUNTIF(Vocabulary!$I$5:$I$7,J132)=1,COUNTIF(Vocabulary!$I$5:$I$7,K132)=1,COUNTIF(Vocabulary!$J$5:$J$6,L132)=1),"OK","UNRECOGNISED_ROUTING_VALUE"))</f>
        <v/>
      </c>
    </row>
    <row r="133">
      <c r="M133">
        <f>IF(COUNTA(A133:L133)=0,"",IF(OR(LEN(TRIM(B133))=0,LEN(TRIM(C133))=0,LEN(TRIM(D133))=0,LEN(TRIM(E133))=0,LEN(TRIM(F133))=0,LEN(TRIM(G133))=0,LEN(TRIM(H133))=0,LEN(TRIM(I133))=0,LEN(TRIM(J133))=0,LEN(TRIM(K133))=0,LEN(TRIM(L133))=0),"Undetermined - incomplete routing",IF(Q133&lt;&gt;"OK","Undetermined - unrecognized routing value",IF(OR(D133="High",D133="Catastrophic/systemic",E133="Material",E133="Fundamental or uncertain",F133="Difficult to reverse",F133="Irreversible or unknown",G133="National/transnational/ecological",H133="Frontier or unknown",I133="Affected-party dispute or unknown"),"AF-High-Consequence",IF(OR(D133="Moderate",E133="Limited reversible",F133="Partly reversible",G133="Regional/sectoral",H133="Novel",I133="High"),"AF-Standard","AF-Lite")))))</f>
        <v/>
      </c>
      <c r="O133">
        <f>IF(AND(M133="",N133=""),"",IF(AND(M133&lt;&gt;"",N133=""),"UNRECORDED",IF(AND(M133="",N133&lt;&gt;""),"ORPHAN_RECORDED",IF(M133=N133,"MATCH","MISMATCH"))))</f>
        <v/>
      </c>
      <c r="Q133" s="303">
        <f>IF(COUNTA(A133:L133)=0,"",IF(AND(COUNTIF(Vocabulary!$C$5:$C$8,D133)=1,COUNTIF(Vocabulary!$D$5:$D$8,E133)=1,COUNTIF(Vocabulary!$E$5:$E$8,F133)=1,COUNTIF(Vocabulary!$F$5:$F$8,G133)=1,COUNTIF(Vocabulary!$G$5:$G$8,H133)=1,COUNTIF(Vocabulary!$H$5:$H$8,I133)=1,COUNTIF(Vocabulary!$I$5:$I$7,J133)=1,COUNTIF(Vocabulary!$I$5:$I$7,K133)=1,COUNTIF(Vocabulary!$J$5:$J$6,L133)=1),"OK","UNRECOGNISED_ROUTING_VALUE"))</f>
        <v/>
      </c>
    </row>
    <row r="134">
      <c r="M134">
        <f>IF(COUNTA(A134:L134)=0,"",IF(OR(LEN(TRIM(B134))=0,LEN(TRIM(C134))=0,LEN(TRIM(D134))=0,LEN(TRIM(E134))=0,LEN(TRIM(F134))=0,LEN(TRIM(G134))=0,LEN(TRIM(H134))=0,LEN(TRIM(I134))=0,LEN(TRIM(J134))=0,LEN(TRIM(K134))=0,LEN(TRIM(L134))=0),"Undetermined - incomplete routing",IF(Q134&lt;&gt;"OK","Undetermined - unrecognized routing value",IF(OR(D134="High",D134="Catastrophic/systemic",E134="Material",E134="Fundamental or uncertain",F134="Difficult to reverse",F134="Irreversible or unknown",G134="National/transnational/ecological",H134="Frontier or unknown",I134="Affected-party dispute or unknown"),"AF-High-Consequence",IF(OR(D134="Moderate",E134="Limited reversible",F134="Partly reversible",G134="Regional/sectoral",H134="Novel",I134="High"),"AF-Standard","AF-Lite")))))</f>
        <v/>
      </c>
      <c r="O134">
        <f>IF(AND(M134="",N134=""),"",IF(AND(M134&lt;&gt;"",N134=""),"UNRECORDED",IF(AND(M134="",N134&lt;&gt;""),"ORPHAN_RECORDED",IF(M134=N134,"MATCH","MISMATCH"))))</f>
        <v/>
      </c>
      <c r="Q134" s="303">
        <f>IF(COUNTA(A134:L134)=0,"",IF(AND(COUNTIF(Vocabulary!$C$5:$C$8,D134)=1,COUNTIF(Vocabulary!$D$5:$D$8,E134)=1,COUNTIF(Vocabulary!$E$5:$E$8,F134)=1,COUNTIF(Vocabulary!$F$5:$F$8,G134)=1,COUNTIF(Vocabulary!$G$5:$G$8,H134)=1,COUNTIF(Vocabulary!$H$5:$H$8,I134)=1,COUNTIF(Vocabulary!$I$5:$I$7,J134)=1,COUNTIF(Vocabulary!$I$5:$I$7,K134)=1,COUNTIF(Vocabulary!$J$5:$J$6,L134)=1),"OK","UNRECOGNISED_ROUTING_VALUE"))</f>
        <v/>
      </c>
    </row>
    <row r="135">
      <c r="M135">
        <f>IF(COUNTA(A135:L135)=0,"",IF(OR(LEN(TRIM(B135))=0,LEN(TRIM(C135))=0,LEN(TRIM(D135))=0,LEN(TRIM(E135))=0,LEN(TRIM(F135))=0,LEN(TRIM(G135))=0,LEN(TRIM(H135))=0,LEN(TRIM(I135))=0,LEN(TRIM(J135))=0,LEN(TRIM(K135))=0,LEN(TRIM(L135))=0),"Undetermined - incomplete routing",IF(Q135&lt;&gt;"OK","Undetermined - unrecognized routing value",IF(OR(D135="High",D135="Catastrophic/systemic",E135="Material",E135="Fundamental or uncertain",F135="Difficult to reverse",F135="Irreversible or unknown",G135="National/transnational/ecological",H135="Frontier or unknown",I135="Affected-party dispute or unknown"),"AF-High-Consequence",IF(OR(D135="Moderate",E135="Limited reversible",F135="Partly reversible",G135="Regional/sectoral",H135="Novel",I135="High"),"AF-Standard","AF-Lite")))))</f>
        <v/>
      </c>
      <c r="O135">
        <f>IF(AND(M135="",N135=""),"",IF(AND(M135&lt;&gt;"",N135=""),"UNRECORDED",IF(AND(M135="",N135&lt;&gt;""),"ORPHAN_RECORDED",IF(M135=N135,"MATCH","MISMATCH"))))</f>
        <v/>
      </c>
      <c r="Q135" s="303">
        <f>IF(COUNTA(A135:L135)=0,"",IF(AND(COUNTIF(Vocabulary!$C$5:$C$8,D135)=1,COUNTIF(Vocabulary!$D$5:$D$8,E135)=1,COUNTIF(Vocabulary!$E$5:$E$8,F135)=1,COUNTIF(Vocabulary!$F$5:$F$8,G135)=1,COUNTIF(Vocabulary!$G$5:$G$8,H135)=1,COUNTIF(Vocabulary!$H$5:$H$8,I135)=1,COUNTIF(Vocabulary!$I$5:$I$7,J135)=1,COUNTIF(Vocabulary!$I$5:$I$7,K135)=1,COUNTIF(Vocabulary!$J$5:$J$6,L135)=1),"OK","UNRECOGNISED_ROUTING_VALUE"))</f>
        <v/>
      </c>
    </row>
    <row r="136">
      <c r="M136">
        <f>IF(COUNTA(A136:L136)=0,"",IF(OR(LEN(TRIM(B136))=0,LEN(TRIM(C136))=0,LEN(TRIM(D136))=0,LEN(TRIM(E136))=0,LEN(TRIM(F136))=0,LEN(TRIM(G136))=0,LEN(TRIM(H136))=0,LEN(TRIM(I136))=0,LEN(TRIM(J136))=0,LEN(TRIM(K136))=0,LEN(TRIM(L136))=0),"Undetermined - incomplete routing",IF(Q136&lt;&gt;"OK","Undetermined - unrecognized routing value",IF(OR(D136="High",D136="Catastrophic/systemic",E136="Material",E136="Fundamental or uncertain",F136="Difficult to reverse",F136="Irreversible or unknown",G136="National/transnational/ecological",H136="Frontier or unknown",I136="Affected-party dispute or unknown"),"AF-High-Consequence",IF(OR(D136="Moderate",E136="Limited reversible",F136="Partly reversible",G136="Regional/sectoral",H136="Novel",I136="High"),"AF-Standard","AF-Lite")))))</f>
        <v/>
      </c>
      <c r="O136">
        <f>IF(AND(M136="",N136=""),"",IF(AND(M136&lt;&gt;"",N136=""),"UNRECORDED",IF(AND(M136="",N136&lt;&gt;""),"ORPHAN_RECORDED",IF(M136=N136,"MATCH","MISMATCH"))))</f>
        <v/>
      </c>
      <c r="Q136" s="303">
        <f>IF(COUNTA(A136:L136)=0,"",IF(AND(COUNTIF(Vocabulary!$C$5:$C$8,D136)=1,COUNTIF(Vocabulary!$D$5:$D$8,E136)=1,COUNTIF(Vocabulary!$E$5:$E$8,F136)=1,COUNTIF(Vocabulary!$F$5:$F$8,G136)=1,COUNTIF(Vocabulary!$G$5:$G$8,H136)=1,COUNTIF(Vocabulary!$H$5:$H$8,I136)=1,COUNTIF(Vocabulary!$I$5:$I$7,J136)=1,COUNTIF(Vocabulary!$I$5:$I$7,K136)=1,COUNTIF(Vocabulary!$J$5:$J$6,L136)=1),"OK","UNRECOGNISED_ROUTING_VALUE"))</f>
        <v/>
      </c>
    </row>
    <row r="137">
      <c r="M137">
        <f>IF(COUNTA(A137:L137)=0,"",IF(OR(LEN(TRIM(B137))=0,LEN(TRIM(C137))=0,LEN(TRIM(D137))=0,LEN(TRIM(E137))=0,LEN(TRIM(F137))=0,LEN(TRIM(G137))=0,LEN(TRIM(H137))=0,LEN(TRIM(I137))=0,LEN(TRIM(J137))=0,LEN(TRIM(K137))=0,LEN(TRIM(L137))=0),"Undetermined - incomplete routing",IF(Q137&lt;&gt;"OK","Undetermined - unrecognized routing value",IF(OR(D137="High",D137="Catastrophic/systemic",E137="Material",E137="Fundamental or uncertain",F137="Difficult to reverse",F137="Irreversible or unknown",G137="National/transnational/ecological",H137="Frontier or unknown",I137="Affected-party dispute or unknown"),"AF-High-Consequence",IF(OR(D137="Moderate",E137="Limited reversible",F137="Partly reversible",G137="Regional/sectoral",H137="Novel",I137="High"),"AF-Standard","AF-Lite")))))</f>
        <v/>
      </c>
      <c r="O137">
        <f>IF(AND(M137="",N137=""),"",IF(AND(M137&lt;&gt;"",N137=""),"UNRECORDED",IF(AND(M137="",N137&lt;&gt;""),"ORPHAN_RECORDED",IF(M137=N137,"MATCH","MISMATCH"))))</f>
        <v/>
      </c>
      <c r="Q137" s="303">
        <f>IF(COUNTA(A137:L137)=0,"",IF(AND(COUNTIF(Vocabulary!$C$5:$C$8,D137)=1,COUNTIF(Vocabulary!$D$5:$D$8,E137)=1,COUNTIF(Vocabulary!$E$5:$E$8,F137)=1,COUNTIF(Vocabulary!$F$5:$F$8,G137)=1,COUNTIF(Vocabulary!$G$5:$G$8,H137)=1,COUNTIF(Vocabulary!$H$5:$H$8,I137)=1,COUNTIF(Vocabulary!$I$5:$I$7,J137)=1,COUNTIF(Vocabulary!$I$5:$I$7,K137)=1,COUNTIF(Vocabulary!$J$5:$J$6,L137)=1),"OK","UNRECOGNISED_ROUTING_VALUE"))</f>
        <v/>
      </c>
    </row>
    <row r="138">
      <c r="M138">
        <f>IF(COUNTA(A138:L138)=0,"",IF(OR(LEN(TRIM(B138))=0,LEN(TRIM(C138))=0,LEN(TRIM(D138))=0,LEN(TRIM(E138))=0,LEN(TRIM(F138))=0,LEN(TRIM(G138))=0,LEN(TRIM(H138))=0,LEN(TRIM(I138))=0,LEN(TRIM(J138))=0,LEN(TRIM(K138))=0,LEN(TRIM(L138))=0),"Undetermined - incomplete routing",IF(Q138&lt;&gt;"OK","Undetermined - unrecognized routing value",IF(OR(D138="High",D138="Catastrophic/systemic",E138="Material",E138="Fundamental or uncertain",F138="Difficult to reverse",F138="Irreversible or unknown",G138="National/transnational/ecological",H138="Frontier or unknown",I138="Affected-party dispute or unknown"),"AF-High-Consequence",IF(OR(D138="Moderate",E138="Limited reversible",F138="Partly reversible",G138="Regional/sectoral",H138="Novel",I138="High"),"AF-Standard","AF-Lite")))))</f>
        <v/>
      </c>
      <c r="O138">
        <f>IF(AND(M138="",N138=""),"",IF(AND(M138&lt;&gt;"",N138=""),"UNRECORDED",IF(AND(M138="",N138&lt;&gt;""),"ORPHAN_RECORDED",IF(M138=N138,"MATCH","MISMATCH"))))</f>
        <v/>
      </c>
      <c r="Q138" s="303">
        <f>IF(COUNTA(A138:L138)=0,"",IF(AND(COUNTIF(Vocabulary!$C$5:$C$8,D138)=1,COUNTIF(Vocabulary!$D$5:$D$8,E138)=1,COUNTIF(Vocabulary!$E$5:$E$8,F138)=1,COUNTIF(Vocabulary!$F$5:$F$8,G138)=1,COUNTIF(Vocabulary!$G$5:$G$8,H138)=1,COUNTIF(Vocabulary!$H$5:$H$8,I138)=1,COUNTIF(Vocabulary!$I$5:$I$7,J138)=1,COUNTIF(Vocabulary!$I$5:$I$7,K138)=1,COUNTIF(Vocabulary!$J$5:$J$6,L138)=1),"OK","UNRECOGNISED_ROUTING_VALUE"))</f>
        <v/>
      </c>
    </row>
    <row r="139">
      <c r="M139">
        <f>IF(COUNTA(A139:L139)=0,"",IF(OR(LEN(TRIM(B139))=0,LEN(TRIM(C139))=0,LEN(TRIM(D139))=0,LEN(TRIM(E139))=0,LEN(TRIM(F139))=0,LEN(TRIM(G139))=0,LEN(TRIM(H139))=0,LEN(TRIM(I139))=0,LEN(TRIM(J139))=0,LEN(TRIM(K139))=0,LEN(TRIM(L139))=0),"Undetermined - incomplete routing",IF(Q139&lt;&gt;"OK","Undetermined - unrecognized routing value",IF(OR(D139="High",D139="Catastrophic/systemic",E139="Material",E139="Fundamental or uncertain",F139="Difficult to reverse",F139="Irreversible or unknown",G139="National/transnational/ecological",H139="Frontier or unknown",I139="Affected-party dispute or unknown"),"AF-High-Consequence",IF(OR(D139="Moderate",E139="Limited reversible",F139="Partly reversible",G139="Regional/sectoral",H139="Novel",I139="High"),"AF-Standard","AF-Lite")))))</f>
        <v/>
      </c>
      <c r="O139">
        <f>IF(AND(M139="",N139=""),"",IF(AND(M139&lt;&gt;"",N139=""),"UNRECORDED",IF(AND(M139="",N139&lt;&gt;""),"ORPHAN_RECORDED",IF(M139=N139,"MATCH","MISMATCH"))))</f>
        <v/>
      </c>
      <c r="Q139" s="303">
        <f>IF(COUNTA(A139:L139)=0,"",IF(AND(COUNTIF(Vocabulary!$C$5:$C$8,D139)=1,COUNTIF(Vocabulary!$D$5:$D$8,E139)=1,COUNTIF(Vocabulary!$E$5:$E$8,F139)=1,COUNTIF(Vocabulary!$F$5:$F$8,G139)=1,COUNTIF(Vocabulary!$G$5:$G$8,H139)=1,COUNTIF(Vocabulary!$H$5:$H$8,I139)=1,COUNTIF(Vocabulary!$I$5:$I$7,J139)=1,COUNTIF(Vocabulary!$I$5:$I$7,K139)=1,COUNTIF(Vocabulary!$J$5:$J$6,L139)=1),"OK","UNRECOGNISED_ROUTING_VALUE"))</f>
        <v/>
      </c>
    </row>
    <row r="140">
      <c r="M140">
        <f>IF(COUNTA(A140:L140)=0,"",IF(OR(LEN(TRIM(B140))=0,LEN(TRIM(C140))=0,LEN(TRIM(D140))=0,LEN(TRIM(E140))=0,LEN(TRIM(F140))=0,LEN(TRIM(G140))=0,LEN(TRIM(H140))=0,LEN(TRIM(I140))=0,LEN(TRIM(J140))=0,LEN(TRIM(K140))=0,LEN(TRIM(L140))=0),"Undetermined - incomplete routing",IF(Q140&lt;&gt;"OK","Undetermined - unrecognized routing value",IF(OR(D140="High",D140="Catastrophic/systemic",E140="Material",E140="Fundamental or uncertain",F140="Difficult to reverse",F140="Irreversible or unknown",G140="National/transnational/ecological",H140="Frontier or unknown",I140="Affected-party dispute or unknown"),"AF-High-Consequence",IF(OR(D140="Moderate",E140="Limited reversible",F140="Partly reversible",G140="Regional/sectoral",H140="Novel",I140="High"),"AF-Standard","AF-Lite")))))</f>
        <v/>
      </c>
      <c r="O140">
        <f>IF(AND(M140="",N140=""),"",IF(AND(M140&lt;&gt;"",N140=""),"UNRECORDED",IF(AND(M140="",N140&lt;&gt;""),"ORPHAN_RECORDED",IF(M140=N140,"MATCH","MISMATCH"))))</f>
        <v/>
      </c>
      <c r="Q140" s="303">
        <f>IF(COUNTA(A140:L140)=0,"",IF(AND(COUNTIF(Vocabulary!$C$5:$C$8,D140)=1,COUNTIF(Vocabulary!$D$5:$D$8,E140)=1,COUNTIF(Vocabulary!$E$5:$E$8,F140)=1,COUNTIF(Vocabulary!$F$5:$F$8,G140)=1,COUNTIF(Vocabulary!$G$5:$G$8,H140)=1,COUNTIF(Vocabulary!$H$5:$H$8,I140)=1,COUNTIF(Vocabulary!$I$5:$I$7,J140)=1,COUNTIF(Vocabulary!$I$5:$I$7,K140)=1,COUNTIF(Vocabulary!$J$5:$J$6,L140)=1),"OK","UNRECOGNISED_ROUTING_VALUE"))</f>
        <v/>
      </c>
    </row>
    <row r="141">
      <c r="M141">
        <f>IF(COUNTA(A141:L141)=0,"",IF(OR(LEN(TRIM(B141))=0,LEN(TRIM(C141))=0,LEN(TRIM(D141))=0,LEN(TRIM(E141))=0,LEN(TRIM(F141))=0,LEN(TRIM(G141))=0,LEN(TRIM(H141))=0,LEN(TRIM(I141))=0,LEN(TRIM(J141))=0,LEN(TRIM(K141))=0,LEN(TRIM(L141))=0),"Undetermined - incomplete routing",IF(Q141&lt;&gt;"OK","Undetermined - unrecognized routing value",IF(OR(D141="High",D141="Catastrophic/systemic",E141="Material",E141="Fundamental or uncertain",F141="Difficult to reverse",F141="Irreversible or unknown",G141="National/transnational/ecological",H141="Frontier or unknown",I141="Affected-party dispute or unknown"),"AF-High-Consequence",IF(OR(D141="Moderate",E141="Limited reversible",F141="Partly reversible",G141="Regional/sectoral",H141="Novel",I141="High"),"AF-Standard","AF-Lite")))))</f>
        <v/>
      </c>
      <c r="O141">
        <f>IF(AND(M141="",N141=""),"",IF(AND(M141&lt;&gt;"",N141=""),"UNRECORDED",IF(AND(M141="",N141&lt;&gt;""),"ORPHAN_RECORDED",IF(M141=N141,"MATCH","MISMATCH"))))</f>
        <v/>
      </c>
      <c r="Q141" s="303">
        <f>IF(COUNTA(A141:L141)=0,"",IF(AND(COUNTIF(Vocabulary!$C$5:$C$8,D141)=1,COUNTIF(Vocabulary!$D$5:$D$8,E141)=1,COUNTIF(Vocabulary!$E$5:$E$8,F141)=1,COUNTIF(Vocabulary!$F$5:$F$8,G141)=1,COUNTIF(Vocabulary!$G$5:$G$8,H141)=1,COUNTIF(Vocabulary!$H$5:$H$8,I141)=1,COUNTIF(Vocabulary!$I$5:$I$7,J141)=1,COUNTIF(Vocabulary!$I$5:$I$7,K141)=1,COUNTIF(Vocabulary!$J$5:$J$6,L141)=1),"OK","UNRECOGNISED_ROUTING_VALUE"))</f>
        <v/>
      </c>
    </row>
    <row r="142">
      <c r="M142">
        <f>IF(COUNTA(A142:L142)=0,"",IF(OR(LEN(TRIM(B142))=0,LEN(TRIM(C142))=0,LEN(TRIM(D142))=0,LEN(TRIM(E142))=0,LEN(TRIM(F142))=0,LEN(TRIM(G142))=0,LEN(TRIM(H142))=0,LEN(TRIM(I142))=0,LEN(TRIM(J142))=0,LEN(TRIM(K142))=0,LEN(TRIM(L142))=0),"Undetermined - incomplete routing",IF(Q142&lt;&gt;"OK","Undetermined - unrecognized routing value",IF(OR(D142="High",D142="Catastrophic/systemic",E142="Material",E142="Fundamental or uncertain",F142="Difficult to reverse",F142="Irreversible or unknown",G142="National/transnational/ecological",H142="Frontier or unknown",I142="Affected-party dispute or unknown"),"AF-High-Consequence",IF(OR(D142="Moderate",E142="Limited reversible",F142="Partly reversible",G142="Regional/sectoral",H142="Novel",I142="High"),"AF-Standard","AF-Lite")))))</f>
        <v/>
      </c>
      <c r="O142">
        <f>IF(AND(M142="",N142=""),"",IF(AND(M142&lt;&gt;"",N142=""),"UNRECORDED",IF(AND(M142="",N142&lt;&gt;""),"ORPHAN_RECORDED",IF(M142=N142,"MATCH","MISMATCH"))))</f>
        <v/>
      </c>
      <c r="Q142" s="303">
        <f>IF(COUNTA(A142:L142)=0,"",IF(AND(COUNTIF(Vocabulary!$C$5:$C$8,D142)=1,COUNTIF(Vocabulary!$D$5:$D$8,E142)=1,COUNTIF(Vocabulary!$E$5:$E$8,F142)=1,COUNTIF(Vocabulary!$F$5:$F$8,G142)=1,COUNTIF(Vocabulary!$G$5:$G$8,H142)=1,COUNTIF(Vocabulary!$H$5:$H$8,I142)=1,COUNTIF(Vocabulary!$I$5:$I$7,J142)=1,COUNTIF(Vocabulary!$I$5:$I$7,K142)=1,COUNTIF(Vocabulary!$J$5:$J$6,L142)=1),"OK","UNRECOGNISED_ROUTING_VALUE"))</f>
        <v/>
      </c>
    </row>
    <row r="143">
      <c r="M143">
        <f>IF(COUNTA(A143:L143)=0,"",IF(OR(LEN(TRIM(B143))=0,LEN(TRIM(C143))=0,LEN(TRIM(D143))=0,LEN(TRIM(E143))=0,LEN(TRIM(F143))=0,LEN(TRIM(G143))=0,LEN(TRIM(H143))=0,LEN(TRIM(I143))=0,LEN(TRIM(J143))=0,LEN(TRIM(K143))=0,LEN(TRIM(L143))=0),"Undetermined - incomplete routing",IF(Q143&lt;&gt;"OK","Undetermined - unrecognized routing value",IF(OR(D143="High",D143="Catastrophic/systemic",E143="Material",E143="Fundamental or uncertain",F143="Difficult to reverse",F143="Irreversible or unknown",G143="National/transnational/ecological",H143="Frontier or unknown",I143="Affected-party dispute or unknown"),"AF-High-Consequence",IF(OR(D143="Moderate",E143="Limited reversible",F143="Partly reversible",G143="Regional/sectoral",H143="Novel",I143="High"),"AF-Standard","AF-Lite")))))</f>
        <v/>
      </c>
      <c r="O143">
        <f>IF(AND(M143="",N143=""),"",IF(AND(M143&lt;&gt;"",N143=""),"UNRECORDED",IF(AND(M143="",N143&lt;&gt;""),"ORPHAN_RECORDED",IF(M143=N143,"MATCH","MISMATCH"))))</f>
        <v/>
      </c>
      <c r="Q143" s="303">
        <f>IF(COUNTA(A143:L143)=0,"",IF(AND(COUNTIF(Vocabulary!$C$5:$C$8,D143)=1,COUNTIF(Vocabulary!$D$5:$D$8,E143)=1,COUNTIF(Vocabulary!$E$5:$E$8,F143)=1,COUNTIF(Vocabulary!$F$5:$F$8,G143)=1,COUNTIF(Vocabulary!$G$5:$G$8,H143)=1,COUNTIF(Vocabulary!$H$5:$H$8,I143)=1,COUNTIF(Vocabulary!$I$5:$I$7,J143)=1,COUNTIF(Vocabulary!$I$5:$I$7,K143)=1,COUNTIF(Vocabulary!$J$5:$J$6,L143)=1),"OK","UNRECOGNISED_ROUTING_VALUE"))</f>
        <v/>
      </c>
    </row>
    <row r="144">
      <c r="M144">
        <f>IF(COUNTA(A144:L144)=0,"",IF(OR(LEN(TRIM(B144))=0,LEN(TRIM(C144))=0,LEN(TRIM(D144))=0,LEN(TRIM(E144))=0,LEN(TRIM(F144))=0,LEN(TRIM(G144))=0,LEN(TRIM(H144))=0,LEN(TRIM(I144))=0,LEN(TRIM(J144))=0,LEN(TRIM(K144))=0,LEN(TRIM(L144))=0),"Undetermined - incomplete routing",IF(Q144&lt;&gt;"OK","Undetermined - unrecognized routing value",IF(OR(D144="High",D144="Catastrophic/systemic",E144="Material",E144="Fundamental or uncertain",F144="Difficult to reverse",F144="Irreversible or unknown",G144="National/transnational/ecological",H144="Frontier or unknown",I144="Affected-party dispute or unknown"),"AF-High-Consequence",IF(OR(D144="Moderate",E144="Limited reversible",F144="Partly reversible",G144="Regional/sectoral",H144="Novel",I144="High"),"AF-Standard","AF-Lite")))))</f>
        <v/>
      </c>
      <c r="O144">
        <f>IF(AND(M144="",N144=""),"",IF(AND(M144&lt;&gt;"",N144=""),"UNRECORDED",IF(AND(M144="",N144&lt;&gt;""),"ORPHAN_RECORDED",IF(M144=N144,"MATCH","MISMATCH"))))</f>
        <v/>
      </c>
      <c r="Q144" s="303">
        <f>IF(COUNTA(A144:L144)=0,"",IF(AND(COUNTIF(Vocabulary!$C$5:$C$8,D144)=1,COUNTIF(Vocabulary!$D$5:$D$8,E144)=1,COUNTIF(Vocabulary!$E$5:$E$8,F144)=1,COUNTIF(Vocabulary!$F$5:$F$8,G144)=1,COUNTIF(Vocabulary!$G$5:$G$8,H144)=1,COUNTIF(Vocabulary!$H$5:$H$8,I144)=1,COUNTIF(Vocabulary!$I$5:$I$7,J144)=1,COUNTIF(Vocabulary!$I$5:$I$7,K144)=1,COUNTIF(Vocabulary!$J$5:$J$6,L144)=1),"OK","UNRECOGNISED_ROUTING_VALUE"))</f>
        <v/>
      </c>
    </row>
    <row r="145">
      <c r="M145">
        <f>IF(COUNTA(A145:L145)=0,"",IF(OR(LEN(TRIM(B145))=0,LEN(TRIM(C145))=0,LEN(TRIM(D145))=0,LEN(TRIM(E145))=0,LEN(TRIM(F145))=0,LEN(TRIM(G145))=0,LEN(TRIM(H145))=0,LEN(TRIM(I145))=0,LEN(TRIM(J145))=0,LEN(TRIM(K145))=0,LEN(TRIM(L145))=0),"Undetermined - incomplete routing",IF(Q145&lt;&gt;"OK","Undetermined - unrecognized routing value",IF(OR(D145="High",D145="Catastrophic/systemic",E145="Material",E145="Fundamental or uncertain",F145="Difficult to reverse",F145="Irreversible or unknown",G145="National/transnational/ecological",H145="Frontier or unknown",I145="Affected-party dispute or unknown"),"AF-High-Consequence",IF(OR(D145="Moderate",E145="Limited reversible",F145="Partly reversible",G145="Regional/sectoral",H145="Novel",I145="High"),"AF-Standard","AF-Lite")))))</f>
        <v/>
      </c>
      <c r="O145">
        <f>IF(AND(M145="",N145=""),"",IF(AND(M145&lt;&gt;"",N145=""),"UNRECORDED",IF(AND(M145="",N145&lt;&gt;""),"ORPHAN_RECORDED",IF(M145=N145,"MATCH","MISMATCH"))))</f>
        <v/>
      </c>
      <c r="Q145" s="303">
        <f>IF(COUNTA(A145:L145)=0,"",IF(AND(COUNTIF(Vocabulary!$C$5:$C$8,D145)=1,COUNTIF(Vocabulary!$D$5:$D$8,E145)=1,COUNTIF(Vocabulary!$E$5:$E$8,F145)=1,COUNTIF(Vocabulary!$F$5:$F$8,G145)=1,COUNTIF(Vocabulary!$G$5:$G$8,H145)=1,COUNTIF(Vocabulary!$H$5:$H$8,I145)=1,COUNTIF(Vocabulary!$I$5:$I$7,J145)=1,COUNTIF(Vocabulary!$I$5:$I$7,K145)=1,COUNTIF(Vocabulary!$J$5:$J$6,L145)=1),"OK","UNRECOGNISED_ROUTING_VALUE"))</f>
        <v/>
      </c>
    </row>
    <row r="146">
      <c r="M146">
        <f>IF(COUNTA(A146:L146)=0,"",IF(OR(LEN(TRIM(B146))=0,LEN(TRIM(C146))=0,LEN(TRIM(D146))=0,LEN(TRIM(E146))=0,LEN(TRIM(F146))=0,LEN(TRIM(G146))=0,LEN(TRIM(H146))=0,LEN(TRIM(I146))=0,LEN(TRIM(J146))=0,LEN(TRIM(K146))=0,LEN(TRIM(L146))=0),"Undetermined - incomplete routing",IF(Q146&lt;&gt;"OK","Undetermined - unrecognized routing value",IF(OR(D146="High",D146="Catastrophic/systemic",E146="Material",E146="Fundamental or uncertain",F146="Difficult to reverse",F146="Irreversible or unknown",G146="National/transnational/ecological",H146="Frontier or unknown",I146="Affected-party dispute or unknown"),"AF-High-Consequence",IF(OR(D146="Moderate",E146="Limited reversible",F146="Partly reversible",G146="Regional/sectoral",H146="Novel",I146="High"),"AF-Standard","AF-Lite")))))</f>
        <v/>
      </c>
      <c r="O146">
        <f>IF(AND(M146="",N146=""),"",IF(AND(M146&lt;&gt;"",N146=""),"UNRECORDED",IF(AND(M146="",N146&lt;&gt;""),"ORPHAN_RECORDED",IF(M146=N146,"MATCH","MISMATCH"))))</f>
        <v/>
      </c>
      <c r="Q146" s="303">
        <f>IF(COUNTA(A146:L146)=0,"",IF(AND(COUNTIF(Vocabulary!$C$5:$C$8,D146)=1,COUNTIF(Vocabulary!$D$5:$D$8,E146)=1,COUNTIF(Vocabulary!$E$5:$E$8,F146)=1,COUNTIF(Vocabulary!$F$5:$F$8,G146)=1,COUNTIF(Vocabulary!$G$5:$G$8,H146)=1,COUNTIF(Vocabulary!$H$5:$H$8,I146)=1,COUNTIF(Vocabulary!$I$5:$I$7,J146)=1,COUNTIF(Vocabulary!$I$5:$I$7,K146)=1,COUNTIF(Vocabulary!$J$5:$J$6,L146)=1),"OK","UNRECOGNISED_ROUTING_VALUE"))</f>
        <v/>
      </c>
    </row>
    <row r="147">
      <c r="M147">
        <f>IF(COUNTA(A147:L147)=0,"",IF(OR(LEN(TRIM(B147))=0,LEN(TRIM(C147))=0,LEN(TRIM(D147))=0,LEN(TRIM(E147))=0,LEN(TRIM(F147))=0,LEN(TRIM(G147))=0,LEN(TRIM(H147))=0,LEN(TRIM(I147))=0,LEN(TRIM(J147))=0,LEN(TRIM(K147))=0,LEN(TRIM(L147))=0),"Undetermined - incomplete routing",IF(Q147&lt;&gt;"OK","Undetermined - unrecognized routing value",IF(OR(D147="High",D147="Catastrophic/systemic",E147="Material",E147="Fundamental or uncertain",F147="Difficult to reverse",F147="Irreversible or unknown",G147="National/transnational/ecological",H147="Frontier or unknown",I147="Affected-party dispute or unknown"),"AF-High-Consequence",IF(OR(D147="Moderate",E147="Limited reversible",F147="Partly reversible",G147="Regional/sectoral",H147="Novel",I147="High"),"AF-Standard","AF-Lite")))))</f>
        <v/>
      </c>
      <c r="O147">
        <f>IF(AND(M147="",N147=""),"",IF(AND(M147&lt;&gt;"",N147=""),"UNRECORDED",IF(AND(M147="",N147&lt;&gt;""),"ORPHAN_RECORDED",IF(M147=N147,"MATCH","MISMATCH"))))</f>
        <v/>
      </c>
      <c r="Q147" s="303">
        <f>IF(COUNTA(A147:L147)=0,"",IF(AND(COUNTIF(Vocabulary!$C$5:$C$8,D147)=1,COUNTIF(Vocabulary!$D$5:$D$8,E147)=1,COUNTIF(Vocabulary!$E$5:$E$8,F147)=1,COUNTIF(Vocabulary!$F$5:$F$8,G147)=1,COUNTIF(Vocabulary!$G$5:$G$8,H147)=1,COUNTIF(Vocabulary!$H$5:$H$8,I147)=1,COUNTIF(Vocabulary!$I$5:$I$7,J147)=1,COUNTIF(Vocabulary!$I$5:$I$7,K147)=1,COUNTIF(Vocabulary!$J$5:$J$6,L147)=1),"OK","UNRECOGNISED_ROUTING_VALUE"))</f>
        <v/>
      </c>
    </row>
    <row r="148">
      <c r="M148">
        <f>IF(COUNTA(A148:L148)=0,"",IF(OR(LEN(TRIM(B148))=0,LEN(TRIM(C148))=0,LEN(TRIM(D148))=0,LEN(TRIM(E148))=0,LEN(TRIM(F148))=0,LEN(TRIM(G148))=0,LEN(TRIM(H148))=0,LEN(TRIM(I148))=0,LEN(TRIM(J148))=0,LEN(TRIM(K148))=0,LEN(TRIM(L148))=0),"Undetermined - incomplete routing",IF(Q148&lt;&gt;"OK","Undetermined - unrecognized routing value",IF(OR(D148="High",D148="Catastrophic/systemic",E148="Material",E148="Fundamental or uncertain",F148="Difficult to reverse",F148="Irreversible or unknown",G148="National/transnational/ecological",H148="Frontier or unknown",I148="Affected-party dispute or unknown"),"AF-High-Consequence",IF(OR(D148="Moderate",E148="Limited reversible",F148="Partly reversible",G148="Regional/sectoral",H148="Novel",I148="High"),"AF-Standard","AF-Lite")))))</f>
        <v/>
      </c>
      <c r="O148">
        <f>IF(AND(M148="",N148=""),"",IF(AND(M148&lt;&gt;"",N148=""),"UNRECORDED",IF(AND(M148="",N148&lt;&gt;""),"ORPHAN_RECORDED",IF(M148=N148,"MATCH","MISMATCH"))))</f>
        <v/>
      </c>
      <c r="Q148" s="303">
        <f>IF(COUNTA(A148:L148)=0,"",IF(AND(COUNTIF(Vocabulary!$C$5:$C$8,D148)=1,COUNTIF(Vocabulary!$D$5:$D$8,E148)=1,COUNTIF(Vocabulary!$E$5:$E$8,F148)=1,COUNTIF(Vocabulary!$F$5:$F$8,G148)=1,COUNTIF(Vocabulary!$G$5:$G$8,H148)=1,COUNTIF(Vocabulary!$H$5:$H$8,I148)=1,COUNTIF(Vocabulary!$I$5:$I$7,J148)=1,COUNTIF(Vocabulary!$I$5:$I$7,K148)=1,COUNTIF(Vocabulary!$J$5:$J$6,L148)=1),"OK","UNRECOGNISED_ROUTING_VALUE"))</f>
        <v/>
      </c>
    </row>
    <row r="149">
      <c r="M149">
        <f>IF(COUNTA(A149:L149)=0,"",IF(OR(LEN(TRIM(B149))=0,LEN(TRIM(C149))=0,LEN(TRIM(D149))=0,LEN(TRIM(E149))=0,LEN(TRIM(F149))=0,LEN(TRIM(G149))=0,LEN(TRIM(H149))=0,LEN(TRIM(I149))=0,LEN(TRIM(J149))=0,LEN(TRIM(K149))=0,LEN(TRIM(L149))=0),"Undetermined - incomplete routing",IF(Q149&lt;&gt;"OK","Undetermined - unrecognized routing value",IF(OR(D149="High",D149="Catastrophic/systemic",E149="Material",E149="Fundamental or uncertain",F149="Difficult to reverse",F149="Irreversible or unknown",G149="National/transnational/ecological",H149="Frontier or unknown",I149="Affected-party dispute or unknown"),"AF-High-Consequence",IF(OR(D149="Moderate",E149="Limited reversible",F149="Partly reversible",G149="Regional/sectoral",H149="Novel",I149="High"),"AF-Standard","AF-Lite")))))</f>
        <v/>
      </c>
      <c r="O149">
        <f>IF(AND(M149="",N149=""),"",IF(AND(M149&lt;&gt;"",N149=""),"UNRECORDED",IF(AND(M149="",N149&lt;&gt;""),"ORPHAN_RECORDED",IF(M149=N149,"MATCH","MISMATCH"))))</f>
        <v/>
      </c>
      <c r="Q149" s="303">
        <f>IF(COUNTA(A149:L149)=0,"",IF(AND(COUNTIF(Vocabulary!$C$5:$C$8,D149)=1,COUNTIF(Vocabulary!$D$5:$D$8,E149)=1,COUNTIF(Vocabulary!$E$5:$E$8,F149)=1,COUNTIF(Vocabulary!$F$5:$F$8,G149)=1,COUNTIF(Vocabulary!$G$5:$G$8,H149)=1,COUNTIF(Vocabulary!$H$5:$H$8,I149)=1,COUNTIF(Vocabulary!$I$5:$I$7,J149)=1,COUNTIF(Vocabulary!$I$5:$I$7,K149)=1,COUNTIF(Vocabulary!$J$5:$J$6,L149)=1),"OK","UNRECOGNISED_ROUTING_VALUE"))</f>
        <v/>
      </c>
    </row>
    <row r="150">
      <c r="M150">
        <f>IF(COUNTA(A150:L150)=0,"",IF(OR(LEN(TRIM(B150))=0,LEN(TRIM(C150))=0,LEN(TRIM(D150))=0,LEN(TRIM(E150))=0,LEN(TRIM(F150))=0,LEN(TRIM(G150))=0,LEN(TRIM(H150))=0,LEN(TRIM(I150))=0,LEN(TRIM(J150))=0,LEN(TRIM(K150))=0,LEN(TRIM(L150))=0),"Undetermined - incomplete routing",IF(Q150&lt;&gt;"OK","Undetermined - unrecognized routing value",IF(OR(D150="High",D150="Catastrophic/systemic",E150="Material",E150="Fundamental or uncertain",F150="Difficult to reverse",F150="Irreversible or unknown",G150="National/transnational/ecological",H150="Frontier or unknown",I150="Affected-party dispute or unknown"),"AF-High-Consequence",IF(OR(D150="Moderate",E150="Limited reversible",F150="Partly reversible",G150="Regional/sectoral",H150="Novel",I150="High"),"AF-Standard","AF-Lite")))))</f>
        <v/>
      </c>
      <c r="O150">
        <f>IF(AND(M150="",N150=""),"",IF(AND(M150&lt;&gt;"",N150=""),"UNRECORDED",IF(AND(M150="",N150&lt;&gt;""),"ORPHAN_RECORDED",IF(M150=N150,"MATCH","MISMATCH"))))</f>
        <v/>
      </c>
      <c r="Q150" s="303">
        <f>IF(COUNTA(A150:L150)=0,"",IF(AND(COUNTIF(Vocabulary!$C$5:$C$8,D150)=1,COUNTIF(Vocabulary!$D$5:$D$8,E150)=1,COUNTIF(Vocabulary!$E$5:$E$8,F150)=1,COUNTIF(Vocabulary!$F$5:$F$8,G150)=1,COUNTIF(Vocabulary!$G$5:$G$8,H150)=1,COUNTIF(Vocabulary!$H$5:$H$8,I150)=1,COUNTIF(Vocabulary!$I$5:$I$7,J150)=1,COUNTIF(Vocabulary!$I$5:$I$7,K150)=1,COUNTIF(Vocabulary!$J$5:$J$6,L150)=1),"OK","UNRECOGNISED_ROUTING_VALUE"))</f>
        <v/>
      </c>
    </row>
    <row r="151">
      <c r="M151">
        <f>IF(COUNTA(A151:L151)=0,"",IF(OR(LEN(TRIM(B151))=0,LEN(TRIM(C151))=0,LEN(TRIM(D151))=0,LEN(TRIM(E151))=0,LEN(TRIM(F151))=0,LEN(TRIM(G151))=0,LEN(TRIM(H151))=0,LEN(TRIM(I151))=0,LEN(TRIM(J151))=0,LEN(TRIM(K151))=0,LEN(TRIM(L151))=0),"Undetermined - incomplete routing",IF(Q151&lt;&gt;"OK","Undetermined - unrecognized routing value",IF(OR(D151="High",D151="Catastrophic/systemic",E151="Material",E151="Fundamental or uncertain",F151="Difficult to reverse",F151="Irreversible or unknown",G151="National/transnational/ecological",H151="Frontier or unknown",I151="Affected-party dispute or unknown"),"AF-High-Consequence",IF(OR(D151="Moderate",E151="Limited reversible",F151="Partly reversible",G151="Regional/sectoral",H151="Novel",I151="High"),"AF-Standard","AF-Lite")))))</f>
        <v/>
      </c>
      <c r="O151">
        <f>IF(AND(M151="",N151=""),"",IF(AND(M151&lt;&gt;"",N151=""),"UNRECORDED",IF(AND(M151="",N151&lt;&gt;""),"ORPHAN_RECORDED",IF(M151=N151,"MATCH","MISMATCH"))))</f>
        <v/>
      </c>
      <c r="Q151" s="303">
        <f>IF(COUNTA(A151:L151)=0,"",IF(AND(COUNTIF(Vocabulary!$C$5:$C$8,D151)=1,COUNTIF(Vocabulary!$D$5:$D$8,E151)=1,COUNTIF(Vocabulary!$E$5:$E$8,F151)=1,COUNTIF(Vocabulary!$F$5:$F$8,G151)=1,COUNTIF(Vocabulary!$G$5:$G$8,H151)=1,COUNTIF(Vocabulary!$H$5:$H$8,I151)=1,COUNTIF(Vocabulary!$I$5:$I$7,J151)=1,COUNTIF(Vocabulary!$I$5:$I$7,K151)=1,COUNTIF(Vocabulary!$J$5:$J$6,L151)=1),"OK","UNRECOGNISED_ROUTING_VALUE"))</f>
        <v/>
      </c>
    </row>
    <row r="152">
      <c r="M152">
        <f>IF(COUNTA(A152:L152)=0,"",IF(OR(LEN(TRIM(B152))=0,LEN(TRIM(C152))=0,LEN(TRIM(D152))=0,LEN(TRIM(E152))=0,LEN(TRIM(F152))=0,LEN(TRIM(G152))=0,LEN(TRIM(H152))=0,LEN(TRIM(I152))=0,LEN(TRIM(J152))=0,LEN(TRIM(K152))=0,LEN(TRIM(L152))=0),"Undetermined - incomplete routing",IF(Q152&lt;&gt;"OK","Undetermined - unrecognized routing value",IF(OR(D152="High",D152="Catastrophic/systemic",E152="Material",E152="Fundamental or uncertain",F152="Difficult to reverse",F152="Irreversible or unknown",G152="National/transnational/ecological",H152="Frontier or unknown",I152="Affected-party dispute or unknown"),"AF-High-Consequence",IF(OR(D152="Moderate",E152="Limited reversible",F152="Partly reversible",G152="Regional/sectoral",H152="Novel",I152="High"),"AF-Standard","AF-Lite")))))</f>
        <v/>
      </c>
      <c r="O152">
        <f>IF(AND(M152="",N152=""),"",IF(AND(M152&lt;&gt;"",N152=""),"UNRECORDED",IF(AND(M152="",N152&lt;&gt;""),"ORPHAN_RECORDED",IF(M152=N152,"MATCH","MISMATCH"))))</f>
        <v/>
      </c>
      <c r="Q152" s="303">
        <f>IF(COUNTA(A152:L152)=0,"",IF(AND(COUNTIF(Vocabulary!$C$5:$C$8,D152)=1,COUNTIF(Vocabulary!$D$5:$D$8,E152)=1,COUNTIF(Vocabulary!$E$5:$E$8,F152)=1,COUNTIF(Vocabulary!$F$5:$F$8,G152)=1,COUNTIF(Vocabulary!$G$5:$G$8,H152)=1,COUNTIF(Vocabulary!$H$5:$H$8,I152)=1,COUNTIF(Vocabulary!$I$5:$I$7,J152)=1,COUNTIF(Vocabulary!$I$5:$I$7,K152)=1,COUNTIF(Vocabulary!$J$5:$J$6,L152)=1),"OK","UNRECOGNISED_ROUTING_VALUE"))</f>
        <v/>
      </c>
    </row>
    <row r="153">
      <c r="M153">
        <f>IF(COUNTA(A153:L153)=0,"",IF(OR(LEN(TRIM(B153))=0,LEN(TRIM(C153))=0,LEN(TRIM(D153))=0,LEN(TRIM(E153))=0,LEN(TRIM(F153))=0,LEN(TRIM(G153))=0,LEN(TRIM(H153))=0,LEN(TRIM(I153))=0,LEN(TRIM(J153))=0,LEN(TRIM(K153))=0,LEN(TRIM(L153))=0),"Undetermined - incomplete routing",IF(Q153&lt;&gt;"OK","Undetermined - unrecognized routing value",IF(OR(D153="High",D153="Catastrophic/systemic",E153="Material",E153="Fundamental or uncertain",F153="Difficult to reverse",F153="Irreversible or unknown",G153="National/transnational/ecological",H153="Frontier or unknown",I153="Affected-party dispute or unknown"),"AF-High-Consequence",IF(OR(D153="Moderate",E153="Limited reversible",F153="Partly reversible",G153="Regional/sectoral",H153="Novel",I153="High"),"AF-Standard","AF-Lite")))))</f>
        <v/>
      </c>
      <c r="O153">
        <f>IF(AND(M153="",N153=""),"",IF(AND(M153&lt;&gt;"",N153=""),"UNRECORDED",IF(AND(M153="",N153&lt;&gt;""),"ORPHAN_RECORDED",IF(M153=N153,"MATCH","MISMATCH"))))</f>
        <v/>
      </c>
      <c r="Q153" s="303">
        <f>IF(COUNTA(A153:L153)=0,"",IF(AND(COUNTIF(Vocabulary!$C$5:$C$8,D153)=1,COUNTIF(Vocabulary!$D$5:$D$8,E153)=1,COUNTIF(Vocabulary!$E$5:$E$8,F153)=1,COUNTIF(Vocabulary!$F$5:$F$8,G153)=1,COUNTIF(Vocabulary!$G$5:$G$8,H153)=1,COUNTIF(Vocabulary!$H$5:$H$8,I153)=1,COUNTIF(Vocabulary!$I$5:$I$7,J153)=1,COUNTIF(Vocabulary!$I$5:$I$7,K153)=1,COUNTIF(Vocabulary!$J$5:$J$6,L153)=1),"OK","UNRECOGNISED_ROUTING_VALUE"))</f>
        <v/>
      </c>
    </row>
    <row r="154">
      <c r="M154">
        <f>IF(COUNTA(A154:L154)=0,"",IF(OR(LEN(TRIM(B154))=0,LEN(TRIM(C154))=0,LEN(TRIM(D154))=0,LEN(TRIM(E154))=0,LEN(TRIM(F154))=0,LEN(TRIM(G154))=0,LEN(TRIM(H154))=0,LEN(TRIM(I154))=0,LEN(TRIM(J154))=0,LEN(TRIM(K154))=0,LEN(TRIM(L154))=0),"Undetermined - incomplete routing",IF(Q154&lt;&gt;"OK","Undetermined - unrecognized routing value",IF(OR(D154="High",D154="Catastrophic/systemic",E154="Material",E154="Fundamental or uncertain",F154="Difficult to reverse",F154="Irreversible or unknown",G154="National/transnational/ecological",H154="Frontier or unknown",I154="Affected-party dispute or unknown"),"AF-High-Consequence",IF(OR(D154="Moderate",E154="Limited reversible",F154="Partly reversible",G154="Regional/sectoral",H154="Novel",I154="High"),"AF-Standard","AF-Lite")))))</f>
        <v/>
      </c>
      <c r="O154">
        <f>IF(AND(M154="",N154=""),"",IF(AND(M154&lt;&gt;"",N154=""),"UNRECORDED",IF(AND(M154="",N154&lt;&gt;""),"ORPHAN_RECORDED",IF(M154=N154,"MATCH","MISMATCH"))))</f>
        <v/>
      </c>
      <c r="Q154" s="303">
        <f>IF(COUNTA(A154:L154)=0,"",IF(AND(COUNTIF(Vocabulary!$C$5:$C$8,D154)=1,COUNTIF(Vocabulary!$D$5:$D$8,E154)=1,COUNTIF(Vocabulary!$E$5:$E$8,F154)=1,COUNTIF(Vocabulary!$F$5:$F$8,G154)=1,COUNTIF(Vocabulary!$G$5:$G$8,H154)=1,COUNTIF(Vocabulary!$H$5:$H$8,I154)=1,COUNTIF(Vocabulary!$I$5:$I$7,J154)=1,COUNTIF(Vocabulary!$I$5:$I$7,K154)=1,COUNTIF(Vocabulary!$J$5:$J$6,L154)=1),"OK","UNRECOGNISED_ROUTING_VALUE"))</f>
        <v/>
      </c>
    </row>
    <row r="155">
      <c r="M155">
        <f>IF(COUNTA(A155:L155)=0,"",IF(OR(LEN(TRIM(B155))=0,LEN(TRIM(C155))=0,LEN(TRIM(D155))=0,LEN(TRIM(E155))=0,LEN(TRIM(F155))=0,LEN(TRIM(G155))=0,LEN(TRIM(H155))=0,LEN(TRIM(I155))=0,LEN(TRIM(J155))=0,LEN(TRIM(K155))=0,LEN(TRIM(L155))=0),"Undetermined - incomplete routing",IF(Q155&lt;&gt;"OK","Undetermined - unrecognized routing value",IF(OR(D155="High",D155="Catastrophic/systemic",E155="Material",E155="Fundamental or uncertain",F155="Difficult to reverse",F155="Irreversible or unknown",G155="National/transnational/ecological",H155="Frontier or unknown",I155="Affected-party dispute or unknown"),"AF-High-Consequence",IF(OR(D155="Moderate",E155="Limited reversible",F155="Partly reversible",G155="Regional/sectoral",H155="Novel",I155="High"),"AF-Standard","AF-Lite")))))</f>
        <v/>
      </c>
      <c r="O155">
        <f>IF(AND(M155="",N155=""),"",IF(AND(M155&lt;&gt;"",N155=""),"UNRECORDED",IF(AND(M155="",N155&lt;&gt;""),"ORPHAN_RECORDED",IF(M155=N155,"MATCH","MISMATCH"))))</f>
        <v/>
      </c>
      <c r="Q155" s="303">
        <f>IF(COUNTA(A155:L155)=0,"",IF(AND(COUNTIF(Vocabulary!$C$5:$C$8,D155)=1,COUNTIF(Vocabulary!$D$5:$D$8,E155)=1,COUNTIF(Vocabulary!$E$5:$E$8,F155)=1,COUNTIF(Vocabulary!$F$5:$F$8,G155)=1,COUNTIF(Vocabulary!$G$5:$G$8,H155)=1,COUNTIF(Vocabulary!$H$5:$H$8,I155)=1,COUNTIF(Vocabulary!$I$5:$I$7,J155)=1,COUNTIF(Vocabulary!$I$5:$I$7,K155)=1,COUNTIF(Vocabulary!$J$5:$J$6,L155)=1),"OK","UNRECOGNISED_ROUTING_VALUE"))</f>
        <v/>
      </c>
    </row>
    <row r="156">
      <c r="M156">
        <f>IF(COUNTA(A156:L156)=0,"",IF(OR(LEN(TRIM(B156))=0,LEN(TRIM(C156))=0,LEN(TRIM(D156))=0,LEN(TRIM(E156))=0,LEN(TRIM(F156))=0,LEN(TRIM(G156))=0,LEN(TRIM(H156))=0,LEN(TRIM(I156))=0,LEN(TRIM(J156))=0,LEN(TRIM(K156))=0,LEN(TRIM(L156))=0),"Undetermined - incomplete routing",IF(Q156&lt;&gt;"OK","Undetermined - unrecognized routing value",IF(OR(D156="High",D156="Catastrophic/systemic",E156="Material",E156="Fundamental or uncertain",F156="Difficult to reverse",F156="Irreversible or unknown",G156="National/transnational/ecological",H156="Frontier or unknown",I156="Affected-party dispute or unknown"),"AF-High-Consequence",IF(OR(D156="Moderate",E156="Limited reversible",F156="Partly reversible",G156="Regional/sectoral",H156="Novel",I156="High"),"AF-Standard","AF-Lite")))))</f>
        <v/>
      </c>
      <c r="O156">
        <f>IF(AND(M156="",N156=""),"",IF(AND(M156&lt;&gt;"",N156=""),"UNRECORDED",IF(AND(M156="",N156&lt;&gt;""),"ORPHAN_RECORDED",IF(M156=N156,"MATCH","MISMATCH"))))</f>
        <v/>
      </c>
      <c r="Q156" s="303">
        <f>IF(COUNTA(A156:L156)=0,"",IF(AND(COUNTIF(Vocabulary!$C$5:$C$8,D156)=1,COUNTIF(Vocabulary!$D$5:$D$8,E156)=1,COUNTIF(Vocabulary!$E$5:$E$8,F156)=1,COUNTIF(Vocabulary!$F$5:$F$8,G156)=1,COUNTIF(Vocabulary!$G$5:$G$8,H156)=1,COUNTIF(Vocabulary!$H$5:$H$8,I156)=1,COUNTIF(Vocabulary!$I$5:$I$7,J156)=1,COUNTIF(Vocabulary!$I$5:$I$7,K156)=1,COUNTIF(Vocabulary!$J$5:$J$6,L156)=1),"OK","UNRECOGNISED_ROUTING_VALUE"))</f>
        <v/>
      </c>
    </row>
    <row r="157">
      <c r="M157">
        <f>IF(COUNTA(A157:L157)=0,"",IF(OR(LEN(TRIM(B157))=0,LEN(TRIM(C157))=0,LEN(TRIM(D157))=0,LEN(TRIM(E157))=0,LEN(TRIM(F157))=0,LEN(TRIM(G157))=0,LEN(TRIM(H157))=0,LEN(TRIM(I157))=0,LEN(TRIM(J157))=0,LEN(TRIM(K157))=0,LEN(TRIM(L157))=0),"Undetermined - incomplete routing",IF(Q157&lt;&gt;"OK","Undetermined - unrecognized routing value",IF(OR(D157="High",D157="Catastrophic/systemic",E157="Material",E157="Fundamental or uncertain",F157="Difficult to reverse",F157="Irreversible or unknown",G157="National/transnational/ecological",H157="Frontier or unknown",I157="Affected-party dispute or unknown"),"AF-High-Consequence",IF(OR(D157="Moderate",E157="Limited reversible",F157="Partly reversible",G157="Regional/sectoral",H157="Novel",I157="High"),"AF-Standard","AF-Lite")))))</f>
        <v/>
      </c>
      <c r="O157">
        <f>IF(AND(M157="",N157=""),"",IF(AND(M157&lt;&gt;"",N157=""),"UNRECORDED",IF(AND(M157="",N157&lt;&gt;""),"ORPHAN_RECORDED",IF(M157=N157,"MATCH","MISMATCH"))))</f>
        <v/>
      </c>
      <c r="Q157" s="303">
        <f>IF(COUNTA(A157:L157)=0,"",IF(AND(COUNTIF(Vocabulary!$C$5:$C$8,D157)=1,COUNTIF(Vocabulary!$D$5:$D$8,E157)=1,COUNTIF(Vocabulary!$E$5:$E$8,F157)=1,COUNTIF(Vocabulary!$F$5:$F$8,G157)=1,COUNTIF(Vocabulary!$G$5:$G$8,H157)=1,COUNTIF(Vocabulary!$H$5:$H$8,I157)=1,COUNTIF(Vocabulary!$I$5:$I$7,J157)=1,COUNTIF(Vocabulary!$I$5:$I$7,K157)=1,COUNTIF(Vocabulary!$J$5:$J$6,L157)=1),"OK","UNRECOGNISED_ROUTING_VALUE"))</f>
        <v/>
      </c>
    </row>
    <row r="158">
      <c r="M158">
        <f>IF(COUNTA(A158:L158)=0,"",IF(OR(LEN(TRIM(B158))=0,LEN(TRIM(C158))=0,LEN(TRIM(D158))=0,LEN(TRIM(E158))=0,LEN(TRIM(F158))=0,LEN(TRIM(G158))=0,LEN(TRIM(H158))=0,LEN(TRIM(I158))=0,LEN(TRIM(J158))=0,LEN(TRIM(K158))=0,LEN(TRIM(L158))=0),"Undetermined - incomplete routing",IF(Q158&lt;&gt;"OK","Undetermined - unrecognized routing value",IF(OR(D158="High",D158="Catastrophic/systemic",E158="Material",E158="Fundamental or uncertain",F158="Difficult to reverse",F158="Irreversible or unknown",G158="National/transnational/ecological",H158="Frontier or unknown",I158="Affected-party dispute or unknown"),"AF-High-Consequence",IF(OR(D158="Moderate",E158="Limited reversible",F158="Partly reversible",G158="Regional/sectoral",H158="Novel",I158="High"),"AF-Standard","AF-Lite")))))</f>
        <v/>
      </c>
      <c r="O158">
        <f>IF(AND(M158="",N158=""),"",IF(AND(M158&lt;&gt;"",N158=""),"UNRECORDED",IF(AND(M158="",N158&lt;&gt;""),"ORPHAN_RECORDED",IF(M158=N158,"MATCH","MISMATCH"))))</f>
        <v/>
      </c>
      <c r="Q158" s="303">
        <f>IF(COUNTA(A158:L158)=0,"",IF(AND(COUNTIF(Vocabulary!$C$5:$C$8,D158)=1,COUNTIF(Vocabulary!$D$5:$D$8,E158)=1,COUNTIF(Vocabulary!$E$5:$E$8,F158)=1,COUNTIF(Vocabulary!$F$5:$F$8,G158)=1,COUNTIF(Vocabulary!$G$5:$G$8,H158)=1,COUNTIF(Vocabulary!$H$5:$H$8,I158)=1,COUNTIF(Vocabulary!$I$5:$I$7,J158)=1,COUNTIF(Vocabulary!$I$5:$I$7,K158)=1,COUNTIF(Vocabulary!$J$5:$J$6,L158)=1),"OK","UNRECOGNISED_ROUTING_VALUE"))</f>
        <v/>
      </c>
    </row>
    <row r="159">
      <c r="M159">
        <f>IF(COUNTA(A159:L159)=0,"",IF(OR(LEN(TRIM(B159))=0,LEN(TRIM(C159))=0,LEN(TRIM(D159))=0,LEN(TRIM(E159))=0,LEN(TRIM(F159))=0,LEN(TRIM(G159))=0,LEN(TRIM(H159))=0,LEN(TRIM(I159))=0,LEN(TRIM(J159))=0,LEN(TRIM(K159))=0,LEN(TRIM(L159))=0),"Undetermined - incomplete routing",IF(Q159&lt;&gt;"OK","Undetermined - unrecognized routing value",IF(OR(D159="High",D159="Catastrophic/systemic",E159="Material",E159="Fundamental or uncertain",F159="Difficult to reverse",F159="Irreversible or unknown",G159="National/transnational/ecological",H159="Frontier or unknown",I159="Affected-party dispute or unknown"),"AF-High-Consequence",IF(OR(D159="Moderate",E159="Limited reversible",F159="Partly reversible",G159="Regional/sectoral",H159="Novel",I159="High"),"AF-Standard","AF-Lite")))))</f>
        <v/>
      </c>
      <c r="O159">
        <f>IF(AND(M159="",N159=""),"",IF(AND(M159&lt;&gt;"",N159=""),"UNRECORDED",IF(AND(M159="",N159&lt;&gt;""),"ORPHAN_RECORDED",IF(M159=N159,"MATCH","MISMATCH"))))</f>
        <v/>
      </c>
      <c r="Q159" s="303">
        <f>IF(COUNTA(A159:L159)=0,"",IF(AND(COUNTIF(Vocabulary!$C$5:$C$8,D159)=1,COUNTIF(Vocabulary!$D$5:$D$8,E159)=1,COUNTIF(Vocabulary!$E$5:$E$8,F159)=1,COUNTIF(Vocabulary!$F$5:$F$8,G159)=1,COUNTIF(Vocabulary!$G$5:$G$8,H159)=1,COUNTIF(Vocabulary!$H$5:$H$8,I159)=1,COUNTIF(Vocabulary!$I$5:$I$7,J159)=1,COUNTIF(Vocabulary!$I$5:$I$7,K159)=1,COUNTIF(Vocabulary!$J$5:$J$6,L159)=1),"OK","UNRECOGNISED_ROUTING_VALUE"))</f>
        <v/>
      </c>
    </row>
    <row r="160">
      <c r="M160">
        <f>IF(COUNTA(A160:L160)=0,"",IF(OR(LEN(TRIM(B160))=0,LEN(TRIM(C160))=0,LEN(TRIM(D160))=0,LEN(TRIM(E160))=0,LEN(TRIM(F160))=0,LEN(TRIM(G160))=0,LEN(TRIM(H160))=0,LEN(TRIM(I160))=0,LEN(TRIM(J160))=0,LEN(TRIM(K160))=0,LEN(TRIM(L160))=0),"Undetermined - incomplete routing",IF(Q160&lt;&gt;"OK","Undetermined - unrecognized routing value",IF(OR(D160="High",D160="Catastrophic/systemic",E160="Material",E160="Fundamental or uncertain",F160="Difficult to reverse",F160="Irreversible or unknown",G160="National/transnational/ecological",H160="Frontier or unknown",I160="Affected-party dispute or unknown"),"AF-High-Consequence",IF(OR(D160="Moderate",E160="Limited reversible",F160="Partly reversible",G160="Regional/sectoral",H160="Novel",I160="High"),"AF-Standard","AF-Lite")))))</f>
        <v/>
      </c>
      <c r="O160">
        <f>IF(AND(M160="",N160=""),"",IF(AND(M160&lt;&gt;"",N160=""),"UNRECORDED",IF(AND(M160="",N160&lt;&gt;""),"ORPHAN_RECORDED",IF(M160=N160,"MATCH","MISMATCH"))))</f>
        <v/>
      </c>
      <c r="Q160" s="303">
        <f>IF(COUNTA(A160:L160)=0,"",IF(AND(COUNTIF(Vocabulary!$C$5:$C$8,D160)=1,COUNTIF(Vocabulary!$D$5:$D$8,E160)=1,COUNTIF(Vocabulary!$E$5:$E$8,F160)=1,COUNTIF(Vocabulary!$F$5:$F$8,G160)=1,COUNTIF(Vocabulary!$G$5:$G$8,H160)=1,COUNTIF(Vocabulary!$H$5:$H$8,I160)=1,COUNTIF(Vocabulary!$I$5:$I$7,J160)=1,COUNTIF(Vocabulary!$I$5:$I$7,K160)=1,COUNTIF(Vocabulary!$J$5:$J$6,L160)=1),"OK","UNRECOGNISED_ROUTING_VALUE"))</f>
        <v/>
      </c>
    </row>
    <row r="161">
      <c r="M161">
        <f>IF(COUNTA(A161:L161)=0,"",IF(OR(LEN(TRIM(B161))=0,LEN(TRIM(C161))=0,LEN(TRIM(D161))=0,LEN(TRIM(E161))=0,LEN(TRIM(F161))=0,LEN(TRIM(G161))=0,LEN(TRIM(H161))=0,LEN(TRIM(I161))=0,LEN(TRIM(J161))=0,LEN(TRIM(K161))=0,LEN(TRIM(L161))=0),"Undetermined - incomplete routing",IF(Q161&lt;&gt;"OK","Undetermined - unrecognized routing value",IF(OR(D161="High",D161="Catastrophic/systemic",E161="Material",E161="Fundamental or uncertain",F161="Difficult to reverse",F161="Irreversible or unknown",G161="National/transnational/ecological",H161="Frontier or unknown",I161="Affected-party dispute or unknown"),"AF-High-Consequence",IF(OR(D161="Moderate",E161="Limited reversible",F161="Partly reversible",G161="Regional/sectoral",H161="Novel",I161="High"),"AF-Standard","AF-Lite")))))</f>
        <v/>
      </c>
      <c r="O161">
        <f>IF(AND(M161="",N161=""),"",IF(AND(M161&lt;&gt;"",N161=""),"UNRECORDED",IF(AND(M161="",N161&lt;&gt;""),"ORPHAN_RECORDED",IF(M161=N161,"MATCH","MISMATCH"))))</f>
        <v/>
      </c>
      <c r="Q161" s="303">
        <f>IF(COUNTA(A161:L161)=0,"",IF(AND(COUNTIF(Vocabulary!$C$5:$C$8,D161)=1,COUNTIF(Vocabulary!$D$5:$D$8,E161)=1,COUNTIF(Vocabulary!$E$5:$E$8,F161)=1,COUNTIF(Vocabulary!$F$5:$F$8,G161)=1,COUNTIF(Vocabulary!$G$5:$G$8,H161)=1,COUNTIF(Vocabulary!$H$5:$H$8,I161)=1,COUNTIF(Vocabulary!$I$5:$I$7,J161)=1,COUNTIF(Vocabulary!$I$5:$I$7,K161)=1,COUNTIF(Vocabulary!$J$5:$J$6,L161)=1),"OK","UNRECOGNISED_ROUTING_VALUE"))</f>
        <v/>
      </c>
    </row>
    <row r="162">
      <c r="M162">
        <f>IF(COUNTA(A162:L162)=0,"",IF(OR(LEN(TRIM(B162))=0,LEN(TRIM(C162))=0,LEN(TRIM(D162))=0,LEN(TRIM(E162))=0,LEN(TRIM(F162))=0,LEN(TRIM(G162))=0,LEN(TRIM(H162))=0,LEN(TRIM(I162))=0,LEN(TRIM(J162))=0,LEN(TRIM(K162))=0,LEN(TRIM(L162))=0),"Undetermined - incomplete routing",IF(Q162&lt;&gt;"OK","Undetermined - unrecognized routing value",IF(OR(D162="High",D162="Catastrophic/systemic",E162="Material",E162="Fundamental or uncertain",F162="Difficult to reverse",F162="Irreversible or unknown",G162="National/transnational/ecological",H162="Frontier or unknown",I162="Affected-party dispute or unknown"),"AF-High-Consequence",IF(OR(D162="Moderate",E162="Limited reversible",F162="Partly reversible",G162="Regional/sectoral",H162="Novel",I162="High"),"AF-Standard","AF-Lite")))))</f>
        <v/>
      </c>
      <c r="O162">
        <f>IF(AND(M162="",N162=""),"",IF(AND(M162&lt;&gt;"",N162=""),"UNRECORDED",IF(AND(M162="",N162&lt;&gt;""),"ORPHAN_RECORDED",IF(M162=N162,"MATCH","MISMATCH"))))</f>
        <v/>
      </c>
      <c r="Q162" s="303">
        <f>IF(COUNTA(A162:L162)=0,"",IF(AND(COUNTIF(Vocabulary!$C$5:$C$8,D162)=1,COUNTIF(Vocabulary!$D$5:$D$8,E162)=1,COUNTIF(Vocabulary!$E$5:$E$8,F162)=1,COUNTIF(Vocabulary!$F$5:$F$8,G162)=1,COUNTIF(Vocabulary!$G$5:$G$8,H162)=1,COUNTIF(Vocabulary!$H$5:$H$8,I162)=1,COUNTIF(Vocabulary!$I$5:$I$7,J162)=1,COUNTIF(Vocabulary!$I$5:$I$7,K162)=1,COUNTIF(Vocabulary!$J$5:$J$6,L162)=1),"OK","UNRECOGNISED_ROUTING_VALUE"))</f>
        <v/>
      </c>
    </row>
    <row r="163">
      <c r="M163">
        <f>IF(COUNTA(A163:L163)=0,"",IF(OR(LEN(TRIM(B163))=0,LEN(TRIM(C163))=0,LEN(TRIM(D163))=0,LEN(TRIM(E163))=0,LEN(TRIM(F163))=0,LEN(TRIM(G163))=0,LEN(TRIM(H163))=0,LEN(TRIM(I163))=0,LEN(TRIM(J163))=0,LEN(TRIM(K163))=0,LEN(TRIM(L163))=0),"Undetermined - incomplete routing",IF(Q163&lt;&gt;"OK","Undetermined - unrecognized routing value",IF(OR(D163="High",D163="Catastrophic/systemic",E163="Material",E163="Fundamental or uncertain",F163="Difficult to reverse",F163="Irreversible or unknown",G163="National/transnational/ecological",H163="Frontier or unknown",I163="Affected-party dispute or unknown"),"AF-High-Consequence",IF(OR(D163="Moderate",E163="Limited reversible",F163="Partly reversible",G163="Regional/sectoral",H163="Novel",I163="High"),"AF-Standard","AF-Lite")))))</f>
        <v/>
      </c>
      <c r="O163">
        <f>IF(AND(M163="",N163=""),"",IF(AND(M163&lt;&gt;"",N163=""),"UNRECORDED",IF(AND(M163="",N163&lt;&gt;""),"ORPHAN_RECORDED",IF(M163=N163,"MATCH","MISMATCH"))))</f>
        <v/>
      </c>
      <c r="Q163" s="303">
        <f>IF(COUNTA(A163:L163)=0,"",IF(AND(COUNTIF(Vocabulary!$C$5:$C$8,D163)=1,COUNTIF(Vocabulary!$D$5:$D$8,E163)=1,COUNTIF(Vocabulary!$E$5:$E$8,F163)=1,COUNTIF(Vocabulary!$F$5:$F$8,G163)=1,COUNTIF(Vocabulary!$G$5:$G$8,H163)=1,COUNTIF(Vocabulary!$H$5:$H$8,I163)=1,COUNTIF(Vocabulary!$I$5:$I$7,J163)=1,COUNTIF(Vocabulary!$I$5:$I$7,K163)=1,COUNTIF(Vocabulary!$J$5:$J$6,L163)=1),"OK","UNRECOGNISED_ROUTING_VALUE"))</f>
        <v/>
      </c>
    </row>
    <row r="164">
      <c r="M164">
        <f>IF(COUNTA(A164:L164)=0,"",IF(OR(LEN(TRIM(B164))=0,LEN(TRIM(C164))=0,LEN(TRIM(D164))=0,LEN(TRIM(E164))=0,LEN(TRIM(F164))=0,LEN(TRIM(G164))=0,LEN(TRIM(H164))=0,LEN(TRIM(I164))=0,LEN(TRIM(J164))=0,LEN(TRIM(K164))=0,LEN(TRIM(L164))=0),"Undetermined - incomplete routing",IF(Q164&lt;&gt;"OK","Undetermined - unrecognized routing value",IF(OR(D164="High",D164="Catastrophic/systemic",E164="Material",E164="Fundamental or uncertain",F164="Difficult to reverse",F164="Irreversible or unknown",G164="National/transnational/ecological",H164="Frontier or unknown",I164="Affected-party dispute or unknown"),"AF-High-Consequence",IF(OR(D164="Moderate",E164="Limited reversible",F164="Partly reversible",G164="Regional/sectoral",H164="Novel",I164="High"),"AF-Standard","AF-Lite")))))</f>
        <v/>
      </c>
      <c r="O164">
        <f>IF(AND(M164="",N164=""),"",IF(AND(M164&lt;&gt;"",N164=""),"UNRECORDED",IF(AND(M164="",N164&lt;&gt;""),"ORPHAN_RECORDED",IF(M164=N164,"MATCH","MISMATCH"))))</f>
        <v/>
      </c>
      <c r="Q164" s="303">
        <f>IF(COUNTA(A164:L164)=0,"",IF(AND(COUNTIF(Vocabulary!$C$5:$C$8,D164)=1,COUNTIF(Vocabulary!$D$5:$D$8,E164)=1,COUNTIF(Vocabulary!$E$5:$E$8,F164)=1,COUNTIF(Vocabulary!$F$5:$F$8,G164)=1,COUNTIF(Vocabulary!$G$5:$G$8,H164)=1,COUNTIF(Vocabulary!$H$5:$H$8,I164)=1,COUNTIF(Vocabulary!$I$5:$I$7,J164)=1,COUNTIF(Vocabulary!$I$5:$I$7,K164)=1,COUNTIF(Vocabulary!$J$5:$J$6,L164)=1),"OK","UNRECOGNISED_ROUTING_VALUE"))</f>
        <v/>
      </c>
    </row>
    <row r="165">
      <c r="M165">
        <f>IF(COUNTA(A165:L165)=0,"",IF(OR(LEN(TRIM(B165))=0,LEN(TRIM(C165))=0,LEN(TRIM(D165))=0,LEN(TRIM(E165))=0,LEN(TRIM(F165))=0,LEN(TRIM(G165))=0,LEN(TRIM(H165))=0,LEN(TRIM(I165))=0,LEN(TRIM(J165))=0,LEN(TRIM(K165))=0,LEN(TRIM(L165))=0),"Undetermined - incomplete routing",IF(Q165&lt;&gt;"OK","Undetermined - unrecognized routing value",IF(OR(D165="High",D165="Catastrophic/systemic",E165="Material",E165="Fundamental or uncertain",F165="Difficult to reverse",F165="Irreversible or unknown",G165="National/transnational/ecological",H165="Frontier or unknown",I165="Affected-party dispute or unknown"),"AF-High-Consequence",IF(OR(D165="Moderate",E165="Limited reversible",F165="Partly reversible",G165="Regional/sectoral",H165="Novel",I165="High"),"AF-Standard","AF-Lite")))))</f>
        <v/>
      </c>
      <c r="O165">
        <f>IF(AND(M165="",N165=""),"",IF(AND(M165&lt;&gt;"",N165=""),"UNRECORDED",IF(AND(M165="",N165&lt;&gt;""),"ORPHAN_RECORDED",IF(M165=N165,"MATCH","MISMATCH"))))</f>
        <v/>
      </c>
      <c r="Q165" s="303">
        <f>IF(COUNTA(A165:L165)=0,"",IF(AND(COUNTIF(Vocabulary!$C$5:$C$8,D165)=1,COUNTIF(Vocabulary!$D$5:$D$8,E165)=1,COUNTIF(Vocabulary!$E$5:$E$8,F165)=1,COUNTIF(Vocabulary!$F$5:$F$8,G165)=1,COUNTIF(Vocabulary!$G$5:$G$8,H165)=1,COUNTIF(Vocabulary!$H$5:$H$8,I165)=1,COUNTIF(Vocabulary!$I$5:$I$7,J165)=1,COUNTIF(Vocabulary!$I$5:$I$7,K165)=1,COUNTIF(Vocabulary!$J$5:$J$6,L165)=1),"OK","UNRECOGNISED_ROUTING_VALUE"))</f>
        <v/>
      </c>
    </row>
    <row r="166">
      <c r="M166">
        <f>IF(COUNTA(A166:L166)=0,"",IF(OR(LEN(TRIM(B166))=0,LEN(TRIM(C166))=0,LEN(TRIM(D166))=0,LEN(TRIM(E166))=0,LEN(TRIM(F166))=0,LEN(TRIM(G166))=0,LEN(TRIM(H166))=0,LEN(TRIM(I166))=0,LEN(TRIM(J166))=0,LEN(TRIM(K166))=0,LEN(TRIM(L166))=0),"Undetermined - incomplete routing",IF(Q166&lt;&gt;"OK","Undetermined - unrecognized routing value",IF(OR(D166="High",D166="Catastrophic/systemic",E166="Material",E166="Fundamental or uncertain",F166="Difficult to reverse",F166="Irreversible or unknown",G166="National/transnational/ecological",H166="Frontier or unknown",I166="Affected-party dispute or unknown"),"AF-High-Consequence",IF(OR(D166="Moderate",E166="Limited reversible",F166="Partly reversible",G166="Regional/sectoral",H166="Novel",I166="High"),"AF-Standard","AF-Lite")))))</f>
        <v/>
      </c>
      <c r="O166">
        <f>IF(AND(M166="",N166=""),"",IF(AND(M166&lt;&gt;"",N166=""),"UNRECORDED",IF(AND(M166="",N166&lt;&gt;""),"ORPHAN_RECORDED",IF(M166=N166,"MATCH","MISMATCH"))))</f>
        <v/>
      </c>
      <c r="Q166" s="303">
        <f>IF(COUNTA(A166:L166)=0,"",IF(AND(COUNTIF(Vocabulary!$C$5:$C$8,D166)=1,COUNTIF(Vocabulary!$D$5:$D$8,E166)=1,COUNTIF(Vocabulary!$E$5:$E$8,F166)=1,COUNTIF(Vocabulary!$F$5:$F$8,G166)=1,COUNTIF(Vocabulary!$G$5:$G$8,H166)=1,COUNTIF(Vocabulary!$H$5:$H$8,I166)=1,COUNTIF(Vocabulary!$I$5:$I$7,J166)=1,COUNTIF(Vocabulary!$I$5:$I$7,K166)=1,COUNTIF(Vocabulary!$J$5:$J$6,L166)=1),"OK","UNRECOGNISED_ROUTING_VALUE"))</f>
        <v/>
      </c>
    </row>
    <row r="167">
      <c r="M167">
        <f>IF(COUNTA(A167:L167)=0,"",IF(OR(LEN(TRIM(B167))=0,LEN(TRIM(C167))=0,LEN(TRIM(D167))=0,LEN(TRIM(E167))=0,LEN(TRIM(F167))=0,LEN(TRIM(G167))=0,LEN(TRIM(H167))=0,LEN(TRIM(I167))=0,LEN(TRIM(J167))=0,LEN(TRIM(K167))=0,LEN(TRIM(L167))=0),"Undetermined - incomplete routing",IF(Q167&lt;&gt;"OK","Undetermined - unrecognized routing value",IF(OR(D167="High",D167="Catastrophic/systemic",E167="Material",E167="Fundamental or uncertain",F167="Difficult to reverse",F167="Irreversible or unknown",G167="National/transnational/ecological",H167="Frontier or unknown",I167="Affected-party dispute or unknown"),"AF-High-Consequence",IF(OR(D167="Moderate",E167="Limited reversible",F167="Partly reversible",G167="Regional/sectoral",H167="Novel",I167="High"),"AF-Standard","AF-Lite")))))</f>
        <v/>
      </c>
      <c r="O167">
        <f>IF(AND(M167="",N167=""),"",IF(AND(M167&lt;&gt;"",N167=""),"UNRECORDED",IF(AND(M167="",N167&lt;&gt;""),"ORPHAN_RECORDED",IF(M167=N167,"MATCH","MISMATCH"))))</f>
        <v/>
      </c>
      <c r="Q167" s="303">
        <f>IF(COUNTA(A167:L167)=0,"",IF(AND(COUNTIF(Vocabulary!$C$5:$C$8,D167)=1,COUNTIF(Vocabulary!$D$5:$D$8,E167)=1,COUNTIF(Vocabulary!$E$5:$E$8,F167)=1,COUNTIF(Vocabulary!$F$5:$F$8,G167)=1,COUNTIF(Vocabulary!$G$5:$G$8,H167)=1,COUNTIF(Vocabulary!$H$5:$H$8,I167)=1,COUNTIF(Vocabulary!$I$5:$I$7,J167)=1,COUNTIF(Vocabulary!$I$5:$I$7,K167)=1,COUNTIF(Vocabulary!$J$5:$J$6,L167)=1),"OK","UNRECOGNISED_ROUTING_VALUE"))</f>
        <v/>
      </c>
    </row>
    <row r="168">
      <c r="M168">
        <f>IF(COUNTA(A168:L168)=0,"",IF(OR(LEN(TRIM(B168))=0,LEN(TRIM(C168))=0,LEN(TRIM(D168))=0,LEN(TRIM(E168))=0,LEN(TRIM(F168))=0,LEN(TRIM(G168))=0,LEN(TRIM(H168))=0,LEN(TRIM(I168))=0,LEN(TRIM(J168))=0,LEN(TRIM(K168))=0,LEN(TRIM(L168))=0),"Undetermined - incomplete routing",IF(Q168&lt;&gt;"OK","Undetermined - unrecognized routing value",IF(OR(D168="High",D168="Catastrophic/systemic",E168="Material",E168="Fundamental or uncertain",F168="Difficult to reverse",F168="Irreversible or unknown",G168="National/transnational/ecological",H168="Frontier or unknown",I168="Affected-party dispute or unknown"),"AF-High-Consequence",IF(OR(D168="Moderate",E168="Limited reversible",F168="Partly reversible",G168="Regional/sectoral",H168="Novel",I168="High"),"AF-Standard","AF-Lite")))))</f>
        <v/>
      </c>
      <c r="O168">
        <f>IF(AND(M168="",N168=""),"",IF(AND(M168&lt;&gt;"",N168=""),"UNRECORDED",IF(AND(M168="",N168&lt;&gt;""),"ORPHAN_RECORDED",IF(M168=N168,"MATCH","MISMATCH"))))</f>
        <v/>
      </c>
      <c r="Q168" s="303">
        <f>IF(COUNTA(A168:L168)=0,"",IF(AND(COUNTIF(Vocabulary!$C$5:$C$8,D168)=1,COUNTIF(Vocabulary!$D$5:$D$8,E168)=1,COUNTIF(Vocabulary!$E$5:$E$8,F168)=1,COUNTIF(Vocabulary!$F$5:$F$8,G168)=1,COUNTIF(Vocabulary!$G$5:$G$8,H168)=1,COUNTIF(Vocabulary!$H$5:$H$8,I168)=1,COUNTIF(Vocabulary!$I$5:$I$7,J168)=1,COUNTIF(Vocabulary!$I$5:$I$7,K168)=1,COUNTIF(Vocabulary!$J$5:$J$6,L168)=1),"OK","UNRECOGNISED_ROUTING_VALUE"))</f>
        <v/>
      </c>
    </row>
    <row r="169">
      <c r="M169">
        <f>IF(COUNTA(A169:L169)=0,"",IF(OR(LEN(TRIM(B169))=0,LEN(TRIM(C169))=0,LEN(TRIM(D169))=0,LEN(TRIM(E169))=0,LEN(TRIM(F169))=0,LEN(TRIM(G169))=0,LEN(TRIM(H169))=0,LEN(TRIM(I169))=0,LEN(TRIM(J169))=0,LEN(TRIM(K169))=0,LEN(TRIM(L169))=0),"Undetermined - incomplete routing",IF(Q169&lt;&gt;"OK","Undetermined - unrecognized routing value",IF(OR(D169="High",D169="Catastrophic/systemic",E169="Material",E169="Fundamental or uncertain",F169="Difficult to reverse",F169="Irreversible or unknown",G169="National/transnational/ecological",H169="Frontier or unknown",I169="Affected-party dispute or unknown"),"AF-High-Consequence",IF(OR(D169="Moderate",E169="Limited reversible",F169="Partly reversible",G169="Regional/sectoral",H169="Novel",I169="High"),"AF-Standard","AF-Lite")))))</f>
        <v/>
      </c>
      <c r="O169">
        <f>IF(AND(M169="",N169=""),"",IF(AND(M169&lt;&gt;"",N169=""),"UNRECORDED",IF(AND(M169="",N169&lt;&gt;""),"ORPHAN_RECORDED",IF(M169=N169,"MATCH","MISMATCH"))))</f>
        <v/>
      </c>
      <c r="Q169" s="303">
        <f>IF(COUNTA(A169:L169)=0,"",IF(AND(COUNTIF(Vocabulary!$C$5:$C$8,D169)=1,COUNTIF(Vocabulary!$D$5:$D$8,E169)=1,COUNTIF(Vocabulary!$E$5:$E$8,F169)=1,COUNTIF(Vocabulary!$F$5:$F$8,G169)=1,COUNTIF(Vocabulary!$G$5:$G$8,H169)=1,COUNTIF(Vocabulary!$H$5:$H$8,I169)=1,COUNTIF(Vocabulary!$I$5:$I$7,J169)=1,COUNTIF(Vocabulary!$I$5:$I$7,K169)=1,COUNTIF(Vocabulary!$J$5:$J$6,L169)=1),"OK","UNRECOGNISED_ROUTING_VALUE"))</f>
        <v/>
      </c>
    </row>
    <row r="170">
      <c r="M170">
        <f>IF(COUNTA(A170:L170)=0,"",IF(OR(LEN(TRIM(B170))=0,LEN(TRIM(C170))=0,LEN(TRIM(D170))=0,LEN(TRIM(E170))=0,LEN(TRIM(F170))=0,LEN(TRIM(G170))=0,LEN(TRIM(H170))=0,LEN(TRIM(I170))=0,LEN(TRIM(J170))=0,LEN(TRIM(K170))=0,LEN(TRIM(L170))=0),"Undetermined - incomplete routing",IF(Q170&lt;&gt;"OK","Undetermined - unrecognized routing value",IF(OR(D170="High",D170="Catastrophic/systemic",E170="Material",E170="Fundamental or uncertain",F170="Difficult to reverse",F170="Irreversible or unknown",G170="National/transnational/ecological",H170="Frontier or unknown",I170="Affected-party dispute or unknown"),"AF-High-Consequence",IF(OR(D170="Moderate",E170="Limited reversible",F170="Partly reversible",G170="Regional/sectoral",H170="Novel",I170="High"),"AF-Standard","AF-Lite")))))</f>
        <v/>
      </c>
      <c r="O170">
        <f>IF(AND(M170="",N170=""),"",IF(AND(M170&lt;&gt;"",N170=""),"UNRECORDED",IF(AND(M170="",N170&lt;&gt;""),"ORPHAN_RECORDED",IF(M170=N170,"MATCH","MISMATCH"))))</f>
        <v/>
      </c>
      <c r="Q170" s="303">
        <f>IF(COUNTA(A170:L170)=0,"",IF(AND(COUNTIF(Vocabulary!$C$5:$C$8,D170)=1,COUNTIF(Vocabulary!$D$5:$D$8,E170)=1,COUNTIF(Vocabulary!$E$5:$E$8,F170)=1,COUNTIF(Vocabulary!$F$5:$F$8,G170)=1,COUNTIF(Vocabulary!$G$5:$G$8,H170)=1,COUNTIF(Vocabulary!$H$5:$H$8,I170)=1,COUNTIF(Vocabulary!$I$5:$I$7,J170)=1,COUNTIF(Vocabulary!$I$5:$I$7,K170)=1,COUNTIF(Vocabulary!$J$5:$J$6,L170)=1),"OK","UNRECOGNISED_ROUTING_VALUE"))</f>
        <v/>
      </c>
    </row>
    <row r="171">
      <c r="M171">
        <f>IF(COUNTA(A171:L171)=0,"",IF(OR(LEN(TRIM(B171))=0,LEN(TRIM(C171))=0,LEN(TRIM(D171))=0,LEN(TRIM(E171))=0,LEN(TRIM(F171))=0,LEN(TRIM(G171))=0,LEN(TRIM(H171))=0,LEN(TRIM(I171))=0,LEN(TRIM(J171))=0,LEN(TRIM(K171))=0,LEN(TRIM(L171))=0),"Undetermined - incomplete routing",IF(Q171&lt;&gt;"OK","Undetermined - unrecognized routing value",IF(OR(D171="High",D171="Catastrophic/systemic",E171="Material",E171="Fundamental or uncertain",F171="Difficult to reverse",F171="Irreversible or unknown",G171="National/transnational/ecological",H171="Frontier or unknown",I171="Affected-party dispute or unknown"),"AF-High-Consequence",IF(OR(D171="Moderate",E171="Limited reversible",F171="Partly reversible",G171="Regional/sectoral",H171="Novel",I171="High"),"AF-Standard","AF-Lite")))))</f>
        <v/>
      </c>
      <c r="O171">
        <f>IF(AND(M171="",N171=""),"",IF(AND(M171&lt;&gt;"",N171=""),"UNRECORDED",IF(AND(M171="",N171&lt;&gt;""),"ORPHAN_RECORDED",IF(M171=N171,"MATCH","MISMATCH"))))</f>
        <v/>
      </c>
      <c r="Q171" s="303">
        <f>IF(COUNTA(A171:L171)=0,"",IF(AND(COUNTIF(Vocabulary!$C$5:$C$8,D171)=1,COUNTIF(Vocabulary!$D$5:$D$8,E171)=1,COUNTIF(Vocabulary!$E$5:$E$8,F171)=1,COUNTIF(Vocabulary!$F$5:$F$8,G171)=1,COUNTIF(Vocabulary!$G$5:$G$8,H171)=1,COUNTIF(Vocabulary!$H$5:$H$8,I171)=1,COUNTIF(Vocabulary!$I$5:$I$7,J171)=1,COUNTIF(Vocabulary!$I$5:$I$7,K171)=1,COUNTIF(Vocabulary!$J$5:$J$6,L171)=1),"OK","UNRECOGNISED_ROUTING_VALUE"))</f>
        <v/>
      </c>
    </row>
    <row r="172">
      <c r="M172">
        <f>IF(COUNTA(A172:L172)=0,"",IF(OR(LEN(TRIM(B172))=0,LEN(TRIM(C172))=0,LEN(TRIM(D172))=0,LEN(TRIM(E172))=0,LEN(TRIM(F172))=0,LEN(TRIM(G172))=0,LEN(TRIM(H172))=0,LEN(TRIM(I172))=0,LEN(TRIM(J172))=0,LEN(TRIM(K172))=0,LEN(TRIM(L172))=0),"Undetermined - incomplete routing",IF(Q172&lt;&gt;"OK","Undetermined - unrecognized routing value",IF(OR(D172="High",D172="Catastrophic/systemic",E172="Material",E172="Fundamental or uncertain",F172="Difficult to reverse",F172="Irreversible or unknown",G172="National/transnational/ecological",H172="Frontier or unknown",I172="Affected-party dispute or unknown"),"AF-High-Consequence",IF(OR(D172="Moderate",E172="Limited reversible",F172="Partly reversible",G172="Regional/sectoral",H172="Novel",I172="High"),"AF-Standard","AF-Lite")))))</f>
        <v/>
      </c>
      <c r="O172">
        <f>IF(AND(M172="",N172=""),"",IF(AND(M172&lt;&gt;"",N172=""),"UNRECORDED",IF(AND(M172="",N172&lt;&gt;""),"ORPHAN_RECORDED",IF(M172=N172,"MATCH","MISMATCH"))))</f>
        <v/>
      </c>
      <c r="Q172" s="303">
        <f>IF(COUNTA(A172:L172)=0,"",IF(AND(COUNTIF(Vocabulary!$C$5:$C$8,D172)=1,COUNTIF(Vocabulary!$D$5:$D$8,E172)=1,COUNTIF(Vocabulary!$E$5:$E$8,F172)=1,COUNTIF(Vocabulary!$F$5:$F$8,G172)=1,COUNTIF(Vocabulary!$G$5:$G$8,H172)=1,COUNTIF(Vocabulary!$H$5:$H$8,I172)=1,COUNTIF(Vocabulary!$I$5:$I$7,J172)=1,COUNTIF(Vocabulary!$I$5:$I$7,K172)=1,COUNTIF(Vocabulary!$J$5:$J$6,L172)=1),"OK","UNRECOGNISED_ROUTING_VALUE"))</f>
        <v/>
      </c>
    </row>
    <row r="173">
      <c r="M173">
        <f>IF(COUNTA(A173:L173)=0,"",IF(OR(LEN(TRIM(B173))=0,LEN(TRIM(C173))=0,LEN(TRIM(D173))=0,LEN(TRIM(E173))=0,LEN(TRIM(F173))=0,LEN(TRIM(G173))=0,LEN(TRIM(H173))=0,LEN(TRIM(I173))=0,LEN(TRIM(J173))=0,LEN(TRIM(K173))=0,LEN(TRIM(L173))=0),"Undetermined - incomplete routing",IF(Q173&lt;&gt;"OK","Undetermined - unrecognized routing value",IF(OR(D173="High",D173="Catastrophic/systemic",E173="Material",E173="Fundamental or uncertain",F173="Difficult to reverse",F173="Irreversible or unknown",G173="National/transnational/ecological",H173="Frontier or unknown",I173="Affected-party dispute or unknown"),"AF-High-Consequence",IF(OR(D173="Moderate",E173="Limited reversible",F173="Partly reversible",G173="Regional/sectoral",H173="Novel",I173="High"),"AF-Standard","AF-Lite")))))</f>
        <v/>
      </c>
      <c r="O173">
        <f>IF(AND(M173="",N173=""),"",IF(AND(M173&lt;&gt;"",N173=""),"UNRECORDED",IF(AND(M173="",N173&lt;&gt;""),"ORPHAN_RECORDED",IF(M173=N173,"MATCH","MISMATCH"))))</f>
        <v/>
      </c>
      <c r="Q173" s="303">
        <f>IF(COUNTA(A173:L173)=0,"",IF(AND(COUNTIF(Vocabulary!$C$5:$C$8,D173)=1,COUNTIF(Vocabulary!$D$5:$D$8,E173)=1,COUNTIF(Vocabulary!$E$5:$E$8,F173)=1,COUNTIF(Vocabulary!$F$5:$F$8,G173)=1,COUNTIF(Vocabulary!$G$5:$G$8,H173)=1,COUNTIF(Vocabulary!$H$5:$H$8,I173)=1,COUNTIF(Vocabulary!$I$5:$I$7,J173)=1,COUNTIF(Vocabulary!$I$5:$I$7,K173)=1,COUNTIF(Vocabulary!$J$5:$J$6,L173)=1),"OK","UNRECOGNISED_ROUTING_VALUE"))</f>
        <v/>
      </c>
    </row>
    <row r="174">
      <c r="M174">
        <f>IF(COUNTA(A174:L174)=0,"",IF(OR(LEN(TRIM(B174))=0,LEN(TRIM(C174))=0,LEN(TRIM(D174))=0,LEN(TRIM(E174))=0,LEN(TRIM(F174))=0,LEN(TRIM(G174))=0,LEN(TRIM(H174))=0,LEN(TRIM(I174))=0,LEN(TRIM(J174))=0,LEN(TRIM(K174))=0,LEN(TRIM(L174))=0),"Undetermined - incomplete routing",IF(Q174&lt;&gt;"OK","Undetermined - unrecognized routing value",IF(OR(D174="High",D174="Catastrophic/systemic",E174="Material",E174="Fundamental or uncertain",F174="Difficult to reverse",F174="Irreversible or unknown",G174="National/transnational/ecological",H174="Frontier or unknown",I174="Affected-party dispute or unknown"),"AF-High-Consequence",IF(OR(D174="Moderate",E174="Limited reversible",F174="Partly reversible",G174="Regional/sectoral",H174="Novel",I174="High"),"AF-Standard","AF-Lite")))))</f>
        <v/>
      </c>
      <c r="O174">
        <f>IF(AND(M174="",N174=""),"",IF(AND(M174&lt;&gt;"",N174=""),"UNRECORDED",IF(AND(M174="",N174&lt;&gt;""),"ORPHAN_RECORDED",IF(M174=N174,"MATCH","MISMATCH"))))</f>
        <v/>
      </c>
      <c r="Q174" s="303">
        <f>IF(COUNTA(A174:L174)=0,"",IF(AND(COUNTIF(Vocabulary!$C$5:$C$8,D174)=1,COUNTIF(Vocabulary!$D$5:$D$8,E174)=1,COUNTIF(Vocabulary!$E$5:$E$8,F174)=1,COUNTIF(Vocabulary!$F$5:$F$8,G174)=1,COUNTIF(Vocabulary!$G$5:$G$8,H174)=1,COUNTIF(Vocabulary!$H$5:$H$8,I174)=1,COUNTIF(Vocabulary!$I$5:$I$7,J174)=1,COUNTIF(Vocabulary!$I$5:$I$7,K174)=1,COUNTIF(Vocabulary!$J$5:$J$6,L174)=1),"OK","UNRECOGNISED_ROUTING_VALUE"))</f>
        <v/>
      </c>
    </row>
    <row r="175">
      <c r="M175">
        <f>IF(COUNTA(A175:L175)=0,"",IF(OR(LEN(TRIM(B175))=0,LEN(TRIM(C175))=0,LEN(TRIM(D175))=0,LEN(TRIM(E175))=0,LEN(TRIM(F175))=0,LEN(TRIM(G175))=0,LEN(TRIM(H175))=0,LEN(TRIM(I175))=0,LEN(TRIM(J175))=0,LEN(TRIM(K175))=0,LEN(TRIM(L175))=0),"Undetermined - incomplete routing",IF(Q175&lt;&gt;"OK","Undetermined - unrecognized routing value",IF(OR(D175="High",D175="Catastrophic/systemic",E175="Material",E175="Fundamental or uncertain",F175="Difficult to reverse",F175="Irreversible or unknown",G175="National/transnational/ecological",H175="Frontier or unknown",I175="Affected-party dispute or unknown"),"AF-High-Consequence",IF(OR(D175="Moderate",E175="Limited reversible",F175="Partly reversible",G175="Regional/sectoral",H175="Novel",I175="High"),"AF-Standard","AF-Lite")))))</f>
        <v/>
      </c>
      <c r="O175">
        <f>IF(AND(M175="",N175=""),"",IF(AND(M175&lt;&gt;"",N175=""),"UNRECORDED",IF(AND(M175="",N175&lt;&gt;""),"ORPHAN_RECORDED",IF(M175=N175,"MATCH","MISMATCH"))))</f>
        <v/>
      </c>
      <c r="Q175" s="303">
        <f>IF(COUNTA(A175:L175)=0,"",IF(AND(COUNTIF(Vocabulary!$C$5:$C$8,D175)=1,COUNTIF(Vocabulary!$D$5:$D$8,E175)=1,COUNTIF(Vocabulary!$E$5:$E$8,F175)=1,COUNTIF(Vocabulary!$F$5:$F$8,G175)=1,COUNTIF(Vocabulary!$G$5:$G$8,H175)=1,COUNTIF(Vocabulary!$H$5:$H$8,I175)=1,COUNTIF(Vocabulary!$I$5:$I$7,J175)=1,COUNTIF(Vocabulary!$I$5:$I$7,K175)=1,COUNTIF(Vocabulary!$J$5:$J$6,L175)=1),"OK","UNRECOGNISED_ROUTING_VALUE"))</f>
        <v/>
      </c>
    </row>
    <row r="176">
      <c r="M176">
        <f>IF(COUNTA(A176:L176)=0,"",IF(OR(LEN(TRIM(B176))=0,LEN(TRIM(C176))=0,LEN(TRIM(D176))=0,LEN(TRIM(E176))=0,LEN(TRIM(F176))=0,LEN(TRIM(G176))=0,LEN(TRIM(H176))=0,LEN(TRIM(I176))=0,LEN(TRIM(J176))=0,LEN(TRIM(K176))=0,LEN(TRIM(L176))=0),"Undetermined - incomplete routing",IF(Q176&lt;&gt;"OK","Undetermined - unrecognized routing value",IF(OR(D176="High",D176="Catastrophic/systemic",E176="Material",E176="Fundamental or uncertain",F176="Difficult to reverse",F176="Irreversible or unknown",G176="National/transnational/ecological",H176="Frontier or unknown",I176="Affected-party dispute or unknown"),"AF-High-Consequence",IF(OR(D176="Moderate",E176="Limited reversible",F176="Partly reversible",G176="Regional/sectoral",H176="Novel",I176="High"),"AF-Standard","AF-Lite")))))</f>
        <v/>
      </c>
      <c r="O176">
        <f>IF(AND(M176="",N176=""),"",IF(AND(M176&lt;&gt;"",N176=""),"UNRECORDED",IF(AND(M176="",N176&lt;&gt;""),"ORPHAN_RECORDED",IF(M176=N176,"MATCH","MISMATCH"))))</f>
        <v/>
      </c>
      <c r="Q176" s="303">
        <f>IF(COUNTA(A176:L176)=0,"",IF(AND(COUNTIF(Vocabulary!$C$5:$C$8,D176)=1,COUNTIF(Vocabulary!$D$5:$D$8,E176)=1,COUNTIF(Vocabulary!$E$5:$E$8,F176)=1,COUNTIF(Vocabulary!$F$5:$F$8,G176)=1,COUNTIF(Vocabulary!$G$5:$G$8,H176)=1,COUNTIF(Vocabulary!$H$5:$H$8,I176)=1,COUNTIF(Vocabulary!$I$5:$I$7,J176)=1,COUNTIF(Vocabulary!$I$5:$I$7,K176)=1,COUNTIF(Vocabulary!$J$5:$J$6,L176)=1),"OK","UNRECOGNISED_ROUTING_VALUE"))</f>
        <v/>
      </c>
    </row>
    <row r="177">
      <c r="M177">
        <f>IF(COUNTA(A177:L177)=0,"",IF(OR(LEN(TRIM(B177))=0,LEN(TRIM(C177))=0,LEN(TRIM(D177))=0,LEN(TRIM(E177))=0,LEN(TRIM(F177))=0,LEN(TRIM(G177))=0,LEN(TRIM(H177))=0,LEN(TRIM(I177))=0,LEN(TRIM(J177))=0,LEN(TRIM(K177))=0,LEN(TRIM(L177))=0),"Undetermined - incomplete routing",IF(Q177&lt;&gt;"OK","Undetermined - unrecognized routing value",IF(OR(D177="High",D177="Catastrophic/systemic",E177="Material",E177="Fundamental or uncertain",F177="Difficult to reverse",F177="Irreversible or unknown",G177="National/transnational/ecological",H177="Frontier or unknown",I177="Affected-party dispute or unknown"),"AF-High-Consequence",IF(OR(D177="Moderate",E177="Limited reversible",F177="Partly reversible",G177="Regional/sectoral",H177="Novel",I177="High"),"AF-Standard","AF-Lite")))))</f>
        <v/>
      </c>
      <c r="O177">
        <f>IF(AND(M177="",N177=""),"",IF(AND(M177&lt;&gt;"",N177=""),"UNRECORDED",IF(AND(M177="",N177&lt;&gt;""),"ORPHAN_RECORDED",IF(M177=N177,"MATCH","MISMATCH"))))</f>
        <v/>
      </c>
      <c r="Q177" s="303">
        <f>IF(COUNTA(A177:L177)=0,"",IF(AND(COUNTIF(Vocabulary!$C$5:$C$8,D177)=1,COUNTIF(Vocabulary!$D$5:$D$8,E177)=1,COUNTIF(Vocabulary!$E$5:$E$8,F177)=1,COUNTIF(Vocabulary!$F$5:$F$8,G177)=1,COUNTIF(Vocabulary!$G$5:$G$8,H177)=1,COUNTIF(Vocabulary!$H$5:$H$8,I177)=1,COUNTIF(Vocabulary!$I$5:$I$7,J177)=1,COUNTIF(Vocabulary!$I$5:$I$7,K177)=1,COUNTIF(Vocabulary!$J$5:$J$6,L177)=1),"OK","UNRECOGNISED_ROUTING_VALUE"))</f>
        <v/>
      </c>
    </row>
    <row r="178">
      <c r="M178">
        <f>IF(COUNTA(A178:L178)=0,"",IF(OR(LEN(TRIM(B178))=0,LEN(TRIM(C178))=0,LEN(TRIM(D178))=0,LEN(TRIM(E178))=0,LEN(TRIM(F178))=0,LEN(TRIM(G178))=0,LEN(TRIM(H178))=0,LEN(TRIM(I178))=0,LEN(TRIM(J178))=0,LEN(TRIM(K178))=0,LEN(TRIM(L178))=0),"Undetermined - incomplete routing",IF(Q178&lt;&gt;"OK","Undetermined - unrecognized routing value",IF(OR(D178="High",D178="Catastrophic/systemic",E178="Material",E178="Fundamental or uncertain",F178="Difficult to reverse",F178="Irreversible or unknown",G178="National/transnational/ecological",H178="Frontier or unknown",I178="Affected-party dispute or unknown"),"AF-High-Consequence",IF(OR(D178="Moderate",E178="Limited reversible",F178="Partly reversible",G178="Regional/sectoral",H178="Novel",I178="High"),"AF-Standard","AF-Lite")))))</f>
        <v/>
      </c>
      <c r="O178">
        <f>IF(AND(M178="",N178=""),"",IF(AND(M178&lt;&gt;"",N178=""),"UNRECORDED",IF(AND(M178="",N178&lt;&gt;""),"ORPHAN_RECORDED",IF(M178=N178,"MATCH","MISMATCH"))))</f>
        <v/>
      </c>
      <c r="Q178" s="303">
        <f>IF(COUNTA(A178:L178)=0,"",IF(AND(COUNTIF(Vocabulary!$C$5:$C$8,D178)=1,COUNTIF(Vocabulary!$D$5:$D$8,E178)=1,COUNTIF(Vocabulary!$E$5:$E$8,F178)=1,COUNTIF(Vocabulary!$F$5:$F$8,G178)=1,COUNTIF(Vocabulary!$G$5:$G$8,H178)=1,COUNTIF(Vocabulary!$H$5:$H$8,I178)=1,COUNTIF(Vocabulary!$I$5:$I$7,J178)=1,COUNTIF(Vocabulary!$I$5:$I$7,K178)=1,COUNTIF(Vocabulary!$J$5:$J$6,L178)=1),"OK","UNRECOGNISED_ROUTING_VALUE"))</f>
        <v/>
      </c>
    </row>
    <row r="179">
      <c r="M179">
        <f>IF(COUNTA(A179:L179)=0,"",IF(OR(LEN(TRIM(B179))=0,LEN(TRIM(C179))=0,LEN(TRIM(D179))=0,LEN(TRIM(E179))=0,LEN(TRIM(F179))=0,LEN(TRIM(G179))=0,LEN(TRIM(H179))=0,LEN(TRIM(I179))=0,LEN(TRIM(J179))=0,LEN(TRIM(K179))=0,LEN(TRIM(L179))=0),"Undetermined - incomplete routing",IF(Q179&lt;&gt;"OK","Undetermined - unrecognized routing value",IF(OR(D179="High",D179="Catastrophic/systemic",E179="Material",E179="Fundamental or uncertain",F179="Difficult to reverse",F179="Irreversible or unknown",G179="National/transnational/ecological",H179="Frontier or unknown",I179="Affected-party dispute or unknown"),"AF-High-Consequence",IF(OR(D179="Moderate",E179="Limited reversible",F179="Partly reversible",G179="Regional/sectoral",H179="Novel",I179="High"),"AF-Standard","AF-Lite")))))</f>
        <v/>
      </c>
      <c r="O179">
        <f>IF(AND(M179="",N179=""),"",IF(AND(M179&lt;&gt;"",N179=""),"UNRECORDED",IF(AND(M179="",N179&lt;&gt;""),"ORPHAN_RECORDED",IF(M179=N179,"MATCH","MISMATCH"))))</f>
        <v/>
      </c>
      <c r="Q179" s="303">
        <f>IF(COUNTA(A179:L179)=0,"",IF(AND(COUNTIF(Vocabulary!$C$5:$C$8,D179)=1,COUNTIF(Vocabulary!$D$5:$D$8,E179)=1,COUNTIF(Vocabulary!$E$5:$E$8,F179)=1,COUNTIF(Vocabulary!$F$5:$F$8,G179)=1,COUNTIF(Vocabulary!$G$5:$G$8,H179)=1,COUNTIF(Vocabulary!$H$5:$H$8,I179)=1,COUNTIF(Vocabulary!$I$5:$I$7,J179)=1,COUNTIF(Vocabulary!$I$5:$I$7,K179)=1,COUNTIF(Vocabulary!$J$5:$J$6,L179)=1),"OK","UNRECOGNISED_ROUTING_VALUE"))</f>
        <v/>
      </c>
    </row>
    <row r="180">
      <c r="M180">
        <f>IF(COUNTA(A180:L180)=0,"",IF(OR(LEN(TRIM(B180))=0,LEN(TRIM(C180))=0,LEN(TRIM(D180))=0,LEN(TRIM(E180))=0,LEN(TRIM(F180))=0,LEN(TRIM(G180))=0,LEN(TRIM(H180))=0,LEN(TRIM(I180))=0,LEN(TRIM(J180))=0,LEN(TRIM(K180))=0,LEN(TRIM(L180))=0),"Undetermined - incomplete routing",IF(Q180&lt;&gt;"OK","Undetermined - unrecognized routing value",IF(OR(D180="High",D180="Catastrophic/systemic",E180="Material",E180="Fundamental or uncertain",F180="Difficult to reverse",F180="Irreversible or unknown",G180="National/transnational/ecological",H180="Frontier or unknown",I180="Affected-party dispute or unknown"),"AF-High-Consequence",IF(OR(D180="Moderate",E180="Limited reversible",F180="Partly reversible",G180="Regional/sectoral",H180="Novel",I180="High"),"AF-Standard","AF-Lite")))))</f>
        <v/>
      </c>
      <c r="O180">
        <f>IF(AND(M180="",N180=""),"",IF(AND(M180&lt;&gt;"",N180=""),"UNRECORDED",IF(AND(M180="",N180&lt;&gt;""),"ORPHAN_RECORDED",IF(M180=N180,"MATCH","MISMATCH"))))</f>
        <v/>
      </c>
      <c r="Q180" s="303">
        <f>IF(COUNTA(A180:L180)=0,"",IF(AND(COUNTIF(Vocabulary!$C$5:$C$8,D180)=1,COUNTIF(Vocabulary!$D$5:$D$8,E180)=1,COUNTIF(Vocabulary!$E$5:$E$8,F180)=1,COUNTIF(Vocabulary!$F$5:$F$8,G180)=1,COUNTIF(Vocabulary!$G$5:$G$8,H180)=1,COUNTIF(Vocabulary!$H$5:$H$8,I180)=1,COUNTIF(Vocabulary!$I$5:$I$7,J180)=1,COUNTIF(Vocabulary!$I$5:$I$7,K180)=1,COUNTIF(Vocabulary!$J$5:$J$6,L180)=1),"OK","UNRECOGNISED_ROUTING_VALUE"))</f>
        <v/>
      </c>
    </row>
    <row r="181">
      <c r="M181">
        <f>IF(COUNTA(A181:L181)=0,"",IF(OR(LEN(TRIM(B181))=0,LEN(TRIM(C181))=0,LEN(TRIM(D181))=0,LEN(TRIM(E181))=0,LEN(TRIM(F181))=0,LEN(TRIM(G181))=0,LEN(TRIM(H181))=0,LEN(TRIM(I181))=0,LEN(TRIM(J181))=0,LEN(TRIM(K181))=0,LEN(TRIM(L181))=0),"Undetermined - incomplete routing",IF(Q181&lt;&gt;"OK","Undetermined - unrecognized routing value",IF(OR(D181="High",D181="Catastrophic/systemic",E181="Material",E181="Fundamental or uncertain",F181="Difficult to reverse",F181="Irreversible or unknown",G181="National/transnational/ecological",H181="Frontier or unknown",I181="Affected-party dispute or unknown"),"AF-High-Consequence",IF(OR(D181="Moderate",E181="Limited reversible",F181="Partly reversible",G181="Regional/sectoral",H181="Novel",I181="High"),"AF-Standard","AF-Lite")))))</f>
        <v/>
      </c>
      <c r="O181">
        <f>IF(AND(M181="",N181=""),"",IF(AND(M181&lt;&gt;"",N181=""),"UNRECORDED",IF(AND(M181="",N181&lt;&gt;""),"ORPHAN_RECORDED",IF(M181=N181,"MATCH","MISMATCH"))))</f>
        <v/>
      </c>
      <c r="Q181" s="303">
        <f>IF(COUNTA(A181:L181)=0,"",IF(AND(COUNTIF(Vocabulary!$C$5:$C$8,D181)=1,COUNTIF(Vocabulary!$D$5:$D$8,E181)=1,COUNTIF(Vocabulary!$E$5:$E$8,F181)=1,COUNTIF(Vocabulary!$F$5:$F$8,G181)=1,COUNTIF(Vocabulary!$G$5:$G$8,H181)=1,COUNTIF(Vocabulary!$H$5:$H$8,I181)=1,COUNTIF(Vocabulary!$I$5:$I$7,J181)=1,COUNTIF(Vocabulary!$I$5:$I$7,K181)=1,COUNTIF(Vocabulary!$J$5:$J$6,L181)=1),"OK","UNRECOGNISED_ROUTING_VALUE"))</f>
        <v/>
      </c>
    </row>
    <row r="182">
      <c r="M182">
        <f>IF(COUNTA(A182:L182)=0,"",IF(OR(LEN(TRIM(B182))=0,LEN(TRIM(C182))=0,LEN(TRIM(D182))=0,LEN(TRIM(E182))=0,LEN(TRIM(F182))=0,LEN(TRIM(G182))=0,LEN(TRIM(H182))=0,LEN(TRIM(I182))=0,LEN(TRIM(J182))=0,LEN(TRIM(K182))=0,LEN(TRIM(L182))=0),"Undetermined - incomplete routing",IF(Q182&lt;&gt;"OK","Undetermined - unrecognized routing value",IF(OR(D182="High",D182="Catastrophic/systemic",E182="Material",E182="Fundamental or uncertain",F182="Difficult to reverse",F182="Irreversible or unknown",G182="National/transnational/ecological",H182="Frontier or unknown",I182="Affected-party dispute or unknown"),"AF-High-Consequence",IF(OR(D182="Moderate",E182="Limited reversible",F182="Partly reversible",G182="Regional/sectoral",H182="Novel",I182="High"),"AF-Standard","AF-Lite")))))</f>
        <v/>
      </c>
      <c r="O182">
        <f>IF(AND(M182="",N182=""),"",IF(AND(M182&lt;&gt;"",N182=""),"UNRECORDED",IF(AND(M182="",N182&lt;&gt;""),"ORPHAN_RECORDED",IF(M182=N182,"MATCH","MISMATCH"))))</f>
        <v/>
      </c>
      <c r="Q182" s="303">
        <f>IF(COUNTA(A182:L182)=0,"",IF(AND(COUNTIF(Vocabulary!$C$5:$C$8,D182)=1,COUNTIF(Vocabulary!$D$5:$D$8,E182)=1,COUNTIF(Vocabulary!$E$5:$E$8,F182)=1,COUNTIF(Vocabulary!$F$5:$F$8,G182)=1,COUNTIF(Vocabulary!$G$5:$G$8,H182)=1,COUNTIF(Vocabulary!$H$5:$H$8,I182)=1,COUNTIF(Vocabulary!$I$5:$I$7,J182)=1,COUNTIF(Vocabulary!$I$5:$I$7,K182)=1,COUNTIF(Vocabulary!$J$5:$J$6,L182)=1),"OK","UNRECOGNISED_ROUTING_VALUE"))</f>
        <v/>
      </c>
    </row>
    <row r="183">
      <c r="M183">
        <f>IF(COUNTA(A183:L183)=0,"",IF(OR(LEN(TRIM(B183))=0,LEN(TRIM(C183))=0,LEN(TRIM(D183))=0,LEN(TRIM(E183))=0,LEN(TRIM(F183))=0,LEN(TRIM(G183))=0,LEN(TRIM(H183))=0,LEN(TRIM(I183))=0,LEN(TRIM(J183))=0,LEN(TRIM(K183))=0,LEN(TRIM(L183))=0),"Undetermined - incomplete routing",IF(Q183&lt;&gt;"OK","Undetermined - unrecognized routing value",IF(OR(D183="High",D183="Catastrophic/systemic",E183="Material",E183="Fundamental or uncertain",F183="Difficult to reverse",F183="Irreversible or unknown",G183="National/transnational/ecological",H183="Frontier or unknown",I183="Affected-party dispute or unknown"),"AF-High-Consequence",IF(OR(D183="Moderate",E183="Limited reversible",F183="Partly reversible",G183="Regional/sectoral",H183="Novel",I183="High"),"AF-Standard","AF-Lite")))))</f>
        <v/>
      </c>
      <c r="O183">
        <f>IF(AND(M183="",N183=""),"",IF(AND(M183&lt;&gt;"",N183=""),"UNRECORDED",IF(AND(M183="",N183&lt;&gt;""),"ORPHAN_RECORDED",IF(M183=N183,"MATCH","MISMATCH"))))</f>
        <v/>
      </c>
      <c r="Q183" s="303">
        <f>IF(COUNTA(A183:L183)=0,"",IF(AND(COUNTIF(Vocabulary!$C$5:$C$8,D183)=1,COUNTIF(Vocabulary!$D$5:$D$8,E183)=1,COUNTIF(Vocabulary!$E$5:$E$8,F183)=1,COUNTIF(Vocabulary!$F$5:$F$8,G183)=1,COUNTIF(Vocabulary!$G$5:$G$8,H183)=1,COUNTIF(Vocabulary!$H$5:$H$8,I183)=1,COUNTIF(Vocabulary!$I$5:$I$7,J183)=1,COUNTIF(Vocabulary!$I$5:$I$7,K183)=1,COUNTIF(Vocabulary!$J$5:$J$6,L183)=1),"OK","UNRECOGNISED_ROUTING_VALUE"))</f>
        <v/>
      </c>
    </row>
    <row r="184">
      <c r="M184">
        <f>IF(COUNTA(A184:L184)=0,"",IF(OR(LEN(TRIM(B184))=0,LEN(TRIM(C184))=0,LEN(TRIM(D184))=0,LEN(TRIM(E184))=0,LEN(TRIM(F184))=0,LEN(TRIM(G184))=0,LEN(TRIM(H184))=0,LEN(TRIM(I184))=0,LEN(TRIM(J184))=0,LEN(TRIM(K184))=0,LEN(TRIM(L184))=0),"Undetermined - incomplete routing",IF(Q184&lt;&gt;"OK","Undetermined - unrecognized routing value",IF(OR(D184="High",D184="Catastrophic/systemic",E184="Material",E184="Fundamental or uncertain",F184="Difficult to reverse",F184="Irreversible or unknown",G184="National/transnational/ecological",H184="Frontier or unknown",I184="Affected-party dispute or unknown"),"AF-High-Consequence",IF(OR(D184="Moderate",E184="Limited reversible",F184="Partly reversible",G184="Regional/sectoral",H184="Novel",I184="High"),"AF-Standard","AF-Lite")))))</f>
        <v/>
      </c>
      <c r="O184">
        <f>IF(AND(M184="",N184=""),"",IF(AND(M184&lt;&gt;"",N184=""),"UNRECORDED",IF(AND(M184="",N184&lt;&gt;""),"ORPHAN_RECORDED",IF(M184=N184,"MATCH","MISMATCH"))))</f>
        <v/>
      </c>
      <c r="Q184" s="303">
        <f>IF(COUNTA(A184:L184)=0,"",IF(AND(COUNTIF(Vocabulary!$C$5:$C$8,D184)=1,COUNTIF(Vocabulary!$D$5:$D$8,E184)=1,COUNTIF(Vocabulary!$E$5:$E$8,F184)=1,COUNTIF(Vocabulary!$F$5:$F$8,G184)=1,COUNTIF(Vocabulary!$G$5:$G$8,H184)=1,COUNTIF(Vocabulary!$H$5:$H$8,I184)=1,COUNTIF(Vocabulary!$I$5:$I$7,J184)=1,COUNTIF(Vocabulary!$I$5:$I$7,K184)=1,COUNTIF(Vocabulary!$J$5:$J$6,L184)=1),"OK","UNRECOGNISED_ROUTING_VALUE"))</f>
        <v/>
      </c>
    </row>
    <row r="185">
      <c r="M185">
        <f>IF(COUNTA(A185:L185)=0,"",IF(OR(LEN(TRIM(B185))=0,LEN(TRIM(C185))=0,LEN(TRIM(D185))=0,LEN(TRIM(E185))=0,LEN(TRIM(F185))=0,LEN(TRIM(G185))=0,LEN(TRIM(H185))=0,LEN(TRIM(I185))=0,LEN(TRIM(J185))=0,LEN(TRIM(K185))=0,LEN(TRIM(L185))=0),"Undetermined - incomplete routing",IF(Q185&lt;&gt;"OK","Undetermined - unrecognized routing value",IF(OR(D185="High",D185="Catastrophic/systemic",E185="Material",E185="Fundamental or uncertain",F185="Difficult to reverse",F185="Irreversible or unknown",G185="National/transnational/ecological",H185="Frontier or unknown",I185="Affected-party dispute or unknown"),"AF-High-Consequence",IF(OR(D185="Moderate",E185="Limited reversible",F185="Partly reversible",G185="Regional/sectoral",H185="Novel",I185="High"),"AF-Standard","AF-Lite")))))</f>
        <v/>
      </c>
      <c r="O185">
        <f>IF(AND(M185="",N185=""),"",IF(AND(M185&lt;&gt;"",N185=""),"UNRECORDED",IF(AND(M185="",N185&lt;&gt;""),"ORPHAN_RECORDED",IF(M185=N185,"MATCH","MISMATCH"))))</f>
        <v/>
      </c>
      <c r="Q185" s="303">
        <f>IF(COUNTA(A185:L185)=0,"",IF(AND(COUNTIF(Vocabulary!$C$5:$C$8,D185)=1,COUNTIF(Vocabulary!$D$5:$D$8,E185)=1,COUNTIF(Vocabulary!$E$5:$E$8,F185)=1,COUNTIF(Vocabulary!$F$5:$F$8,G185)=1,COUNTIF(Vocabulary!$G$5:$G$8,H185)=1,COUNTIF(Vocabulary!$H$5:$H$8,I185)=1,COUNTIF(Vocabulary!$I$5:$I$7,J185)=1,COUNTIF(Vocabulary!$I$5:$I$7,K185)=1,COUNTIF(Vocabulary!$J$5:$J$6,L185)=1),"OK","UNRECOGNISED_ROUTING_VALUE"))</f>
        <v/>
      </c>
    </row>
    <row r="186">
      <c r="M186">
        <f>IF(COUNTA(A186:L186)=0,"",IF(OR(LEN(TRIM(B186))=0,LEN(TRIM(C186))=0,LEN(TRIM(D186))=0,LEN(TRIM(E186))=0,LEN(TRIM(F186))=0,LEN(TRIM(G186))=0,LEN(TRIM(H186))=0,LEN(TRIM(I186))=0,LEN(TRIM(J186))=0,LEN(TRIM(K186))=0,LEN(TRIM(L186))=0),"Undetermined - incomplete routing",IF(Q186&lt;&gt;"OK","Undetermined - unrecognized routing value",IF(OR(D186="High",D186="Catastrophic/systemic",E186="Material",E186="Fundamental or uncertain",F186="Difficult to reverse",F186="Irreversible or unknown",G186="National/transnational/ecological",H186="Frontier or unknown",I186="Affected-party dispute or unknown"),"AF-High-Consequence",IF(OR(D186="Moderate",E186="Limited reversible",F186="Partly reversible",G186="Regional/sectoral",H186="Novel",I186="High"),"AF-Standard","AF-Lite")))))</f>
        <v/>
      </c>
      <c r="O186">
        <f>IF(AND(M186="",N186=""),"",IF(AND(M186&lt;&gt;"",N186=""),"UNRECORDED",IF(AND(M186="",N186&lt;&gt;""),"ORPHAN_RECORDED",IF(M186=N186,"MATCH","MISMATCH"))))</f>
        <v/>
      </c>
      <c r="Q186" s="303">
        <f>IF(COUNTA(A186:L186)=0,"",IF(AND(COUNTIF(Vocabulary!$C$5:$C$8,D186)=1,COUNTIF(Vocabulary!$D$5:$D$8,E186)=1,COUNTIF(Vocabulary!$E$5:$E$8,F186)=1,COUNTIF(Vocabulary!$F$5:$F$8,G186)=1,COUNTIF(Vocabulary!$G$5:$G$8,H186)=1,COUNTIF(Vocabulary!$H$5:$H$8,I186)=1,COUNTIF(Vocabulary!$I$5:$I$7,J186)=1,COUNTIF(Vocabulary!$I$5:$I$7,K186)=1,COUNTIF(Vocabulary!$J$5:$J$6,L186)=1),"OK","UNRECOGNISED_ROUTING_VALUE"))</f>
        <v/>
      </c>
    </row>
    <row r="187">
      <c r="M187">
        <f>IF(COUNTA(A187:L187)=0,"",IF(OR(LEN(TRIM(B187))=0,LEN(TRIM(C187))=0,LEN(TRIM(D187))=0,LEN(TRIM(E187))=0,LEN(TRIM(F187))=0,LEN(TRIM(G187))=0,LEN(TRIM(H187))=0,LEN(TRIM(I187))=0,LEN(TRIM(J187))=0,LEN(TRIM(K187))=0,LEN(TRIM(L187))=0),"Undetermined - incomplete routing",IF(Q187&lt;&gt;"OK","Undetermined - unrecognized routing value",IF(OR(D187="High",D187="Catastrophic/systemic",E187="Material",E187="Fundamental or uncertain",F187="Difficult to reverse",F187="Irreversible or unknown",G187="National/transnational/ecological",H187="Frontier or unknown",I187="Affected-party dispute or unknown"),"AF-High-Consequence",IF(OR(D187="Moderate",E187="Limited reversible",F187="Partly reversible",G187="Regional/sectoral",H187="Novel",I187="High"),"AF-Standard","AF-Lite")))))</f>
        <v/>
      </c>
      <c r="O187">
        <f>IF(AND(M187="",N187=""),"",IF(AND(M187&lt;&gt;"",N187=""),"UNRECORDED",IF(AND(M187="",N187&lt;&gt;""),"ORPHAN_RECORDED",IF(M187=N187,"MATCH","MISMATCH"))))</f>
        <v/>
      </c>
      <c r="Q187" s="303">
        <f>IF(COUNTA(A187:L187)=0,"",IF(AND(COUNTIF(Vocabulary!$C$5:$C$8,D187)=1,COUNTIF(Vocabulary!$D$5:$D$8,E187)=1,COUNTIF(Vocabulary!$E$5:$E$8,F187)=1,COUNTIF(Vocabulary!$F$5:$F$8,G187)=1,COUNTIF(Vocabulary!$G$5:$G$8,H187)=1,COUNTIF(Vocabulary!$H$5:$H$8,I187)=1,COUNTIF(Vocabulary!$I$5:$I$7,J187)=1,COUNTIF(Vocabulary!$I$5:$I$7,K187)=1,COUNTIF(Vocabulary!$J$5:$J$6,L187)=1),"OK","UNRECOGNISED_ROUTING_VALUE"))</f>
        <v/>
      </c>
    </row>
    <row r="188">
      <c r="M188">
        <f>IF(COUNTA(A188:L188)=0,"",IF(OR(LEN(TRIM(B188))=0,LEN(TRIM(C188))=0,LEN(TRIM(D188))=0,LEN(TRIM(E188))=0,LEN(TRIM(F188))=0,LEN(TRIM(G188))=0,LEN(TRIM(H188))=0,LEN(TRIM(I188))=0,LEN(TRIM(J188))=0,LEN(TRIM(K188))=0,LEN(TRIM(L188))=0),"Undetermined - incomplete routing",IF(Q188&lt;&gt;"OK","Undetermined - unrecognized routing value",IF(OR(D188="High",D188="Catastrophic/systemic",E188="Material",E188="Fundamental or uncertain",F188="Difficult to reverse",F188="Irreversible or unknown",G188="National/transnational/ecological",H188="Frontier or unknown",I188="Affected-party dispute or unknown"),"AF-High-Consequence",IF(OR(D188="Moderate",E188="Limited reversible",F188="Partly reversible",G188="Regional/sectoral",H188="Novel",I188="High"),"AF-Standard","AF-Lite")))))</f>
        <v/>
      </c>
      <c r="O188">
        <f>IF(AND(M188="",N188=""),"",IF(AND(M188&lt;&gt;"",N188=""),"UNRECORDED",IF(AND(M188="",N188&lt;&gt;""),"ORPHAN_RECORDED",IF(M188=N188,"MATCH","MISMATCH"))))</f>
        <v/>
      </c>
      <c r="Q188" s="303">
        <f>IF(COUNTA(A188:L188)=0,"",IF(AND(COUNTIF(Vocabulary!$C$5:$C$8,D188)=1,COUNTIF(Vocabulary!$D$5:$D$8,E188)=1,COUNTIF(Vocabulary!$E$5:$E$8,F188)=1,COUNTIF(Vocabulary!$F$5:$F$8,G188)=1,COUNTIF(Vocabulary!$G$5:$G$8,H188)=1,COUNTIF(Vocabulary!$H$5:$H$8,I188)=1,COUNTIF(Vocabulary!$I$5:$I$7,J188)=1,COUNTIF(Vocabulary!$I$5:$I$7,K188)=1,COUNTIF(Vocabulary!$J$5:$J$6,L188)=1),"OK","UNRECOGNISED_ROUTING_VALUE"))</f>
        <v/>
      </c>
    </row>
    <row r="189">
      <c r="M189">
        <f>IF(COUNTA(A189:L189)=0,"",IF(OR(LEN(TRIM(B189))=0,LEN(TRIM(C189))=0,LEN(TRIM(D189))=0,LEN(TRIM(E189))=0,LEN(TRIM(F189))=0,LEN(TRIM(G189))=0,LEN(TRIM(H189))=0,LEN(TRIM(I189))=0,LEN(TRIM(J189))=0,LEN(TRIM(K189))=0,LEN(TRIM(L189))=0),"Undetermined - incomplete routing",IF(Q189&lt;&gt;"OK","Undetermined - unrecognized routing value",IF(OR(D189="High",D189="Catastrophic/systemic",E189="Material",E189="Fundamental or uncertain",F189="Difficult to reverse",F189="Irreversible or unknown",G189="National/transnational/ecological",H189="Frontier or unknown",I189="Affected-party dispute or unknown"),"AF-High-Consequence",IF(OR(D189="Moderate",E189="Limited reversible",F189="Partly reversible",G189="Regional/sectoral",H189="Novel",I189="High"),"AF-Standard","AF-Lite")))))</f>
        <v/>
      </c>
      <c r="O189">
        <f>IF(AND(M189="",N189=""),"",IF(AND(M189&lt;&gt;"",N189=""),"UNRECORDED",IF(AND(M189="",N189&lt;&gt;""),"ORPHAN_RECORDED",IF(M189=N189,"MATCH","MISMATCH"))))</f>
        <v/>
      </c>
      <c r="Q189" s="303">
        <f>IF(COUNTA(A189:L189)=0,"",IF(AND(COUNTIF(Vocabulary!$C$5:$C$8,D189)=1,COUNTIF(Vocabulary!$D$5:$D$8,E189)=1,COUNTIF(Vocabulary!$E$5:$E$8,F189)=1,COUNTIF(Vocabulary!$F$5:$F$8,G189)=1,COUNTIF(Vocabulary!$G$5:$G$8,H189)=1,COUNTIF(Vocabulary!$H$5:$H$8,I189)=1,COUNTIF(Vocabulary!$I$5:$I$7,J189)=1,COUNTIF(Vocabulary!$I$5:$I$7,K189)=1,COUNTIF(Vocabulary!$J$5:$J$6,L189)=1),"OK","UNRECOGNISED_ROUTING_VALUE"))</f>
        <v/>
      </c>
    </row>
    <row r="190">
      <c r="M190">
        <f>IF(COUNTA(A190:L190)=0,"",IF(OR(LEN(TRIM(B190))=0,LEN(TRIM(C190))=0,LEN(TRIM(D190))=0,LEN(TRIM(E190))=0,LEN(TRIM(F190))=0,LEN(TRIM(G190))=0,LEN(TRIM(H190))=0,LEN(TRIM(I190))=0,LEN(TRIM(J190))=0,LEN(TRIM(K190))=0,LEN(TRIM(L190))=0),"Undetermined - incomplete routing",IF(Q190&lt;&gt;"OK","Undetermined - unrecognized routing value",IF(OR(D190="High",D190="Catastrophic/systemic",E190="Material",E190="Fundamental or uncertain",F190="Difficult to reverse",F190="Irreversible or unknown",G190="National/transnational/ecological",H190="Frontier or unknown",I190="Affected-party dispute or unknown"),"AF-High-Consequence",IF(OR(D190="Moderate",E190="Limited reversible",F190="Partly reversible",G190="Regional/sectoral",H190="Novel",I190="High"),"AF-Standard","AF-Lite")))))</f>
        <v/>
      </c>
      <c r="O190">
        <f>IF(AND(M190="",N190=""),"",IF(AND(M190&lt;&gt;"",N190=""),"UNRECORDED",IF(AND(M190="",N190&lt;&gt;""),"ORPHAN_RECORDED",IF(M190=N190,"MATCH","MISMATCH"))))</f>
        <v/>
      </c>
      <c r="Q190" s="303">
        <f>IF(COUNTA(A190:L190)=0,"",IF(AND(COUNTIF(Vocabulary!$C$5:$C$8,D190)=1,COUNTIF(Vocabulary!$D$5:$D$8,E190)=1,COUNTIF(Vocabulary!$E$5:$E$8,F190)=1,COUNTIF(Vocabulary!$F$5:$F$8,G190)=1,COUNTIF(Vocabulary!$G$5:$G$8,H190)=1,COUNTIF(Vocabulary!$H$5:$H$8,I190)=1,COUNTIF(Vocabulary!$I$5:$I$7,J190)=1,COUNTIF(Vocabulary!$I$5:$I$7,K190)=1,COUNTIF(Vocabulary!$J$5:$J$6,L190)=1),"OK","UNRECOGNISED_ROUTING_VALUE"))</f>
        <v/>
      </c>
    </row>
    <row r="191">
      <c r="M191">
        <f>IF(COUNTA(A191:L191)=0,"",IF(OR(LEN(TRIM(B191))=0,LEN(TRIM(C191))=0,LEN(TRIM(D191))=0,LEN(TRIM(E191))=0,LEN(TRIM(F191))=0,LEN(TRIM(G191))=0,LEN(TRIM(H191))=0,LEN(TRIM(I191))=0,LEN(TRIM(J191))=0,LEN(TRIM(K191))=0,LEN(TRIM(L191))=0),"Undetermined - incomplete routing",IF(Q191&lt;&gt;"OK","Undetermined - unrecognized routing value",IF(OR(D191="High",D191="Catastrophic/systemic",E191="Material",E191="Fundamental or uncertain",F191="Difficult to reverse",F191="Irreversible or unknown",G191="National/transnational/ecological",H191="Frontier or unknown",I191="Affected-party dispute or unknown"),"AF-High-Consequence",IF(OR(D191="Moderate",E191="Limited reversible",F191="Partly reversible",G191="Regional/sectoral",H191="Novel",I191="High"),"AF-Standard","AF-Lite")))))</f>
        <v/>
      </c>
      <c r="O191">
        <f>IF(AND(M191="",N191=""),"",IF(AND(M191&lt;&gt;"",N191=""),"UNRECORDED",IF(AND(M191="",N191&lt;&gt;""),"ORPHAN_RECORDED",IF(M191=N191,"MATCH","MISMATCH"))))</f>
        <v/>
      </c>
      <c r="Q191" s="303">
        <f>IF(COUNTA(A191:L191)=0,"",IF(AND(COUNTIF(Vocabulary!$C$5:$C$8,D191)=1,COUNTIF(Vocabulary!$D$5:$D$8,E191)=1,COUNTIF(Vocabulary!$E$5:$E$8,F191)=1,COUNTIF(Vocabulary!$F$5:$F$8,G191)=1,COUNTIF(Vocabulary!$G$5:$G$8,H191)=1,COUNTIF(Vocabulary!$H$5:$H$8,I191)=1,COUNTIF(Vocabulary!$I$5:$I$7,J191)=1,COUNTIF(Vocabulary!$I$5:$I$7,K191)=1,COUNTIF(Vocabulary!$J$5:$J$6,L191)=1),"OK","UNRECOGNISED_ROUTING_VALUE"))</f>
        <v/>
      </c>
    </row>
    <row r="192">
      <c r="M192">
        <f>IF(COUNTA(A192:L192)=0,"",IF(OR(LEN(TRIM(B192))=0,LEN(TRIM(C192))=0,LEN(TRIM(D192))=0,LEN(TRIM(E192))=0,LEN(TRIM(F192))=0,LEN(TRIM(G192))=0,LEN(TRIM(H192))=0,LEN(TRIM(I192))=0,LEN(TRIM(J192))=0,LEN(TRIM(K192))=0,LEN(TRIM(L192))=0),"Undetermined - incomplete routing",IF(Q192&lt;&gt;"OK","Undetermined - unrecognized routing value",IF(OR(D192="High",D192="Catastrophic/systemic",E192="Material",E192="Fundamental or uncertain",F192="Difficult to reverse",F192="Irreversible or unknown",G192="National/transnational/ecological",H192="Frontier or unknown",I192="Affected-party dispute or unknown"),"AF-High-Consequence",IF(OR(D192="Moderate",E192="Limited reversible",F192="Partly reversible",G192="Regional/sectoral",H192="Novel",I192="High"),"AF-Standard","AF-Lite")))))</f>
        <v/>
      </c>
      <c r="O192">
        <f>IF(AND(M192="",N192=""),"",IF(AND(M192&lt;&gt;"",N192=""),"UNRECORDED",IF(AND(M192="",N192&lt;&gt;""),"ORPHAN_RECORDED",IF(M192=N192,"MATCH","MISMATCH"))))</f>
        <v/>
      </c>
      <c r="Q192" s="303">
        <f>IF(COUNTA(A192:L192)=0,"",IF(AND(COUNTIF(Vocabulary!$C$5:$C$8,D192)=1,COUNTIF(Vocabulary!$D$5:$D$8,E192)=1,COUNTIF(Vocabulary!$E$5:$E$8,F192)=1,COUNTIF(Vocabulary!$F$5:$F$8,G192)=1,COUNTIF(Vocabulary!$G$5:$G$8,H192)=1,COUNTIF(Vocabulary!$H$5:$H$8,I192)=1,COUNTIF(Vocabulary!$I$5:$I$7,J192)=1,COUNTIF(Vocabulary!$I$5:$I$7,K192)=1,COUNTIF(Vocabulary!$J$5:$J$6,L192)=1),"OK","UNRECOGNISED_ROUTING_VALUE"))</f>
        <v/>
      </c>
    </row>
    <row r="193">
      <c r="M193">
        <f>IF(COUNTA(A193:L193)=0,"",IF(OR(LEN(TRIM(B193))=0,LEN(TRIM(C193))=0,LEN(TRIM(D193))=0,LEN(TRIM(E193))=0,LEN(TRIM(F193))=0,LEN(TRIM(G193))=0,LEN(TRIM(H193))=0,LEN(TRIM(I193))=0,LEN(TRIM(J193))=0,LEN(TRIM(K193))=0,LEN(TRIM(L193))=0),"Undetermined - incomplete routing",IF(Q193&lt;&gt;"OK","Undetermined - unrecognized routing value",IF(OR(D193="High",D193="Catastrophic/systemic",E193="Material",E193="Fundamental or uncertain",F193="Difficult to reverse",F193="Irreversible or unknown",G193="National/transnational/ecological",H193="Frontier or unknown",I193="Affected-party dispute or unknown"),"AF-High-Consequence",IF(OR(D193="Moderate",E193="Limited reversible",F193="Partly reversible",G193="Regional/sectoral",H193="Novel",I193="High"),"AF-Standard","AF-Lite")))))</f>
        <v/>
      </c>
      <c r="O193">
        <f>IF(AND(M193="",N193=""),"",IF(AND(M193&lt;&gt;"",N193=""),"UNRECORDED",IF(AND(M193="",N193&lt;&gt;""),"ORPHAN_RECORDED",IF(M193=N193,"MATCH","MISMATCH"))))</f>
        <v/>
      </c>
      <c r="Q193" s="303">
        <f>IF(COUNTA(A193:L193)=0,"",IF(AND(COUNTIF(Vocabulary!$C$5:$C$8,D193)=1,COUNTIF(Vocabulary!$D$5:$D$8,E193)=1,COUNTIF(Vocabulary!$E$5:$E$8,F193)=1,COUNTIF(Vocabulary!$F$5:$F$8,G193)=1,COUNTIF(Vocabulary!$G$5:$G$8,H193)=1,COUNTIF(Vocabulary!$H$5:$H$8,I193)=1,COUNTIF(Vocabulary!$I$5:$I$7,J193)=1,COUNTIF(Vocabulary!$I$5:$I$7,K193)=1,COUNTIF(Vocabulary!$J$5:$J$6,L193)=1),"OK","UNRECOGNISED_ROUTING_VALUE"))</f>
        <v/>
      </c>
    </row>
    <row r="194">
      <c r="M194">
        <f>IF(COUNTA(A194:L194)=0,"",IF(OR(LEN(TRIM(B194))=0,LEN(TRIM(C194))=0,LEN(TRIM(D194))=0,LEN(TRIM(E194))=0,LEN(TRIM(F194))=0,LEN(TRIM(G194))=0,LEN(TRIM(H194))=0,LEN(TRIM(I194))=0,LEN(TRIM(J194))=0,LEN(TRIM(K194))=0,LEN(TRIM(L194))=0),"Undetermined - incomplete routing",IF(Q194&lt;&gt;"OK","Undetermined - unrecognized routing value",IF(OR(D194="High",D194="Catastrophic/systemic",E194="Material",E194="Fundamental or uncertain",F194="Difficult to reverse",F194="Irreversible or unknown",G194="National/transnational/ecological",H194="Frontier or unknown",I194="Affected-party dispute or unknown"),"AF-High-Consequence",IF(OR(D194="Moderate",E194="Limited reversible",F194="Partly reversible",G194="Regional/sectoral",H194="Novel",I194="High"),"AF-Standard","AF-Lite")))))</f>
        <v/>
      </c>
      <c r="O194">
        <f>IF(AND(M194="",N194=""),"",IF(AND(M194&lt;&gt;"",N194=""),"UNRECORDED",IF(AND(M194="",N194&lt;&gt;""),"ORPHAN_RECORDED",IF(M194=N194,"MATCH","MISMATCH"))))</f>
        <v/>
      </c>
      <c r="Q194" s="303">
        <f>IF(COUNTA(A194:L194)=0,"",IF(AND(COUNTIF(Vocabulary!$C$5:$C$8,D194)=1,COUNTIF(Vocabulary!$D$5:$D$8,E194)=1,COUNTIF(Vocabulary!$E$5:$E$8,F194)=1,COUNTIF(Vocabulary!$F$5:$F$8,G194)=1,COUNTIF(Vocabulary!$G$5:$G$8,H194)=1,COUNTIF(Vocabulary!$H$5:$H$8,I194)=1,COUNTIF(Vocabulary!$I$5:$I$7,J194)=1,COUNTIF(Vocabulary!$I$5:$I$7,K194)=1,COUNTIF(Vocabulary!$J$5:$J$6,L194)=1),"OK","UNRECOGNISED_ROUTING_VALUE"))</f>
        <v/>
      </c>
    </row>
    <row r="195">
      <c r="M195">
        <f>IF(COUNTA(A195:L195)=0,"",IF(OR(LEN(TRIM(B195))=0,LEN(TRIM(C195))=0,LEN(TRIM(D195))=0,LEN(TRIM(E195))=0,LEN(TRIM(F195))=0,LEN(TRIM(G195))=0,LEN(TRIM(H195))=0,LEN(TRIM(I195))=0,LEN(TRIM(J195))=0,LEN(TRIM(K195))=0,LEN(TRIM(L195))=0),"Undetermined - incomplete routing",IF(Q195&lt;&gt;"OK","Undetermined - unrecognized routing value",IF(OR(D195="High",D195="Catastrophic/systemic",E195="Material",E195="Fundamental or uncertain",F195="Difficult to reverse",F195="Irreversible or unknown",G195="National/transnational/ecological",H195="Frontier or unknown",I195="Affected-party dispute or unknown"),"AF-High-Consequence",IF(OR(D195="Moderate",E195="Limited reversible",F195="Partly reversible",G195="Regional/sectoral",H195="Novel",I195="High"),"AF-Standard","AF-Lite")))))</f>
        <v/>
      </c>
      <c r="O195">
        <f>IF(AND(M195="",N195=""),"",IF(AND(M195&lt;&gt;"",N195=""),"UNRECORDED",IF(AND(M195="",N195&lt;&gt;""),"ORPHAN_RECORDED",IF(M195=N195,"MATCH","MISMATCH"))))</f>
        <v/>
      </c>
      <c r="Q195" s="303">
        <f>IF(COUNTA(A195:L195)=0,"",IF(AND(COUNTIF(Vocabulary!$C$5:$C$8,D195)=1,COUNTIF(Vocabulary!$D$5:$D$8,E195)=1,COUNTIF(Vocabulary!$E$5:$E$8,F195)=1,COUNTIF(Vocabulary!$F$5:$F$8,G195)=1,COUNTIF(Vocabulary!$G$5:$G$8,H195)=1,COUNTIF(Vocabulary!$H$5:$H$8,I195)=1,COUNTIF(Vocabulary!$I$5:$I$7,J195)=1,COUNTIF(Vocabulary!$I$5:$I$7,K195)=1,COUNTIF(Vocabulary!$J$5:$J$6,L195)=1),"OK","UNRECOGNISED_ROUTING_VALUE"))</f>
        <v/>
      </c>
    </row>
    <row r="196">
      <c r="M196">
        <f>IF(COUNTA(A196:L196)=0,"",IF(OR(LEN(TRIM(B196))=0,LEN(TRIM(C196))=0,LEN(TRIM(D196))=0,LEN(TRIM(E196))=0,LEN(TRIM(F196))=0,LEN(TRIM(G196))=0,LEN(TRIM(H196))=0,LEN(TRIM(I196))=0,LEN(TRIM(J196))=0,LEN(TRIM(K196))=0,LEN(TRIM(L196))=0),"Undetermined - incomplete routing",IF(Q196&lt;&gt;"OK","Undetermined - unrecognized routing value",IF(OR(D196="High",D196="Catastrophic/systemic",E196="Material",E196="Fundamental or uncertain",F196="Difficult to reverse",F196="Irreversible or unknown",G196="National/transnational/ecological",H196="Frontier or unknown",I196="Affected-party dispute or unknown"),"AF-High-Consequence",IF(OR(D196="Moderate",E196="Limited reversible",F196="Partly reversible",G196="Regional/sectoral",H196="Novel",I196="High"),"AF-Standard","AF-Lite")))))</f>
        <v/>
      </c>
      <c r="O196">
        <f>IF(AND(M196="",N196=""),"",IF(AND(M196&lt;&gt;"",N196=""),"UNRECORDED",IF(AND(M196="",N196&lt;&gt;""),"ORPHAN_RECORDED",IF(M196=N196,"MATCH","MISMATCH"))))</f>
        <v/>
      </c>
      <c r="Q196" s="303">
        <f>IF(COUNTA(A196:L196)=0,"",IF(AND(COUNTIF(Vocabulary!$C$5:$C$8,D196)=1,COUNTIF(Vocabulary!$D$5:$D$8,E196)=1,COUNTIF(Vocabulary!$E$5:$E$8,F196)=1,COUNTIF(Vocabulary!$F$5:$F$8,G196)=1,COUNTIF(Vocabulary!$G$5:$G$8,H196)=1,COUNTIF(Vocabulary!$H$5:$H$8,I196)=1,COUNTIF(Vocabulary!$I$5:$I$7,J196)=1,COUNTIF(Vocabulary!$I$5:$I$7,K196)=1,COUNTIF(Vocabulary!$J$5:$J$6,L196)=1),"OK","UNRECOGNISED_ROUTING_VALUE"))</f>
        <v/>
      </c>
    </row>
    <row r="197">
      <c r="M197">
        <f>IF(COUNTA(A197:L197)=0,"",IF(OR(LEN(TRIM(B197))=0,LEN(TRIM(C197))=0,LEN(TRIM(D197))=0,LEN(TRIM(E197))=0,LEN(TRIM(F197))=0,LEN(TRIM(G197))=0,LEN(TRIM(H197))=0,LEN(TRIM(I197))=0,LEN(TRIM(J197))=0,LEN(TRIM(K197))=0,LEN(TRIM(L197))=0),"Undetermined - incomplete routing",IF(Q197&lt;&gt;"OK","Undetermined - unrecognized routing value",IF(OR(D197="High",D197="Catastrophic/systemic",E197="Material",E197="Fundamental or uncertain",F197="Difficult to reverse",F197="Irreversible or unknown",G197="National/transnational/ecological",H197="Frontier or unknown",I197="Affected-party dispute or unknown"),"AF-High-Consequence",IF(OR(D197="Moderate",E197="Limited reversible",F197="Partly reversible",G197="Regional/sectoral",H197="Novel",I197="High"),"AF-Standard","AF-Lite")))))</f>
        <v/>
      </c>
      <c r="O197">
        <f>IF(AND(M197="",N197=""),"",IF(AND(M197&lt;&gt;"",N197=""),"UNRECORDED",IF(AND(M197="",N197&lt;&gt;""),"ORPHAN_RECORDED",IF(M197=N197,"MATCH","MISMATCH"))))</f>
        <v/>
      </c>
      <c r="Q197" s="303">
        <f>IF(COUNTA(A197:L197)=0,"",IF(AND(COUNTIF(Vocabulary!$C$5:$C$8,D197)=1,COUNTIF(Vocabulary!$D$5:$D$8,E197)=1,COUNTIF(Vocabulary!$E$5:$E$8,F197)=1,COUNTIF(Vocabulary!$F$5:$F$8,G197)=1,COUNTIF(Vocabulary!$G$5:$G$8,H197)=1,COUNTIF(Vocabulary!$H$5:$H$8,I197)=1,COUNTIF(Vocabulary!$I$5:$I$7,J197)=1,COUNTIF(Vocabulary!$I$5:$I$7,K197)=1,COUNTIF(Vocabulary!$J$5:$J$6,L197)=1),"OK","UNRECOGNISED_ROUTING_VALUE"))</f>
        <v/>
      </c>
    </row>
    <row r="198">
      <c r="M198">
        <f>IF(COUNTA(A198:L198)=0,"",IF(OR(LEN(TRIM(B198))=0,LEN(TRIM(C198))=0,LEN(TRIM(D198))=0,LEN(TRIM(E198))=0,LEN(TRIM(F198))=0,LEN(TRIM(G198))=0,LEN(TRIM(H198))=0,LEN(TRIM(I198))=0,LEN(TRIM(J198))=0,LEN(TRIM(K198))=0,LEN(TRIM(L198))=0),"Undetermined - incomplete routing",IF(Q198&lt;&gt;"OK","Undetermined - unrecognized routing value",IF(OR(D198="High",D198="Catastrophic/systemic",E198="Material",E198="Fundamental or uncertain",F198="Difficult to reverse",F198="Irreversible or unknown",G198="National/transnational/ecological",H198="Frontier or unknown",I198="Affected-party dispute or unknown"),"AF-High-Consequence",IF(OR(D198="Moderate",E198="Limited reversible",F198="Partly reversible",G198="Regional/sectoral",H198="Novel",I198="High"),"AF-Standard","AF-Lite")))))</f>
        <v/>
      </c>
      <c r="O198">
        <f>IF(AND(M198="",N198=""),"",IF(AND(M198&lt;&gt;"",N198=""),"UNRECORDED",IF(AND(M198="",N198&lt;&gt;""),"ORPHAN_RECORDED",IF(M198=N198,"MATCH","MISMATCH"))))</f>
        <v/>
      </c>
      <c r="Q198" s="303">
        <f>IF(COUNTA(A198:L198)=0,"",IF(AND(COUNTIF(Vocabulary!$C$5:$C$8,D198)=1,COUNTIF(Vocabulary!$D$5:$D$8,E198)=1,COUNTIF(Vocabulary!$E$5:$E$8,F198)=1,COUNTIF(Vocabulary!$F$5:$F$8,G198)=1,COUNTIF(Vocabulary!$G$5:$G$8,H198)=1,COUNTIF(Vocabulary!$H$5:$H$8,I198)=1,COUNTIF(Vocabulary!$I$5:$I$7,J198)=1,COUNTIF(Vocabulary!$I$5:$I$7,K198)=1,COUNTIF(Vocabulary!$J$5:$J$6,L198)=1),"OK","UNRECOGNISED_ROUTING_VALUE"))</f>
        <v/>
      </c>
    </row>
    <row r="199">
      <c r="M199">
        <f>IF(COUNTA(A199:L199)=0,"",IF(OR(LEN(TRIM(B199))=0,LEN(TRIM(C199))=0,LEN(TRIM(D199))=0,LEN(TRIM(E199))=0,LEN(TRIM(F199))=0,LEN(TRIM(G199))=0,LEN(TRIM(H199))=0,LEN(TRIM(I199))=0,LEN(TRIM(J199))=0,LEN(TRIM(K199))=0,LEN(TRIM(L199))=0),"Undetermined - incomplete routing",IF(Q199&lt;&gt;"OK","Undetermined - unrecognized routing value",IF(OR(D199="High",D199="Catastrophic/systemic",E199="Material",E199="Fundamental or uncertain",F199="Difficult to reverse",F199="Irreversible or unknown",G199="National/transnational/ecological",H199="Frontier or unknown",I199="Affected-party dispute or unknown"),"AF-High-Consequence",IF(OR(D199="Moderate",E199="Limited reversible",F199="Partly reversible",G199="Regional/sectoral",H199="Novel",I199="High"),"AF-Standard","AF-Lite")))))</f>
        <v/>
      </c>
      <c r="O199">
        <f>IF(AND(M199="",N199=""),"",IF(AND(M199&lt;&gt;"",N199=""),"UNRECORDED",IF(AND(M199="",N199&lt;&gt;""),"ORPHAN_RECORDED",IF(M199=N199,"MATCH","MISMATCH"))))</f>
        <v/>
      </c>
      <c r="Q199" s="303">
        <f>IF(COUNTA(A199:L199)=0,"",IF(AND(COUNTIF(Vocabulary!$C$5:$C$8,D199)=1,COUNTIF(Vocabulary!$D$5:$D$8,E199)=1,COUNTIF(Vocabulary!$E$5:$E$8,F199)=1,COUNTIF(Vocabulary!$F$5:$F$8,G199)=1,COUNTIF(Vocabulary!$G$5:$G$8,H199)=1,COUNTIF(Vocabulary!$H$5:$H$8,I199)=1,COUNTIF(Vocabulary!$I$5:$I$7,J199)=1,COUNTIF(Vocabulary!$I$5:$I$7,K199)=1,COUNTIF(Vocabulary!$J$5:$J$6,L199)=1),"OK","UNRECOGNISED_ROUTING_VALUE"))</f>
        <v/>
      </c>
    </row>
    <row r="200">
      <c r="M200">
        <f>IF(COUNTA(A200:L200)=0,"",IF(OR(LEN(TRIM(B200))=0,LEN(TRIM(C200))=0,LEN(TRIM(D200))=0,LEN(TRIM(E200))=0,LEN(TRIM(F200))=0,LEN(TRIM(G200))=0,LEN(TRIM(H200))=0,LEN(TRIM(I200))=0,LEN(TRIM(J200))=0,LEN(TRIM(K200))=0,LEN(TRIM(L200))=0),"Undetermined - incomplete routing",IF(Q200&lt;&gt;"OK","Undetermined - unrecognized routing value",IF(OR(D200="High",D200="Catastrophic/systemic",E200="Material",E200="Fundamental or uncertain",F200="Difficult to reverse",F200="Irreversible or unknown",G200="National/transnational/ecological",H200="Frontier or unknown",I200="Affected-party dispute or unknown"),"AF-High-Consequence",IF(OR(D200="Moderate",E200="Limited reversible",F200="Partly reversible",G200="Regional/sectoral",H200="Novel",I200="High"),"AF-Standard","AF-Lite")))))</f>
        <v/>
      </c>
      <c r="O200">
        <f>IF(AND(M200="",N200=""),"",IF(AND(M200&lt;&gt;"",N200=""),"UNRECORDED",IF(AND(M200="",N200&lt;&gt;""),"ORPHAN_RECORDED",IF(M200=N200,"MATCH","MISMATCH"))))</f>
        <v/>
      </c>
      <c r="Q200" s="303">
        <f>IF(COUNTA(A200:L200)=0,"",IF(AND(COUNTIF(Vocabulary!$C$5:$C$8,D200)=1,COUNTIF(Vocabulary!$D$5:$D$8,E200)=1,COUNTIF(Vocabulary!$E$5:$E$8,F200)=1,COUNTIF(Vocabulary!$F$5:$F$8,G200)=1,COUNTIF(Vocabulary!$G$5:$G$8,H200)=1,COUNTIF(Vocabulary!$H$5:$H$8,I200)=1,COUNTIF(Vocabulary!$I$5:$I$7,J200)=1,COUNTIF(Vocabulary!$I$5:$I$7,K200)=1,COUNTIF(Vocabulary!$J$5:$J$6,L200)=1),"OK","UNRECOGNISED_ROUTING_VALUE"))</f>
        <v/>
      </c>
    </row>
    <row r="201">
      <c r="M201">
        <f>IF(COUNTA(A201:L201)=0,"",IF(OR(LEN(TRIM(B201))=0,LEN(TRIM(C201))=0,LEN(TRIM(D201))=0,LEN(TRIM(E201))=0,LEN(TRIM(F201))=0,LEN(TRIM(G201))=0,LEN(TRIM(H201))=0,LEN(TRIM(I201))=0,LEN(TRIM(J201))=0,LEN(TRIM(K201))=0,LEN(TRIM(L201))=0),"Undetermined - incomplete routing",IF(Q201&lt;&gt;"OK","Undetermined - unrecognized routing value",IF(OR(D201="High",D201="Catastrophic/systemic",E201="Material",E201="Fundamental or uncertain",F201="Difficult to reverse",F201="Irreversible or unknown",G201="National/transnational/ecological",H201="Frontier or unknown",I201="Affected-party dispute or unknown"),"AF-High-Consequence",IF(OR(D201="Moderate",E201="Limited reversible",F201="Partly reversible",G201="Regional/sectoral",H201="Novel",I201="High"),"AF-Standard","AF-Lite")))))</f>
        <v/>
      </c>
      <c r="O201">
        <f>IF(AND(M201="",N201=""),"",IF(AND(M201&lt;&gt;"",N201=""),"UNRECORDED",IF(AND(M201="",N201&lt;&gt;""),"ORPHAN_RECORDED",IF(M201=N201,"MATCH","MISMATCH"))))</f>
        <v/>
      </c>
      <c r="Q201" s="303">
        <f>IF(COUNTA(A201:L201)=0,"",IF(AND(COUNTIF(Vocabulary!$C$5:$C$8,D201)=1,COUNTIF(Vocabulary!$D$5:$D$8,E201)=1,COUNTIF(Vocabulary!$E$5:$E$8,F201)=1,COUNTIF(Vocabulary!$F$5:$F$8,G201)=1,COUNTIF(Vocabulary!$G$5:$G$8,H201)=1,COUNTIF(Vocabulary!$H$5:$H$8,I201)=1,COUNTIF(Vocabulary!$I$5:$I$7,J201)=1,COUNTIF(Vocabulary!$I$5:$I$7,K201)=1,COUNTIF(Vocabulary!$J$5:$J$6,L201)=1),"OK","UNRECOGNISED_ROUTING_VALUE"))</f>
        <v/>
      </c>
    </row>
    <row r="202">
      <c r="M202">
        <f>IF(COUNTA(A202:L202)=0,"",IF(OR(LEN(TRIM(B202))=0,LEN(TRIM(C202))=0,LEN(TRIM(D202))=0,LEN(TRIM(E202))=0,LEN(TRIM(F202))=0,LEN(TRIM(G202))=0,LEN(TRIM(H202))=0,LEN(TRIM(I202))=0,LEN(TRIM(J202))=0,LEN(TRIM(K202))=0,LEN(TRIM(L202))=0),"Undetermined - incomplete routing",IF(Q202&lt;&gt;"OK","Undetermined - unrecognized routing value",IF(OR(D202="High",D202="Catastrophic/systemic",E202="Material",E202="Fundamental or uncertain",F202="Difficult to reverse",F202="Irreversible or unknown",G202="National/transnational/ecological",H202="Frontier or unknown",I202="Affected-party dispute or unknown"),"AF-High-Consequence",IF(OR(D202="Moderate",E202="Limited reversible",F202="Partly reversible",G202="Regional/sectoral",H202="Novel",I202="High"),"AF-Standard","AF-Lite")))))</f>
        <v/>
      </c>
      <c r="O202">
        <f>IF(AND(M202="",N202=""),"",IF(AND(M202&lt;&gt;"",N202=""),"UNRECORDED",IF(AND(M202="",N202&lt;&gt;""),"ORPHAN_RECORDED",IF(M202=N202,"MATCH","MISMATCH"))))</f>
        <v/>
      </c>
      <c r="Q202" s="303">
        <f>IF(COUNTA(A202:L202)=0,"",IF(AND(COUNTIF(Vocabulary!$C$5:$C$8,D202)=1,COUNTIF(Vocabulary!$D$5:$D$8,E202)=1,COUNTIF(Vocabulary!$E$5:$E$8,F202)=1,COUNTIF(Vocabulary!$F$5:$F$8,G202)=1,COUNTIF(Vocabulary!$G$5:$G$8,H202)=1,COUNTIF(Vocabulary!$H$5:$H$8,I202)=1,COUNTIF(Vocabulary!$I$5:$I$7,J202)=1,COUNTIF(Vocabulary!$I$5:$I$7,K202)=1,COUNTIF(Vocabulary!$J$5:$J$6,L202)=1),"OK","UNRECOGNISED_ROUTING_VALUE"))</f>
        <v/>
      </c>
    </row>
    <row r="203">
      <c r="M203">
        <f>IF(COUNTA(A203:L203)=0,"",IF(OR(LEN(TRIM(B203))=0,LEN(TRIM(C203))=0,LEN(TRIM(D203))=0,LEN(TRIM(E203))=0,LEN(TRIM(F203))=0,LEN(TRIM(G203))=0,LEN(TRIM(H203))=0,LEN(TRIM(I203))=0,LEN(TRIM(J203))=0,LEN(TRIM(K203))=0,LEN(TRIM(L203))=0),"Undetermined - incomplete routing",IF(Q203&lt;&gt;"OK","Undetermined - unrecognized routing value",IF(OR(D203="High",D203="Catastrophic/systemic",E203="Material",E203="Fundamental or uncertain",F203="Difficult to reverse",F203="Irreversible or unknown",G203="National/transnational/ecological",H203="Frontier or unknown",I203="Affected-party dispute or unknown"),"AF-High-Consequence",IF(OR(D203="Moderate",E203="Limited reversible",F203="Partly reversible",G203="Regional/sectoral",H203="Novel",I203="High"),"AF-Standard","AF-Lite")))))</f>
        <v/>
      </c>
      <c r="O203">
        <f>IF(AND(M203="",N203=""),"",IF(AND(M203&lt;&gt;"",N203=""),"UNRECORDED",IF(AND(M203="",N203&lt;&gt;""),"ORPHAN_RECORDED",IF(M203=N203,"MATCH","MISMATCH"))))</f>
        <v/>
      </c>
      <c r="Q203" s="303">
        <f>IF(COUNTA(A203:L203)=0,"",IF(AND(COUNTIF(Vocabulary!$C$5:$C$8,D203)=1,COUNTIF(Vocabulary!$D$5:$D$8,E203)=1,COUNTIF(Vocabulary!$E$5:$E$8,F203)=1,COUNTIF(Vocabulary!$F$5:$F$8,G203)=1,COUNTIF(Vocabulary!$G$5:$G$8,H203)=1,COUNTIF(Vocabulary!$H$5:$H$8,I203)=1,COUNTIF(Vocabulary!$I$5:$I$7,J203)=1,COUNTIF(Vocabulary!$I$5:$I$7,K203)=1,COUNTIF(Vocabulary!$J$5:$J$6,L203)=1),"OK","UNRECOGNISED_ROUTING_VALUE"))</f>
        <v/>
      </c>
    </row>
    <row r="204">
      <c r="M204">
        <f>IF(COUNTA(A204:L204)=0,"",IF(OR(LEN(TRIM(B204))=0,LEN(TRIM(C204))=0,LEN(TRIM(D204))=0,LEN(TRIM(E204))=0,LEN(TRIM(F204))=0,LEN(TRIM(G204))=0,LEN(TRIM(H204))=0,LEN(TRIM(I204))=0,LEN(TRIM(J204))=0,LEN(TRIM(K204))=0,LEN(TRIM(L204))=0),"Undetermined - incomplete routing",IF(Q204&lt;&gt;"OK","Undetermined - unrecognized routing value",IF(OR(D204="High",D204="Catastrophic/systemic",E204="Material",E204="Fundamental or uncertain",F204="Difficult to reverse",F204="Irreversible or unknown",G204="National/transnational/ecological",H204="Frontier or unknown",I204="Affected-party dispute or unknown"),"AF-High-Consequence",IF(OR(D204="Moderate",E204="Limited reversible",F204="Partly reversible",G204="Regional/sectoral",H204="Novel",I204="High"),"AF-Standard","AF-Lite")))))</f>
        <v/>
      </c>
      <c r="O204">
        <f>IF(AND(M204="",N204=""),"",IF(AND(M204&lt;&gt;"",N204=""),"UNRECORDED",IF(AND(M204="",N204&lt;&gt;""),"ORPHAN_RECORDED",IF(M204=N204,"MATCH","MISMATCH"))))</f>
        <v/>
      </c>
      <c r="Q204" s="303">
        <f>IF(COUNTA(A204:L204)=0,"",IF(AND(COUNTIF(Vocabulary!$C$5:$C$8,D204)=1,COUNTIF(Vocabulary!$D$5:$D$8,E204)=1,COUNTIF(Vocabulary!$E$5:$E$8,F204)=1,COUNTIF(Vocabulary!$F$5:$F$8,G204)=1,COUNTIF(Vocabulary!$G$5:$G$8,H204)=1,COUNTIF(Vocabulary!$H$5:$H$8,I204)=1,COUNTIF(Vocabulary!$I$5:$I$7,J204)=1,COUNTIF(Vocabulary!$I$5:$I$7,K204)=1,COUNTIF(Vocabulary!$J$5:$J$6,L204)=1),"OK","UNRECOGNISED_ROUTING_VALUE"))</f>
        <v/>
      </c>
    </row>
    <row r="205">
      <c r="M205">
        <f>IF(COUNTA(A205:L205)=0,"",IF(OR(LEN(TRIM(B205))=0,LEN(TRIM(C205))=0,LEN(TRIM(D205))=0,LEN(TRIM(E205))=0,LEN(TRIM(F205))=0,LEN(TRIM(G205))=0,LEN(TRIM(H205))=0,LEN(TRIM(I205))=0,LEN(TRIM(J205))=0,LEN(TRIM(K205))=0,LEN(TRIM(L205))=0),"Undetermined - incomplete routing",IF(Q205&lt;&gt;"OK","Undetermined - unrecognized routing value",IF(OR(D205="High",D205="Catastrophic/systemic",E205="Material",E205="Fundamental or uncertain",F205="Difficult to reverse",F205="Irreversible or unknown",G205="National/transnational/ecological",H205="Frontier or unknown",I205="Affected-party dispute or unknown"),"AF-High-Consequence",IF(OR(D205="Moderate",E205="Limited reversible",F205="Partly reversible",G205="Regional/sectoral",H205="Novel",I205="High"),"AF-Standard","AF-Lite")))))</f>
        <v/>
      </c>
      <c r="O205">
        <f>IF(AND(M205="",N205=""),"",IF(AND(M205&lt;&gt;"",N205=""),"UNRECORDED",IF(AND(M205="",N205&lt;&gt;""),"ORPHAN_RECORDED",IF(M205=N205,"MATCH","MISMATCH"))))</f>
        <v/>
      </c>
      <c r="Q205" s="303">
        <f>IF(COUNTA(A205:L205)=0,"",IF(AND(COUNTIF(Vocabulary!$C$5:$C$8,D205)=1,COUNTIF(Vocabulary!$D$5:$D$8,E205)=1,COUNTIF(Vocabulary!$E$5:$E$8,F205)=1,COUNTIF(Vocabulary!$F$5:$F$8,G205)=1,COUNTIF(Vocabulary!$G$5:$G$8,H205)=1,COUNTIF(Vocabulary!$H$5:$H$8,I205)=1,COUNTIF(Vocabulary!$I$5:$I$7,J205)=1,COUNTIF(Vocabulary!$I$5:$I$7,K205)=1,COUNTIF(Vocabulary!$J$5:$J$6,L205)=1),"OK","UNRECOGNISED_ROUTING_VALUE"))</f>
        <v/>
      </c>
    </row>
    <row r="206">
      <c r="M206">
        <f>IF(COUNTA(A206:L206)=0,"",IF(OR(LEN(TRIM(B206))=0,LEN(TRIM(C206))=0,LEN(TRIM(D206))=0,LEN(TRIM(E206))=0,LEN(TRIM(F206))=0,LEN(TRIM(G206))=0,LEN(TRIM(H206))=0,LEN(TRIM(I206))=0,LEN(TRIM(J206))=0,LEN(TRIM(K206))=0,LEN(TRIM(L206))=0),"Undetermined - incomplete routing",IF(Q206&lt;&gt;"OK","Undetermined - unrecognized routing value",IF(OR(D206="High",D206="Catastrophic/systemic",E206="Material",E206="Fundamental or uncertain",F206="Difficult to reverse",F206="Irreversible or unknown",G206="National/transnational/ecological",H206="Frontier or unknown",I206="Affected-party dispute or unknown"),"AF-High-Consequence",IF(OR(D206="Moderate",E206="Limited reversible",F206="Partly reversible",G206="Regional/sectoral",H206="Novel",I206="High"),"AF-Standard","AF-Lite")))))</f>
        <v/>
      </c>
      <c r="O206">
        <f>IF(AND(M206="",N206=""),"",IF(AND(M206&lt;&gt;"",N206=""),"UNRECORDED",IF(AND(M206="",N206&lt;&gt;""),"ORPHAN_RECORDED",IF(M206=N206,"MATCH","MISMATCH"))))</f>
        <v/>
      </c>
      <c r="Q206" s="303">
        <f>IF(COUNTA(A206:L206)=0,"",IF(AND(COUNTIF(Vocabulary!$C$5:$C$8,D206)=1,COUNTIF(Vocabulary!$D$5:$D$8,E206)=1,COUNTIF(Vocabulary!$E$5:$E$8,F206)=1,COUNTIF(Vocabulary!$F$5:$F$8,G206)=1,COUNTIF(Vocabulary!$G$5:$G$8,H206)=1,COUNTIF(Vocabulary!$H$5:$H$8,I206)=1,COUNTIF(Vocabulary!$I$5:$I$7,J206)=1,COUNTIF(Vocabulary!$I$5:$I$7,K206)=1,COUNTIF(Vocabulary!$J$5:$J$6,L206)=1),"OK","UNRECOGNISED_ROUTING_VALUE"))</f>
        <v/>
      </c>
    </row>
    <row r="207">
      <c r="M207">
        <f>IF(COUNTA(A207:L207)=0,"",IF(OR(LEN(TRIM(B207))=0,LEN(TRIM(C207))=0,LEN(TRIM(D207))=0,LEN(TRIM(E207))=0,LEN(TRIM(F207))=0,LEN(TRIM(G207))=0,LEN(TRIM(H207))=0,LEN(TRIM(I207))=0,LEN(TRIM(J207))=0,LEN(TRIM(K207))=0,LEN(TRIM(L207))=0),"Undetermined - incomplete routing",IF(Q207&lt;&gt;"OK","Undetermined - unrecognized routing value",IF(OR(D207="High",D207="Catastrophic/systemic",E207="Material",E207="Fundamental or uncertain",F207="Difficult to reverse",F207="Irreversible or unknown",G207="National/transnational/ecological",H207="Frontier or unknown",I207="Affected-party dispute or unknown"),"AF-High-Consequence",IF(OR(D207="Moderate",E207="Limited reversible",F207="Partly reversible",G207="Regional/sectoral",H207="Novel",I207="High"),"AF-Standard","AF-Lite")))))</f>
        <v/>
      </c>
      <c r="O207">
        <f>IF(AND(M207="",N207=""),"",IF(AND(M207&lt;&gt;"",N207=""),"UNRECORDED",IF(AND(M207="",N207&lt;&gt;""),"ORPHAN_RECORDED",IF(M207=N207,"MATCH","MISMATCH"))))</f>
        <v/>
      </c>
      <c r="Q207" s="303">
        <f>IF(COUNTA(A207:L207)=0,"",IF(AND(COUNTIF(Vocabulary!$C$5:$C$8,D207)=1,COUNTIF(Vocabulary!$D$5:$D$8,E207)=1,COUNTIF(Vocabulary!$E$5:$E$8,F207)=1,COUNTIF(Vocabulary!$F$5:$F$8,G207)=1,COUNTIF(Vocabulary!$G$5:$G$8,H207)=1,COUNTIF(Vocabulary!$H$5:$H$8,I207)=1,COUNTIF(Vocabulary!$I$5:$I$7,J207)=1,COUNTIF(Vocabulary!$I$5:$I$7,K207)=1,COUNTIF(Vocabulary!$J$5:$J$6,L207)=1),"OK","UNRECOGNISED_ROUTING_VALUE"))</f>
        <v/>
      </c>
    </row>
    <row r="208">
      <c r="M208">
        <f>IF(COUNTA(A208:L208)=0,"",IF(OR(LEN(TRIM(B208))=0,LEN(TRIM(C208))=0,LEN(TRIM(D208))=0,LEN(TRIM(E208))=0,LEN(TRIM(F208))=0,LEN(TRIM(G208))=0,LEN(TRIM(H208))=0,LEN(TRIM(I208))=0,LEN(TRIM(J208))=0,LEN(TRIM(K208))=0,LEN(TRIM(L208))=0),"Undetermined - incomplete routing",IF(Q208&lt;&gt;"OK","Undetermined - unrecognized routing value",IF(OR(D208="High",D208="Catastrophic/systemic",E208="Material",E208="Fundamental or uncertain",F208="Difficult to reverse",F208="Irreversible or unknown",G208="National/transnational/ecological",H208="Frontier or unknown",I208="Affected-party dispute or unknown"),"AF-High-Consequence",IF(OR(D208="Moderate",E208="Limited reversible",F208="Partly reversible",G208="Regional/sectoral",H208="Novel",I208="High"),"AF-Standard","AF-Lite")))))</f>
        <v/>
      </c>
      <c r="O208">
        <f>IF(AND(M208="",N208=""),"",IF(AND(M208&lt;&gt;"",N208=""),"UNRECORDED",IF(AND(M208="",N208&lt;&gt;""),"ORPHAN_RECORDED",IF(M208=N208,"MATCH","MISMATCH"))))</f>
        <v/>
      </c>
      <c r="Q208" s="303">
        <f>IF(COUNTA(A208:L208)=0,"",IF(AND(COUNTIF(Vocabulary!$C$5:$C$8,D208)=1,COUNTIF(Vocabulary!$D$5:$D$8,E208)=1,COUNTIF(Vocabulary!$E$5:$E$8,F208)=1,COUNTIF(Vocabulary!$F$5:$F$8,G208)=1,COUNTIF(Vocabulary!$G$5:$G$8,H208)=1,COUNTIF(Vocabulary!$H$5:$H$8,I208)=1,COUNTIF(Vocabulary!$I$5:$I$7,J208)=1,COUNTIF(Vocabulary!$I$5:$I$7,K208)=1,COUNTIF(Vocabulary!$J$5:$J$6,L208)=1),"OK","UNRECOGNISED_ROUTING_VALUE"))</f>
        <v/>
      </c>
    </row>
    <row r="209">
      <c r="M209">
        <f>IF(COUNTA(A209:L209)=0,"",IF(OR(LEN(TRIM(B209))=0,LEN(TRIM(C209))=0,LEN(TRIM(D209))=0,LEN(TRIM(E209))=0,LEN(TRIM(F209))=0,LEN(TRIM(G209))=0,LEN(TRIM(H209))=0,LEN(TRIM(I209))=0,LEN(TRIM(J209))=0,LEN(TRIM(K209))=0,LEN(TRIM(L209))=0),"Undetermined - incomplete routing",IF(Q209&lt;&gt;"OK","Undetermined - unrecognized routing value",IF(OR(D209="High",D209="Catastrophic/systemic",E209="Material",E209="Fundamental or uncertain",F209="Difficult to reverse",F209="Irreversible or unknown",G209="National/transnational/ecological",H209="Frontier or unknown",I209="Affected-party dispute or unknown"),"AF-High-Consequence",IF(OR(D209="Moderate",E209="Limited reversible",F209="Partly reversible",G209="Regional/sectoral",H209="Novel",I209="High"),"AF-Standard","AF-Lite")))))</f>
        <v/>
      </c>
      <c r="O209">
        <f>IF(AND(M209="",N209=""),"",IF(AND(M209&lt;&gt;"",N209=""),"UNRECORDED",IF(AND(M209="",N209&lt;&gt;""),"ORPHAN_RECORDED",IF(M209=N209,"MATCH","MISMATCH"))))</f>
        <v/>
      </c>
      <c r="Q209" s="303">
        <f>IF(COUNTA(A209:L209)=0,"",IF(AND(COUNTIF(Vocabulary!$C$5:$C$8,D209)=1,COUNTIF(Vocabulary!$D$5:$D$8,E209)=1,COUNTIF(Vocabulary!$E$5:$E$8,F209)=1,COUNTIF(Vocabulary!$F$5:$F$8,G209)=1,COUNTIF(Vocabulary!$G$5:$G$8,H209)=1,COUNTIF(Vocabulary!$H$5:$H$8,I209)=1,COUNTIF(Vocabulary!$I$5:$I$7,J209)=1,COUNTIF(Vocabulary!$I$5:$I$7,K209)=1,COUNTIF(Vocabulary!$J$5:$J$6,L209)=1),"OK","UNRECOGNISED_ROUTING_VALUE"))</f>
        <v/>
      </c>
    </row>
    <row r="210">
      <c r="M210">
        <f>IF(COUNTA(A210:L210)=0,"",IF(OR(LEN(TRIM(B210))=0,LEN(TRIM(C210))=0,LEN(TRIM(D210))=0,LEN(TRIM(E210))=0,LEN(TRIM(F210))=0,LEN(TRIM(G210))=0,LEN(TRIM(H210))=0,LEN(TRIM(I210))=0,LEN(TRIM(J210))=0,LEN(TRIM(K210))=0,LEN(TRIM(L210))=0),"Undetermined - incomplete routing",IF(Q210&lt;&gt;"OK","Undetermined - unrecognized routing value",IF(OR(D210="High",D210="Catastrophic/systemic",E210="Material",E210="Fundamental or uncertain",F210="Difficult to reverse",F210="Irreversible or unknown",G210="National/transnational/ecological",H210="Frontier or unknown",I210="Affected-party dispute or unknown"),"AF-High-Consequence",IF(OR(D210="Moderate",E210="Limited reversible",F210="Partly reversible",G210="Regional/sectoral",H210="Novel",I210="High"),"AF-Standard","AF-Lite")))))</f>
        <v/>
      </c>
      <c r="O210">
        <f>IF(AND(M210="",N210=""),"",IF(AND(M210&lt;&gt;"",N210=""),"UNRECORDED",IF(AND(M210="",N210&lt;&gt;""),"ORPHAN_RECORDED",IF(M210=N210,"MATCH","MISMATCH"))))</f>
        <v/>
      </c>
      <c r="Q210" s="303">
        <f>IF(COUNTA(A210:L210)=0,"",IF(AND(COUNTIF(Vocabulary!$C$5:$C$8,D210)=1,COUNTIF(Vocabulary!$D$5:$D$8,E210)=1,COUNTIF(Vocabulary!$E$5:$E$8,F210)=1,COUNTIF(Vocabulary!$F$5:$F$8,G210)=1,COUNTIF(Vocabulary!$G$5:$G$8,H210)=1,COUNTIF(Vocabulary!$H$5:$H$8,I210)=1,COUNTIF(Vocabulary!$I$5:$I$7,J210)=1,COUNTIF(Vocabulary!$I$5:$I$7,K210)=1,COUNTIF(Vocabulary!$J$5:$J$6,L210)=1),"OK","UNRECOGNISED_ROUTING_VALUE"))</f>
        <v/>
      </c>
    </row>
    <row r="211">
      <c r="M211">
        <f>IF(COUNTA(A211:L211)=0,"",IF(OR(LEN(TRIM(B211))=0,LEN(TRIM(C211))=0,LEN(TRIM(D211))=0,LEN(TRIM(E211))=0,LEN(TRIM(F211))=0,LEN(TRIM(G211))=0,LEN(TRIM(H211))=0,LEN(TRIM(I211))=0,LEN(TRIM(J211))=0,LEN(TRIM(K211))=0,LEN(TRIM(L211))=0),"Undetermined - incomplete routing",IF(Q211&lt;&gt;"OK","Undetermined - unrecognized routing value",IF(OR(D211="High",D211="Catastrophic/systemic",E211="Material",E211="Fundamental or uncertain",F211="Difficult to reverse",F211="Irreversible or unknown",G211="National/transnational/ecological",H211="Frontier or unknown",I211="Affected-party dispute or unknown"),"AF-High-Consequence",IF(OR(D211="Moderate",E211="Limited reversible",F211="Partly reversible",G211="Regional/sectoral",H211="Novel",I211="High"),"AF-Standard","AF-Lite")))))</f>
        <v/>
      </c>
      <c r="O211">
        <f>IF(AND(M211="",N211=""),"",IF(AND(M211&lt;&gt;"",N211=""),"UNRECORDED",IF(AND(M211="",N211&lt;&gt;""),"ORPHAN_RECORDED",IF(M211=N211,"MATCH","MISMATCH"))))</f>
        <v/>
      </c>
      <c r="Q211" s="303">
        <f>IF(COUNTA(A211:L211)=0,"",IF(AND(COUNTIF(Vocabulary!$C$5:$C$8,D211)=1,COUNTIF(Vocabulary!$D$5:$D$8,E211)=1,COUNTIF(Vocabulary!$E$5:$E$8,F211)=1,COUNTIF(Vocabulary!$F$5:$F$8,G211)=1,COUNTIF(Vocabulary!$G$5:$G$8,H211)=1,COUNTIF(Vocabulary!$H$5:$H$8,I211)=1,COUNTIF(Vocabulary!$I$5:$I$7,J211)=1,COUNTIF(Vocabulary!$I$5:$I$7,K211)=1,COUNTIF(Vocabulary!$J$5:$J$6,L211)=1),"OK","UNRECOGNISED_ROUTING_VALUE"))</f>
        <v/>
      </c>
    </row>
    <row r="212">
      <c r="M212">
        <f>IF(COUNTA(A212:L212)=0,"",IF(OR(LEN(TRIM(B212))=0,LEN(TRIM(C212))=0,LEN(TRIM(D212))=0,LEN(TRIM(E212))=0,LEN(TRIM(F212))=0,LEN(TRIM(G212))=0,LEN(TRIM(H212))=0,LEN(TRIM(I212))=0,LEN(TRIM(J212))=0,LEN(TRIM(K212))=0,LEN(TRIM(L212))=0),"Undetermined - incomplete routing",IF(Q212&lt;&gt;"OK","Undetermined - unrecognized routing value",IF(OR(D212="High",D212="Catastrophic/systemic",E212="Material",E212="Fundamental or uncertain",F212="Difficult to reverse",F212="Irreversible or unknown",G212="National/transnational/ecological",H212="Frontier or unknown",I212="Affected-party dispute or unknown"),"AF-High-Consequence",IF(OR(D212="Moderate",E212="Limited reversible",F212="Partly reversible",G212="Regional/sectoral",H212="Novel",I212="High"),"AF-Standard","AF-Lite")))))</f>
        <v/>
      </c>
      <c r="O212">
        <f>IF(AND(M212="",N212=""),"",IF(AND(M212&lt;&gt;"",N212=""),"UNRECORDED",IF(AND(M212="",N212&lt;&gt;""),"ORPHAN_RECORDED",IF(M212=N212,"MATCH","MISMATCH"))))</f>
        <v/>
      </c>
      <c r="Q212" s="303">
        <f>IF(COUNTA(A212:L212)=0,"",IF(AND(COUNTIF(Vocabulary!$C$5:$C$8,D212)=1,COUNTIF(Vocabulary!$D$5:$D$8,E212)=1,COUNTIF(Vocabulary!$E$5:$E$8,F212)=1,COUNTIF(Vocabulary!$F$5:$F$8,G212)=1,COUNTIF(Vocabulary!$G$5:$G$8,H212)=1,COUNTIF(Vocabulary!$H$5:$H$8,I212)=1,COUNTIF(Vocabulary!$I$5:$I$7,J212)=1,COUNTIF(Vocabulary!$I$5:$I$7,K212)=1,COUNTIF(Vocabulary!$J$5:$J$6,L212)=1),"OK","UNRECOGNISED_ROUTING_VALUE"))</f>
        <v/>
      </c>
    </row>
    <row r="213">
      <c r="M213">
        <f>IF(COUNTA(A213:L213)=0,"",IF(OR(LEN(TRIM(B213))=0,LEN(TRIM(C213))=0,LEN(TRIM(D213))=0,LEN(TRIM(E213))=0,LEN(TRIM(F213))=0,LEN(TRIM(G213))=0,LEN(TRIM(H213))=0,LEN(TRIM(I213))=0,LEN(TRIM(J213))=0,LEN(TRIM(K213))=0,LEN(TRIM(L213))=0),"Undetermined - incomplete routing",IF(Q213&lt;&gt;"OK","Undetermined - unrecognized routing value",IF(OR(D213="High",D213="Catastrophic/systemic",E213="Material",E213="Fundamental or uncertain",F213="Difficult to reverse",F213="Irreversible or unknown",G213="National/transnational/ecological",H213="Frontier or unknown",I213="Affected-party dispute or unknown"),"AF-High-Consequence",IF(OR(D213="Moderate",E213="Limited reversible",F213="Partly reversible",G213="Regional/sectoral",H213="Novel",I213="High"),"AF-Standard","AF-Lite")))))</f>
        <v/>
      </c>
      <c r="O213">
        <f>IF(AND(M213="",N213=""),"",IF(AND(M213&lt;&gt;"",N213=""),"UNRECORDED",IF(AND(M213="",N213&lt;&gt;""),"ORPHAN_RECORDED",IF(M213=N213,"MATCH","MISMATCH"))))</f>
        <v/>
      </c>
      <c r="Q213" s="303">
        <f>IF(COUNTA(A213:L213)=0,"",IF(AND(COUNTIF(Vocabulary!$C$5:$C$8,D213)=1,COUNTIF(Vocabulary!$D$5:$D$8,E213)=1,COUNTIF(Vocabulary!$E$5:$E$8,F213)=1,COUNTIF(Vocabulary!$F$5:$F$8,G213)=1,COUNTIF(Vocabulary!$G$5:$G$8,H213)=1,COUNTIF(Vocabulary!$H$5:$H$8,I213)=1,COUNTIF(Vocabulary!$I$5:$I$7,J213)=1,COUNTIF(Vocabulary!$I$5:$I$7,K213)=1,COUNTIF(Vocabulary!$J$5:$J$6,L213)=1),"OK","UNRECOGNISED_ROUTING_VALUE"))</f>
        <v/>
      </c>
    </row>
    <row r="214">
      <c r="M214">
        <f>IF(COUNTA(A214:L214)=0,"",IF(OR(LEN(TRIM(B214))=0,LEN(TRIM(C214))=0,LEN(TRIM(D214))=0,LEN(TRIM(E214))=0,LEN(TRIM(F214))=0,LEN(TRIM(G214))=0,LEN(TRIM(H214))=0,LEN(TRIM(I214))=0,LEN(TRIM(J214))=0,LEN(TRIM(K214))=0,LEN(TRIM(L214))=0),"Undetermined - incomplete routing",IF(Q214&lt;&gt;"OK","Undetermined - unrecognized routing value",IF(OR(D214="High",D214="Catastrophic/systemic",E214="Material",E214="Fundamental or uncertain",F214="Difficult to reverse",F214="Irreversible or unknown",G214="National/transnational/ecological",H214="Frontier or unknown",I214="Affected-party dispute or unknown"),"AF-High-Consequence",IF(OR(D214="Moderate",E214="Limited reversible",F214="Partly reversible",G214="Regional/sectoral",H214="Novel",I214="High"),"AF-Standard","AF-Lite")))))</f>
        <v/>
      </c>
      <c r="O214">
        <f>IF(AND(M214="",N214=""),"",IF(AND(M214&lt;&gt;"",N214=""),"UNRECORDED",IF(AND(M214="",N214&lt;&gt;""),"ORPHAN_RECORDED",IF(M214=N214,"MATCH","MISMATCH"))))</f>
        <v/>
      </c>
      <c r="Q214" s="303">
        <f>IF(COUNTA(A214:L214)=0,"",IF(AND(COUNTIF(Vocabulary!$C$5:$C$8,D214)=1,COUNTIF(Vocabulary!$D$5:$D$8,E214)=1,COUNTIF(Vocabulary!$E$5:$E$8,F214)=1,COUNTIF(Vocabulary!$F$5:$F$8,G214)=1,COUNTIF(Vocabulary!$G$5:$G$8,H214)=1,COUNTIF(Vocabulary!$H$5:$H$8,I214)=1,COUNTIF(Vocabulary!$I$5:$I$7,J214)=1,COUNTIF(Vocabulary!$I$5:$I$7,K214)=1,COUNTIF(Vocabulary!$J$5:$J$6,L214)=1),"OK","UNRECOGNISED_ROUTING_VALUE"))</f>
        <v/>
      </c>
    </row>
    <row r="215">
      <c r="M215">
        <f>IF(COUNTA(A215:L215)=0,"",IF(OR(LEN(TRIM(B215))=0,LEN(TRIM(C215))=0,LEN(TRIM(D215))=0,LEN(TRIM(E215))=0,LEN(TRIM(F215))=0,LEN(TRIM(G215))=0,LEN(TRIM(H215))=0,LEN(TRIM(I215))=0,LEN(TRIM(J215))=0,LEN(TRIM(K215))=0,LEN(TRIM(L215))=0),"Undetermined - incomplete routing",IF(Q215&lt;&gt;"OK","Undetermined - unrecognized routing value",IF(OR(D215="High",D215="Catastrophic/systemic",E215="Material",E215="Fundamental or uncertain",F215="Difficult to reverse",F215="Irreversible or unknown",G215="National/transnational/ecological",H215="Frontier or unknown",I215="Affected-party dispute or unknown"),"AF-High-Consequence",IF(OR(D215="Moderate",E215="Limited reversible",F215="Partly reversible",G215="Regional/sectoral",H215="Novel",I215="High"),"AF-Standard","AF-Lite")))))</f>
        <v/>
      </c>
      <c r="O215">
        <f>IF(AND(M215="",N215=""),"",IF(AND(M215&lt;&gt;"",N215=""),"UNRECORDED",IF(AND(M215="",N215&lt;&gt;""),"ORPHAN_RECORDED",IF(M215=N215,"MATCH","MISMATCH"))))</f>
        <v/>
      </c>
      <c r="Q215" s="303">
        <f>IF(COUNTA(A215:L215)=0,"",IF(AND(COUNTIF(Vocabulary!$C$5:$C$8,D215)=1,COUNTIF(Vocabulary!$D$5:$D$8,E215)=1,COUNTIF(Vocabulary!$E$5:$E$8,F215)=1,COUNTIF(Vocabulary!$F$5:$F$8,G215)=1,COUNTIF(Vocabulary!$G$5:$G$8,H215)=1,COUNTIF(Vocabulary!$H$5:$H$8,I215)=1,COUNTIF(Vocabulary!$I$5:$I$7,J215)=1,COUNTIF(Vocabulary!$I$5:$I$7,K215)=1,COUNTIF(Vocabulary!$J$5:$J$6,L215)=1),"OK","UNRECOGNISED_ROUTING_VALUE"))</f>
        <v/>
      </c>
    </row>
    <row r="216">
      <c r="M216">
        <f>IF(COUNTA(A216:L216)=0,"",IF(OR(LEN(TRIM(B216))=0,LEN(TRIM(C216))=0,LEN(TRIM(D216))=0,LEN(TRIM(E216))=0,LEN(TRIM(F216))=0,LEN(TRIM(G216))=0,LEN(TRIM(H216))=0,LEN(TRIM(I216))=0,LEN(TRIM(J216))=0,LEN(TRIM(K216))=0,LEN(TRIM(L216))=0),"Undetermined - incomplete routing",IF(Q216&lt;&gt;"OK","Undetermined - unrecognized routing value",IF(OR(D216="High",D216="Catastrophic/systemic",E216="Material",E216="Fundamental or uncertain",F216="Difficult to reverse",F216="Irreversible or unknown",G216="National/transnational/ecological",H216="Frontier or unknown",I216="Affected-party dispute or unknown"),"AF-High-Consequence",IF(OR(D216="Moderate",E216="Limited reversible",F216="Partly reversible",G216="Regional/sectoral",H216="Novel",I216="High"),"AF-Standard","AF-Lite")))))</f>
        <v/>
      </c>
      <c r="O216">
        <f>IF(AND(M216="",N216=""),"",IF(AND(M216&lt;&gt;"",N216=""),"UNRECORDED",IF(AND(M216="",N216&lt;&gt;""),"ORPHAN_RECORDED",IF(M216=N216,"MATCH","MISMATCH"))))</f>
        <v/>
      </c>
      <c r="Q216" s="303">
        <f>IF(COUNTA(A216:L216)=0,"",IF(AND(COUNTIF(Vocabulary!$C$5:$C$8,D216)=1,COUNTIF(Vocabulary!$D$5:$D$8,E216)=1,COUNTIF(Vocabulary!$E$5:$E$8,F216)=1,COUNTIF(Vocabulary!$F$5:$F$8,G216)=1,COUNTIF(Vocabulary!$G$5:$G$8,H216)=1,COUNTIF(Vocabulary!$H$5:$H$8,I216)=1,COUNTIF(Vocabulary!$I$5:$I$7,J216)=1,COUNTIF(Vocabulary!$I$5:$I$7,K216)=1,COUNTIF(Vocabulary!$J$5:$J$6,L216)=1),"OK","UNRECOGNISED_ROUTING_VALUE"))</f>
        <v/>
      </c>
    </row>
    <row r="217">
      <c r="M217">
        <f>IF(COUNTA(A217:L217)=0,"",IF(OR(LEN(TRIM(B217))=0,LEN(TRIM(C217))=0,LEN(TRIM(D217))=0,LEN(TRIM(E217))=0,LEN(TRIM(F217))=0,LEN(TRIM(G217))=0,LEN(TRIM(H217))=0,LEN(TRIM(I217))=0,LEN(TRIM(J217))=0,LEN(TRIM(K217))=0,LEN(TRIM(L217))=0),"Undetermined - incomplete routing",IF(Q217&lt;&gt;"OK","Undetermined - unrecognized routing value",IF(OR(D217="High",D217="Catastrophic/systemic",E217="Material",E217="Fundamental or uncertain",F217="Difficult to reverse",F217="Irreversible or unknown",G217="National/transnational/ecological",H217="Frontier or unknown",I217="Affected-party dispute or unknown"),"AF-High-Consequence",IF(OR(D217="Moderate",E217="Limited reversible",F217="Partly reversible",G217="Regional/sectoral",H217="Novel",I217="High"),"AF-Standard","AF-Lite")))))</f>
        <v/>
      </c>
      <c r="O217">
        <f>IF(AND(M217="",N217=""),"",IF(AND(M217&lt;&gt;"",N217=""),"UNRECORDED",IF(AND(M217="",N217&lt;&gt;""),"ORPHAN_RECORDED",IF(M217=N217,"MATCH","MISMATCH"))))</f>
        <v/>
      </c>
      <c r="Q217" s="303">
        <f>IF(COUNTA(A217:L217)=0,"",IF(AND(COUNTIF(Vocabulary!$C$5:$C$8,D217)=1,COUNTIF(Vocabulary!$D$5:$D$8,E217)=1,COUNTIF(Vocabulary!$E$5:$E$8,F217)=1,COUNTIF(Vocabulary!$F$5:$F$8,G217)=1,COUNTIF(Vocabulary!$G$5:$G$8,H217)=1,COUNTIF(Vocabulary!$H$5:$H$8,I217)=1,COUNTIF(Vocabulary!$I$5:$I$7,J217)=1,COUNTIF(Vocabulary!$I$5:$I$7,K217)=1,COUNTIF(Vocabulary!$J$5:$J$6,L217)=1),"OK","UNRECOGNISED_ROUTING_VALUE"))</f>
        <v/>
      </c>
    </row>
    <row r="218">
      <c r="M218">
        <f>IF(COUNTA(A218:L218)=0,"",IF(OR(LEN(TRIM(B218))=0,LEN(TRIM(C218))=0,LEN(TRIM(D218))=0,LEN(TRIM(E218))=0,LEN(TRIM(F218))=0,LEN(TRIM(G218))=0,LEN(TRIM(H218))=0,LEN(TRIM(I218))=0,LEN(TRIM(J218))=0,LEN(TRIM(K218))=0,LEN(TRIM(L218))=0),"Undetermined - incomplete routing",IF(Q218&lt;&gt;"OK","Undetermined - unrecognized routing value",IF(OR(D218="High",D218="Catastrophic/systemic",E218="Material",E218="Fundamental or uncertain",F218="Difficult to reverse",F218="Irreversible or unknown",G218="National/transnational/ecological",H218="Frontier or unknown",I218="Affected-party dispute or unknown"),"AF-High-Consequence",IF(OR(D218="Moderate",E218="Limited reversible",F218="Partly reversible",G218="Regional/sectoral",H218="Novel",I218="High"),"AF-Standard","AF-Lite")))))</f>
        <v/>
      </c>
      <c r="O218">
        <f>IF(AND(M218="",N218=""),"",IF(AND(M218&lt;&gt;"",N218=""),"UNRECORDED",IF(AND(M218="",N218&lt;&gt;""),"ORPHAN_RECORDED",IF(M218=N218,"MATCH","MISMATCH"))))</f>
        <v/>
      </c>
      <c r="Q218" s="303">
        <f>IF(COUNTA(A218:L218)=0,"",IF(AND(COUNTIF(Vocabulary!$C$5:$C$8,D218)=1,COUNTIF(Vocabulary!$D$5:$D$8,E218)=1,COUNTIF(Vocabulary!$E$5:$E$8,F218)=1,COUNTIF(Vocabulary!$F$5:$F$8,G218)=1,COUNTIF(Vocabulary!$G$5:$G$8,H218)=1,COUNTIF(Vocabulary!$H$5:$H$8,I218)=1,COUNTIF(Vocabulary!$I$5:$I$7,J218)=1,COUNTIF(Vocabulary!$I$5:$I$7,K218)=1,COUNTIF(Vocabulary!$J$5:$J$6,L218)=1),"OK","UNRECOGNISED_ROUTING_VALUE"))</f>
        <v/>
      </c>
    </row>
    <row r="219">
      <c r="M219">
        <f>IF(COUNTA(A219:L219)=0,"",IF(OR(LEN(TRIM(B219))=0,LEN(TRIM(C219))=0,LEN(TRIM(D219))=0,LEN(TRIM(E219))=0,LEN(TRIM(F219))=0,LEN(TRIM(G219))=0,LEN(TRIM(H219))=0,LEN(TRIM(I219))=0,LEN(TRIM(J219))=0,LEN(TRIM(K219))=0,LEN(TRIM(L219))=0),"Undetermined - incomplete routing",IF(Q219&lt;&gt;"OK","Undetermined - unrecognized routing value",IF(OR(D219="High",D219="Catastrophic/systemic",E219="Material",E219="Fundamental or uncertain",F219="Difficult to reverse",F219="Irreversible or unknown",G219="National/transnational/ecological",H219="Frontier or unknown",I219="Affected-party dispute or unknown"),"AF-High-Consequence",IF(OR(D219="Moderate",E219="Limited reversible",F219="Partly reversible",G219="Regional/sectoral",H219="Novel",I219="High"),"AF-Standard","AF-Lite")))))</f>
        <v/>
      </c>
      <c r="O219">
        <f>IF(AND(M219="",N219=""),"",IF(AND(M219&lt;&gt;"",N219=""),"UNRECORDED",IF(AND(M219="",N219&lt;&gt;""),"ORPHAN_RECORDED",IF(M219=N219,"MATCH","MISMATCH"))))</f>
        <v/>
      </c>
      <c r="Q219" s="303">
        <f>IF(COUNTA(A219:L219)=0,"",IF(AND(COUNTIF(Vocabulary!$C$5:$C$8,D219)=1,COUNTIF(Vocabulary!$D$5:$D$8,E219)=1,COUNTIF(Vocabulary!$E$5:$E$8,F219)=1,COUNTIF(Vocabulary!$F$5:$F$8,G219)=1,COUNTIF(Vocabulary!$G$5:$G$8,H219)=1,COUNTIF(Vocabulary!$H$5:$H$8,I219)=1,COUNTIF(Vocabulary!$I$5:$I$7,J219)=1,COUNTIF(Vocabulary!$I$5:$I$7,K219)=1,COUNTIF(Vocabulary!$J$5:$J$6,L219)=1),"OK","UNRECOGNISED_ROUTING_VALUE"))</f>
        <v/>
      </c>
    </row>
    <row r="220">
      <c r="M220">
        <f>IF(COUNTA(A220:L220)=0,"",IF(OR(LEN(TRIM(B220))=0,LEN(TRIM(C220))=0,LEN(TRIM(D220))=0,LEN(TRIM(E220))=0,LEN(TRIM(F220))=0,LEN(TRIM(G220))=0,LEN(TRIM(H220))=0,LEN(TRIM(I220))=0,LEN(TRIM(J220))=0,LEN(TRIM(K220))=0,LEN(TRIM(L220))=0),"Undetermined - incomplete routing",IF(Q220&lt;&gt;"OK","Undetermined - unrecognized routing value",IF(OR(D220="High",D220="Catastrophic/systemic",E220="Material",E220="Fundamental or uncertain",F220="Difficult to reverse",F220="Irreversible or unknown",G220="National/transnational/ecological",H220="Frontier or unknown",I220="Affected-party dispute or unknown"),"AF-High-Consequence",IF(OR(D220="Moderate",E220="Limited reversible",F220="Partly reversible",G220="Regional/sectoral",H220="Novel",I220="High"),"AF-Standard","AF-Lite")))))</f>
        <v/>
      </c>
      <c r="O220">
        <f>IF(AND(M220="",N220=""),"",IF(AND(M220&lt;&gt;"",N220=""),"UNRECORDED",IF(AND(M220="",N220&lt;&gt;""),"ORPHAN_RECORDED",IF(M220=N220,"MATCH","MISMATCH"))))</f>
        <v/>
      </c>
      <c r="Q220" s="303">
        <f>IF(COUNTA(A220:L220)=0,"",IF(AND(COUNTIF(Vocabulary!$C$5:$C$8,D220)=1,COUNTIF(Vocabulary!$D$5:$D$8,E220)=1,COUNTIF(Vocabulary!$E$5:$E$8,F220)=1,COUNTIF(Vocabulary!$F$5:$F$8,G220)=1,COUNTIF(Vocabulary!$G$5:$G$8,H220)=1,COUNTIF(Vocabulary!$H$5:$H$8,I220)=1,COUNTIF(Vocabulary!$I$5:$I$7,J220)=1,COUNTIF(Vocabulary!$I$5:$I$7,K220)=1,COUNTIF(Vocabulary!$J$5:$J$6,L220)=1),"OK","UNRECOGNISED_ROUTING_VALUE"))</f>
        <v/>
      </c>
    </row>
    <row r="221">
      <c r="M221">
        <f>IF(COUNTA(A221:L221)=0,"",IF(OR(LEN(TRIM(B221))=0,LEN(TRIM(C221))=0,LEN(TRIM(D221))=0,LEN(TRIM(E221))=0,LEN(TRIM(F221))=0,LEN(TRIM(G221))=0,LEN(TRIM(H221))=0,LEN(TRIM(I221))=0,LEN(TRIM(J221))=0,LEN(TRIM(K221))=0,LEN(TRIM(L221))=0),"Undetermined - incomplete routing",IF(Q221&lt;&gt;"OK","Undetermined - unrecognized routing value",IF(OR(D221="High",D221="Catastrophic/systemic",E221="Material",E221="Fundamental or uncertain",F221="Difficult to reverse",F221="Irreversible or unknown",G221="National/transnational/ecological",H221="Frontier or unknown",I221="Affected-party dispute or unknown"),"AF-High-Consequence",IF(OR(D221="Moderate",E221="Limited reversible",F221="Partly reversible",G221="Regional/sectoral",H221="Novel",I221="High"),"AF-Standard","AF-Lite")))))</f>
        <v/>
      </c>
      <c r="O221">
        <f>IF(AND(M221="",N221=""),"",IF(AND(M221&lt;&gt;"",N221=""),"UNRECORDED",IF(AND(M221="",N221&lt;&gt;""),"ORPHAN_RECORDED",IF(M221=N221,"MATCH","MISMATCH"))))</f>
        <v/>
      </c>
      <c r="Q221" s="303">
        <f>IF(COUNTA(A221:L221)=0,"",IF(AND(COUNTIF(Vocabulary!$C$5:$C$8,D221)=1,COUNTIF(Vocabulary!$D$5:$D$8,E221)=1,COUNTIF(Vocabulary!$E$5:$E$8,F221)=1,COUNTIF(Vocabulary!$F$5:$F$8,G221)=1,COUNTIF(Vocabulary!$G$5:$G$8,H221)=1,COUNTIF(Vocabulary!$H$5:$H$8,I221)=1,COUNTIF(Vocabulary!$I$5:$I$7,J221)=1,COUNTIF(Vocabulary!$I$5:$I$7,K221)=1,COUNTIF(Vocabulary!$J$5:$J$6,L221)=1),"OK","UNRECOGNISED_ROUTING_VALUE"))</f>
        <v/>
      </c>
    </row>
    <row r="222">
      <c r="M222">
        <f>IF(COUNTA(A222:L222)=0,"",IF(OR(LEN(TRIM(B222))=0,LEN(TRIM(C222))=0,LEN(TRIM(D222))=0,LEN(TRIM(E222))=0,LEN(TRIM(F222))=0,LEN(TRIM(G222))=0,LEN(TRIM(H222))=0,LEN(TRIM(I222))=0,LEN(TRIM(J222))=0,LEN(TRIM(K222))=0,LEN(TRIM(L222))=0),"Undetermined - incomplete routing",IF(Q222&lt;&gt;"OK","Undetermined - unrecognized routing value",IF(OR(D222="High",D222="Catastrophic/systemic",E222="Material",E222="Fundamental or uncertain",F222="Difficult to reverse",F222="Irreversible or unknown",G222="National/transnational/ecological",H222="Frontier or unknown",I222="Affected-party dispute or unknown"),"AF-High-Consequence",IF(OR(D222="Moderate",E222="Limited reversible",F222="Partly reversible",G222="Regional/sectoral",H222="Novel",I222="High"),"AF-Standard","AF-Lite")))))</f>
        <v/>
      </c>
      <c r="O222">
        <f>IF(AND(M222="",N222=""),"",IF(AND(M222&lt;&gt;"",N222=""),"UNRECORDED",IF(AND(M222="",N222&lt;&gt;""),"ORPHAN_RECORDED",IF(M222=N222,"MATCH","MISMATCH"))))</f>
        <v/>
      </c>
      <c r="Q222" s="303">
        <f>IF(COUNTA(A222:L222)=0,"",IF(AND(COUNTIF(Vocabulary!$C$5:$C$8,D222)=1,COUNTIF(Vocabulary!$D$5:$D$8,E222)=1,COUNTIF(Vocabulary!$E$5:$E$8,F222)=1,COUNTIF(Vocabulary!$F$5:$F$8,G222)=1,COUNTIF(Vocabulary!$G$5:$G$8,H222)=1,COUNTIF(Vocabulary!$H$5:$H$8,I222)=1,COUNTIF(Vocabulary!$I$5:$I$7,J222)=1,COUNTIF(Vocabulary!$I$5:$I$7,K222)=1,COUNTIF(Vocabulary!$J$5:$J$6,L222)=1),"OK","UNRECOGNISED_ROUTING_VALUE"))</f>
        <v/>
      </c>
    </row>
    <row r="223">
      <c r="M223">
        <f>IF(COUNTA(A223:L223)=0,"",IF(OR(LEN(TRIM(B223))=0,LEN(TRIM(C223))=0,LEN(TRIM(D223))=0,LEN(TRIM(E223))=0,LEN(TRIM(F223))=0,LEN(TRIM(G223))=0,LEN(TRIM(H223))=0,LEN(TRIM(I223))=0,LEN(TRIM(J223))=0,LEN(TRIM(K223))=0,LEN(TRIM(L223))=0),"Undetermined - incomplete routing",IF(Q223&lt;&gt;"OK","Undetermined - unrecognized routing value",IF(OR(D223="High",D223="Catastrophic/systemic",E223="Material",E223="Fundamental or uncertain",F223="Difficult to reverse",F223="Irreversible or unknown",G223="National/transnational/ecological",H223="Frontier or unknown",I223="Affected-party dispute or unknown"),"AF-High-Consequence",IF(OR(D223="Moderate",E223="Limited reversible",F223="Partly reversible",G223="Regional/sectoral",H223="Novel",I223="High"),"AF-Standard","AF-Lite")))))</f>
        <v/>
      </c>
      <c r="O223">
        <f>IF(AND(M223="",N223=""),"",IF(AND(M223&lt;&gt;"",N223=""),"UNRECORDED",IF(AND(M223="",N223&lt;&gt;""),"ORPHAN_RECORDED",IF(M223=N223,"MATCH","MISMATCH"))))</f>
        <v/>
      </c>
      <c r="Q223" s="303">
        <f>IF(COUNTA(A223:L223)=0,"",IF(AND(COUNTIF(Vocabulary!$C$5:$C$8,D223)=1,COUNTIF(Vocabulary!$D$5:$D$8,E223)=1,COUNTIF(Vocabulary!$E$5:$E$8,F223)=1,COUNTIF(Vocabulary!$F$5:$F$8,G223)=1,COUNTIF(Vocabulary!$G$5:$G$8,H223)=1,COUNTIF(Vocabulary!$H$5:$H$8,I223)=1,COUNTIF(Vocabulary!$I$5:$I$7,J223)=1,COUNTIF(Vocabulary!$I$5:$I$7,K223)=1,COUNTIF(Vocabulary!$J$5:$J$6,L223)=1),"OK","UNRECOGNISED_ROUTING_VALUE"))</f>
        <v/>
      </c>
    </row>
    <row r="224">
      <c r="M224">
        <f>IF(COUNTA(A224:L224)=0,"",IF(OR(LEN(TRIM(B224))=0,LEN(TRIM(C224))=0,LEN(TRIM(D224))=0,LEN(TRIM(E224))=0,LEN(TRIM(F224))=0,LEN(TRIM(G224))=0,LEN(TRIM(H224))=0,LEN(TRIM(I224))=0,LEN(TRIM(J224))=0,LEN(TRIM(K224))=0,LEN(TRIM(L224))=0),"Undetermined - incomplete routing",IF(Q224&lt;&gt;"OK","Undetermined - unrecognized routing value",IF(OR(D224="High",D224="Catastrophic/systemic",E224="Material",E224="Fundamental or uncertain",F224="Difficult to reverse",F224="Irreversible or unknown",G224="National/transnational/ecological",H224="Frontier or unknown",I224="Affected-party dispute or unknown"),"AF-High-Consequence",IF(OR(D224="Moderate",E224="Limited reversible",F224="Partly reversible",G224="Regional/sectoral",H224="Novel",I224="High"),"AF-Standard","AF-Lite")))))</f>
        <v/>
      </c>
      <c r="O224">
        <f>IF(AND(M224="",N224=""),"",IF(AND(M224&lt;&gt;"",N224=""),"UNRECORDED",IF(AND(M224="",N224&lt;&gt;""),"ORPHAN_RECORDED",IF(M224=N224,"MATCH","MISMATCH"))))</f>
        <v/>
      </c>
      <c r="Q224" s="303">
        <f>IF(COUNTA(A224:L224)=0,"",IF(AND(COUNTIF(Vocabulary!$C$5:$C$8,D224)=1,COUNTIF(Vocabulary!$D$5:$D$8,E224)=1,COUNTIF(Vocabulary!$E$5:$E$8,F224)=1,COUNTIF(Vocabulary!$F$5:$F$8,G224)=1,COUNTIF(Vocabulary!$G$5:$G$8,H224)=1,COUNTIF(Vocabulary!$H$5:$H$8,I224)=1,COUNTIF(Vocabulary!$I$5:$I$7,J224)=1,COUNTIF(Vocabulary!$I$5:$I$7,K224)=1,COUNTIF(Vocabulary!$J$5:$J$6,L224)=1),"OK","UNRECOGNISED_ROUTING_VALUE"))</f>
        <v/>
      </c>
    </row>
    <row r="225">
      <c r="M225">
        <f>IF(COUNTA(A225:L225)=0,"",IF(OR(LEN(TRIM(B225))=0,LEN(TRIM(C225))=0,LEN(TRIM(D225))=0,LEN(TRIM(E225))=0,LEN(TRIM(F225))=0,LEN(TRIM(G225))=0,LEN(TRIM(H225))=0,LEN(TRIM(I225))=0,LEN(TRIM(J225))=0,LEN(TRIM(K225))=0,LEN(TRIM(L225))=0),"Undetermined - incomplete routing",IF(Q225&lt;&gt;"OK","Undetermined - unrecognized routing value",IF(OR(D225="High",D225="Catastrophic/systemic",E225="Material",E225="Fundamental or uncertain",F225="Difficult to reverse",F225="Irreversible or unknown",G225="National/transnational/ecological",H225="Frontier or unknown",I225="Affected-party dispute or unknown"),"AF-High-Consequence",IF(OR(D225="Moderate",E225="Limited reversible",F225="Partly reversible",G225="Regional/sectoral",H225="Novel",I225="High"),"AF-Standard","AF-Lite")))))</f>
        <v/>
      </c>
      <c r="O225">
        <f>IF(AND(M225="",N225=""),"",IF(AND(M225&lt;&gt;"",N225=""),"UNRECORDED",IF(AND(M225="",N225&lt;&gt;""),"ORPHAN_RECORDED",IF(M225=N225,"MATCH","MISMATCH"))))</f>
        <v/>
      </c>
      <c r="Q225" s="303">
        <f>IF(COUNTA(A225:L225)=0,"",IF(AND(COUNTIF(Vocabulary!$C$5:$C$8,D225)=1,COUNTIF(Vocabulary!$D$5:$D$8,E225)=1,COUNTIF(Vocabulary!$E$5:$E$8,F225)=1,COUNTIF(Vocabulary!$F$5:$F$8,G225)=1,COUNTIF(Vocabulary!$G$5:$G$8,H225)=1,COUNTIF(Vocabulary!$H$5:$H$8,I225)=1,COUNTIF(Vocabulary!$I$5:$I$7,J225)=1,COUNTIF(Vocabulary!$I$5:$I$7,K225)=1,COUNTIF(Vocabulary!$J$5:$J$6,L225)=1),"OK","UNRECOGNISED_ROUTING_VALUE"))</f>
        <v/>
      </c>
    </row>
    <row r="226">
      <c r="M226">
        <f>IF(COUNTA(A226:L226)=0,"",IF(OR(LEN(TRIM(B226))=0,LEN(TRIM(C226))=0,LEN(TRIM(D226))=0,LEN(TRIM(E226))=0,LEN(TRIM(F226))=0,LEN(TRIM(G226))=0,LEN(TRIM(H226))=0,LEN(TRIM(I226))=0,LEN(TRIM(J226))=0,LEN(TRIM(K226))=0,LEN(TRIM(L226))=0),"Undetermined - incomplete routing",IF(Q226&lt;&gt;"OK","Undetermined - unrecognized routing value",IF(OR(D226="High",D226="Catastrophic/systemic",E226="Material",E226="Fundamental or uncertain",F226="Difficult to reverse",F226="Irreversible or unknown",G226="National/transnational/ecological",H226="Frontier or unknown",I226="Affected-party dispute or unknown"),"AF-High-Consequence",IF(OR(D226="Moderate",E226="Limited reversible",F226="Partly reversible",G226="Regional/sectoral",H226="Novel",I226="High"),"AF-Standard","AF-Lite")))))</f>
        <v/>
      </c>
      <c r="O226">
        <f>IF(AND(M226="",N226=""),"",IF(AND(M226&lt;&gt;"",N226=""),"UNRECORDED",IF(AND(M226="",N226&lt;&gt;""),"ORPHAN_RECORDED",IF(M226=N226,"MATCH","MISMATCH"))))</f>
        <v/>
      </c>
      <c r="Q226" s="303">
        <f>IF(COUNTA(A226:L226)=0,"",IF(AND(COUNTIF(Vocabulary!$C$5:$C$8,D226)=1,COUNTIF(Vocabulary!$D$5:$D$8,E226)=1,COUNTIF(Vocabulary!$E$5:$E$8,F226)=1,COUNTIF(Vocabulary!$F$5:$F$8,G226)=1,COUNTIF(Vocabulary!$G$5:$G$8,H226)=1,COUNTIF(Vocabulary!$H$5:$H$8,I226)=1,COUNTIF(Vocabulary!$I$5:$I$7,J226)=1,COUNTIF(Vocabulary!$I$5:$I$7,K226)=1,COUNTIF(Vocabulary!$J$5:$J$6,L226)=1),"OK","UNRECOGNISED_ROUTING_VALUE"))</f>
        <v/>
      </c>
    </row>
    <row r="227">
      <c r="M227">
        <f>IF(COUNTA(A227:L227)=0,"",IF(OR(LEN(TRIM(B227))=0,LEN(TRIM(C227))=0,LEN(TRIM(D227))=0,LEN(TRIM(E227))=0,LEN(TRIM(F227))=0,LEN(TRIM(G227))=0,LEN(TRIM(H227))=0,LEN(TRIM(I227))=0,LEN(TRIM(J227))=0,LEN(TRIM(K227))=0,LEN(TRIM(L227))=0),"Undetermined - incomplete routing",IF(Q227&lt;&gt;"OK","Undetermined - unrecognized routing value",IF(OR(D227="High",D227="Catastrophic/systemic",E227="Material",E227="Fundamental or uncertain",F227="Difficult to reverse",F227="Irreversible or unknown",G227="National/transnational/ecological",H227="Frontier or unknown",I227="Affected-party dispute or unknown"),"AF-High-Consequence",IF(OR(D227="Moderate",E227="Limited reversible",F227="Partly reversible",G227="Regional/sectoral",H227="Novel",I227="High"),"AF-Standard","AF-Lite")))))</f>
        <v/>
      </c>
      <c r="O227">
        <f>IF(AND(M227="",N227=""),"",IF(AND(M227&lt;&gt;"",N227=""),"UNRECORDED",IF(AND(M227="",N227&lt;&gt;""),"ORPHAN_RECORDED",IF(M227=N227,"MATCH","MISMATCH"))))</f>
        <v/>
      </c>
      <c r="Q227" s="303">
        <f>IF(COUNTA(A227:L227)=0,"",IF(AND(COUNTIF(Vocabulary!$C$5:$C$8,D227)=1,COUNTIF(Vocabulary!$D$5:$D$8,E227)=1,COUNTIF(Vocabulary!$E$5:$E$8,F227)=1,COUNTIF(Vocabulary!$F$5:$F$8,G227)=1,COUNTIF(Vocabulary!$G$5:$G$8,H227)=1,COUNTIF(Vocabulary!$H$5:$H$8,I227)=1,COUNTIF(Vocabulary!$I$5:$I$7,J227)=1,COUNTIF(Vocabulary!$I$5:$I$7,K227)=1,COUNTIF(Vocabulary!$J$5:$J$6,L227)=1),"OK","UNRECOGNISED_ROUTING_VALUE"))</f>
        <v/>
      </c>
    </row>
    <row r="228">
      <c r="M228">
        <f>IF(COUNTA(A228:L228)=0,"",IF(OR(LEN(TRIM(B228))=0,LEN(TRIM(C228))=0,LEN(TRIM(D228))=0,LEN(TRIM(E228))=0,LEN(TRIM(F228))=0,LEN(TRIM(G228))=0,LEN(TRIM(H228))=0,LEN(TRIM(I228))=0,LEN(TRIM(J228))=0,LEN(TRIM(K228))=0,LEN(TRIM(L228))=0),"Undetermined - incomplete routing",IF(Q228&lt;&gt;"OK","Undetermined - unrecognized routing value",IF(OR(D228="High",D228="Catastrophic/systemic",E228="Material",E228="Fundamental or uncertain",F228="Difficult to reverse",F228="Irreversible or unknown",G228="National/transnational/ecological",H228="Frontier or unknown",I228="Affected-party dispute or unknown"),"AF-High-Consequence",IF(OR(D228="Moderate",E228="Limited reversible",F228="Partly reversible",G228="Regional/sectoral",H228="Novel",I228="High"),"AF-Standard","AF-Lite")))))</f>
        <v/>
      </c>
      <c r="O228">
        <f>IF(AND(M228="",N228=""),"",IF(AND(M228&lt;&gt;"",N228=""),"UNRECORDED",IF(AND(M228="",N228&lt;&gt;""),"ORPHAN_RECORDED",IF(M228=N228,"MATCH","MISMATCH"))))</f>
        <v/>
      </c>
      <c r="Q228" s="303">
        <f>IF(COUNTA(A228:L228)=0,"",IF(AND(COUNTIF(Vocabulary!$C$5:$C$8,D228)=1,COUNTIF(Vocabulary!$D$5:$D$8,E228)=1,COUNTIF(Vocabulary!$E$5:$E$8,F228)=1,COUNTIF(Vocabulary!$F$5:$F$8,G228)=1,COUNTIF(Vocabulary!$G$5:$G$8,H228)=1,COUNTIF(Vocabulary!$H$5:$H$8,I228)=1,COUNTIF(Vocabulary!$I$5:$I$7,J228)=1,COUNTIF(Vocabulary!$I$5:$I$7,K228)=1,COUNTIF(Vocabulary!$J$5:$J$6,L228)=1),"OK","UNRECOGNISED_ROUTING_VALUE"))</f>
        <v/>
      </c>
    </row>
    <row r="229">
      <c r="M229">
        <f>IF(COUNTA(A229:L229)=0,"",IF(OR(LEN(TRIM(B229))=0,LEN(TRIM(C229))=0,LEN(TRIM(D229))=0,LEN(TRIM(E229))=0,LEN(TRIM(F229))=0,LEN(TRIM(G229))=0,LEN(TRIM(H229))=0,LEN(TRIM(I229))=0,LEN(TRIM(J229))=0,LEN(TRIM(K229))=0,LEN(TRIM(L229))=0),"Undetermined - incomplete routing",IF(Q229&lt;&gt;"OK","Undetermined - unrecognized routing value",IF(OR(D229="High",D229="Catastrophic/systemic",E229="Material",E229="Fundamental or uncertain",F229="Difficult to reverse",F229="Irreversible or unknown",G229="National/transnational/ecological",H229="Frontier or unknown",I229="Affected-party dispute or unknown"),"AF-High-Consequence",IF(OR(D229="Moderate",E229="Limited reversible",F229="Partly reversible",G229="Regional/sectoral",H229="Novel",I229="High"),"AF-Standard","AF-Lite")))))</f>
        <v/>
      </c>
      <c r="O229">
        <f>IF(AND(M229="",N229=""),"",IF(AND(M229&lt;&gt;"",N229=""),"UNRECORDED",IF(AND(M229="",N229&lt;&gt;""),"ORPHAN_RECORDED",IF(M229=N229,"MATCH","MISMATCH"))))</f>
        <v/>
      </c>
      <c r="Q229" s="303">
        <f>IF(COUNTA(A229:L229)=0,"",IF(AND(COUNTIF(Vocabulary!$C$5:$C$8,D229)=1,COUNTIF(Vocabulary!$D$5:$D$8,E229)=1,COUNTIF(Vocabulary!$E$5:$E$8,F229)=1,COUNTIF(Vocabulary!$F$5:$F$8,G229)=1,COUNTIF(Vocabulary!$G$5:$G$8,H229)=1,COUNTIF(Vocabulary!$H$5:$H$8,I229)=1,COUNTIF(Vocabulary!$I$5:$I$7,J229)=1,COUNTIF(Vocabulary!$I$5:$I$7,K229)=1,COUNTIF(Vocabulary!$J$5:$J$6,L229)=1),"OK","UNRECOGNISED_ROUTING_VALUE"))</f>
        <v/>
      </c>
    </row>
    <row r="230">
      <c r="M230">
        <f>IF(COUNTA(A230:L230)=0,"",IF(OR(LEN(TRIM(B230))=0,LEN(TRIM(C230))=0,LEN(TRIM(D230))=0,LEN(TRIM(E230))=0,LEN(TRIM(F230))=0,LEN(TRIM(G230))=0,LEN(TRIM(H230))=0,LEN(TRIM(I230))=0,LEN(TRIM(J230))=0,LEN(TRIM(K230))=0,LEN(TRIM(L230))=0),"Undetermined - incomplete routing",IF(Q230&lt;&gt;"OK","Undetermined - unrecognized routing value",IF(OR(D230="High",D230="Catastrophic/systemic",E230="Material",E230="Fundamental or uncertain",F230="Difficult to reverse",F230="Irreversible or unknown",G230="National/transnational/ecological",H230="Frontier or unknown",I230="Affected-party dispute or unknown"),"AF-High-Consequence",IF(OR(D230="Moderate",E230="Limited reversible",F230="Partly reversible",G230="Regional/sectoral",H230="Novel",I230="High"),"AF-Standard","AF-Lite")))))</f>
        <v/>
      </c>
      <c r="O230">
        <f>IF(AND(M230="",N230=""),"",IF(AND(M230&lt;&gt;"",N230=""),"UNRECORDED",IF(AND(M230="",N230&lt;&gt;""),"ORPHAN_RECORDED",IF(M230=N230,"MATCH","MISMATCH"))))</f>
        <v/>
      </c>
      <c r="Q230" s="303">
        <f>IF(COUNTA(A230:L230)=0,"",IF(AND(COUNTIF(Vocabulary!$C$5:$C$8,D230)=1,COUNTIF(Vocabulary!$D$5:$D$8,E230)=1,COUNTIF(Vocabulary!$E$5:$E$8,F230)=1,COUNTIF(Vocabulary!$F$5:$F$8,G230)=1,COUNTIF(Vocabulary!$G$5:$G$8,H230)=1,COUNTIF(Vocabulary!$H$5:$H$8,I230)=1,COUNTIF(Vocabulary!$I$5:$I$7,J230)=1,COUNTIF(Vocabulary!$I$5:$I$7,K230)=1,COUNTIF(Vocabulary!$J$5:$J$6,L230)=1),"OK","UNRECOGNISED_ROUTING_VALUE"))</f>
        <v/>
      </c>
    </row>
    <row r="231">
      <c r="M231">
        <f>IF(COUNTA(A231:L231)=0,"",IF(OR(LEN(TRIM(B231))=0,LEN(TRIM(C231))=0,LEN(TRIM(D231))=0,LEN(TRIM(E231))=0,LEN(TRIM(F231))=0,LEN(TRIM(G231))=0,LEN(TRIM(H231))=0,LEN(TRIM(I231))=0,LEN(TRIM(J231))=0,LEN(TRIM(K231))=0,LEN(TRIM(L231))=0),"Undetermined - incomplete routing",IF(Q231&lt;&gt;"OK","Undetermined - unrecognized routing value",IF(OR(D231="High",D231="Catastrophic/systemic",E231="Material",E231="Fundamental or uncertain",F231="Difficult to reverse",F231="Irreversible or unknown",G231="National/transnational/ecological",H231="Frontier or unknown",I231="Affected-party dispute or unknown"),"AF-High-Consequence",IF(OR(D231="Moderate",E231="Limited reversible",F231="Partly reversible",G231="Regional/sectoral",H231="Novel",I231="High"),"AF-Standard","AF-Lite")))))</f>
        <v/>
      </c>
      <c r="O231">
        <f>IF(AND(M231="",N231=""),"",IF(AND(M231&lt;&gt;"",N231=""),"UNRECORDED",IF(AND(M231="",N231&lt;&gt;""),"ORPHAN_RECORDED",IF(M231=N231,"MATCH","MISMATCH"))))</f>
        <v/>
      </c>
      <c r="Q231" s="303">
        <f>IF(COUNTA(A231:L231)=0,"",IF(AND(COUNTIF(Vocabulary!$C$5:$C$8,D231)=1,COUNTIF(Vocabulary!$D$5:$D$8,E231)=1,COUNTIF(Vocabulary!$E$5:$E$8,F231)=1,COUNTIF(Vocabulary!$F$5:$F$8,G231)=1,COUNTIF(Vocabulary!$G$5:$G$8,H231)=1,COUNTIF(Vocabulary!$H$5:$H$8,I231)=1,COUNTIF(Vocabulary!$I$5:$I$7,J231)=1,COUNTIF(Vocabulary!$I$5:$I$7,K231)=1,COUNTIF(Vocabulary!$J$5:$J$6,L231)=1),"OK","UNRECOGNISED_ROUTING_VALUE"))</f>
        <v/>
      </c>
    </row>
    <row r="232">
      <c r="M232">
        <f>IF(COUNTA(A232:L232)=0,"",IF(OR(LEN(TRIM(B232))=0,LEN(TRIM(C232))=0,LEN(TRIM(D232))=0,LEN(TRIM(E232))=0,LEN(TRIM(F232))=0,LEN(TRIM(G232))=0,LEN(TRIM(H232))=0,LEN(TRIM(I232))=0,LEN(TRIM(J232))=0,LEN(TRIM(K232))=0,LEN(TRIM(L232))=0),"Undetermined - incomplete routing",IF(Q232&lt;&gt;"OK","Undetermined - unrecognized routing value",IF(OR(D232="High",D232="Catastrophic/systemic",E232="Material",E232="Fundamental or uncertain",F232="Difficult to reverse",F232="Irreversible or unknown",G232="National/transnational/ecological",H232="Frontier or unknown",I232="Affected-party dispute or unknown"),"AF-High-Consequence",IF(OR(D232="Moderate",E232="Limited reversible",F232="Partly reversible",G232="Regional/sectoral",H232="Novel",I232="High"),"AF-Standard","AF-Lite")))))</f>
        <v/>
      </c>
      <c r="O232">
        <f>IF(AND(M232="",N232=""),"",IF(AND(M232&lt;&gt;"",N232=""),"UNRECORDED",IF(AND(M232="",N232&lt;&gt;""),"ORPHAN_RECORDED",IF(M232=N232,"MATCH","MISMATCH"))))</f>
        <v/>
      </c>
      <c r="Q232" s="303">
        <f>IF(COUNTA(A232:L232)=0,"",IF(AND(COUNTIF(Vocabulary!$C$5:$C$8,D232)=1,COUNTIF(Vocabulary!$D$5:$D$8,E232)=1,COUNTIF(Vocabulary!$E$5:$E$8,F232)=1,COUNTIF(Vocabulary!$F$5:$F$8,G232)=1,COUNTIF(Vocabulary!$G$5:$G$8,H232)=1,COUNTIF(Vocabulary!$H$5:$H$8,I232)=1,COUNTIF(Vocabulary!$I$5:$I$7,J232)=1,COUNTIF(Vocabulary!$I$5:$I$7,K232)=1,COUNTIF(Vocabulary!$J$5:$J$6,L232)=1),"OK","UNRECOGNISED_ROUTING_VALUE"))</f>
        <v/>
      </c>
    </row>
    <row r="233">
      <c r="M233">
        <f>IF(COUNTA(A233:L233)=0,"",IF(OR(LEN(TRIM(B233))=0,LEN(TRIM(C233))=0,LEN(TRIM(D233))=0,LEN(TRIM(E233))=0,LEN(TRIM(F233))=0,LEN(TRIM(G233))=0,LEN(TRIM(H233))=0,LEN(TRIM(I233))=0,LEN(TRIM(J233))=0,LEN(TRIM(K233))=0,LEN(TRIM(L233))=0),"Undetermined - incomplete routing",IF(Q233&lt;&gt;"OK","Undetermined - unrecognized routing value",IF(OR(D233="High",D233="Catastrophic/systemic",E233="Material",E233="Fundamental or uncertain",F233="Difficult to reverse",F233="Irreversible or unknown",G233="National/transnational/ecological",H233="Frontier or unknown",I233="Affected-party dispute or unknown"),"AF-High-Consequence",IF(OR(D233="Moderate",E233="Limited reversible",F233="Partly reversible",G233="Regional/sectoral",H233="Novel",I233="High"),"AF-Standard","AF-Lite")))))</f>
        <v/>
      </c>
      <c r="O233">
        <f>IF(AND(M233="",N233=""),"",IF(AND(M233&lt;&gt;"",N233=""),"UNRECORDED",IF(AND(M233="",N233&lt;&gt;""),"ORPHAN_RECORDED",IF(M233=N233,"MATCH","MISMATCH"))))</f>
        <v/>
      </c>
      <c r="Q233" s="303">
        <f>IF(COUNTA(A233:L233)=0,"",IF(AND(COUNTIF(Vocabulary!$C$5:$C$8,D233)=1,COUNTIF(Vocabulary!$D$5:$D$8,E233)=1,COUNTIF(Vocabulary!$E$5:$E$8,F233)=1,COUNTIF(Vocabulary!$F$5:$F$8,G233)=1,COUNTIF(Vocabulary!$G$5:$G$8,H233)=1,COUNTIF(Vocabulary!$H$5:$H$8,I233)=1,COUNTIF(Vocabulary!$I$5:$I$7,J233)=1,COUNTIF(Vocabulary!$I$5:$I$7,K233)=1,COUNTIF(Vocabulary!$J$5:$J$6,L233)=1),"OK","UNRECOGNISED_ROUTING_VALUE"))</f>
        <v/>
      </c>
    </row>
    <row r="234">
      <c r="M234">
        <f>IF(COUNTA(A234:L234)=0,"",IF(OR(LEN(TRIM(B234))=0,LEN(TRIM(C234))=0,LEN(TRIM(D234))=0,LEN(TRIM(E234))=0,LEN(TRIM(F234))=0,LEN(TRIM(G234))=0,LEN(TRIM(H234))=0,LEN(TRIM(I234))=0,LEN(TRIM(J234))=0,LEN(TRIM(K234))=0,LEN(TRIM(L234))=0),"Undetermined - incomplete routing",IF(Q234&lt;&gt;"OK","Undetermined - unrecognized routing value",IF(OR(D234="High",D234="Catastrophic/systemic",E234="Material",E234="Fundamental or uncertain",F234="Difficult to reverse",F234="Irreversible or unknown",G234="National/transnational/ecological",H234="Frontier or unknown",I234="Affected-party dispute or unknown"),"AF-High-Consequence",IF(OR(D234="Moderate",E234="Limited reversible",F234="Partly reversible",G234="Regional/sectoral",H234="Novel",I234="High"),"AF-Standard","AF-Lite")))))</f>
        <v/>
      </c>
      <c r="O234">
        <f>IF(AND(M234="",N234=""),"",IF(AND(M234&lt;&gt;"",N234=""),"UNRECORDED",IF(AND(M234="",N234&lt;&gt;""),"ORPHAN_RECORDED",IF(M234=N234,"MATCH","MISMATCH"))))</f>
        <v/>
      </c>
      <c r="Q234" s="303">
        <f>IF(COUNTA(A234:L234)=0,"",IF(AND(COUNTIF(Vocabulary!$C$5:$C$8,D234)=1,COUNTIF(Vocabulary!$D$5:$D$8,E234)=1,COUNTIF(Vocabulary!$E$5:$E$8,F234)=1,COUNTIF(Vocabulary!$F$5:$F$8,G234)=1,COUNTIF(Vocabulary!$G$5:$G$8,H234)=1,COUNTIF(Vocabulary!$H$5:$H$8,I234)=1,COUNTIF(Vocabulary!$I$5:$I$7,J234)=1,COUNTIF(Vocabulary!$I$5:$I$7,K234)=1,COUNTIF(Vocabulary!$J$5:$J$6,L234)=1),"OK","UNRECOGNISED_ROUTING_VALUE"))</f>
        <v/>
      </c>
    </row>
    <row r="235">
      <c r="M235">
        <f>IF(COUNTA(A235:L235)=0,"",IF(OR(LEN(TRIM(B235))=0,LEN(TRIM(C235))=0,LEN(TRIM(D235))=0,LEN(TRIM(E235))=0,LEN(TRIM(F235))=0,LEN(TRIM(G235))=0,LEN(TRIM(H235))=0,LEN(TRIM(I235))=0,LEN(TRIM(J235))=0,LEN(TRIM(K235))=0,LEN(TRIM(L235))=0),"Undetermined - incomplete routing",IF(Q235&lt;&gt;"OK","Undetermined - unrecognized routing value",IF(OR(D235="High",D235="Catastrophic/systemic",E235="Material",E235="Fundamental or uncertain",F235="Difficult to reverse",F235="Irreversible or unknown",G235="National/transnational/ecological",H235="Frontier or unknown",I235="Affected-party dispute or unknown"),"AF-High-Consequence",IF(OR(D235="Moderate",E235="Limited reversible",F235="Partly reversible",G235="Regional/sectoral",H235="Novel",I235="High"),"AF-Standard","AF-Lite")))))</f>
        <v/>
      </c>
      <c r="O235">
        <f>IF(AND(M235="",N235=""),"",IF(AND(M235&lt;&gt;"",N235=""),"UNRECORDED",IF(AND(M235="",N235&lt;&gt;""),"ORPHAN_RECORDED",IF(M235=N235,"MATCH","MISMATCH"))))</f>
        <v/>
      </c>
      <c r="Q235" s="303">
        <f>IF(COUNTA(A235:L235)=0,"",IF(AND(COUNTIF(Vocabulary!$C$5:$C$8,D235)=1,COUNTIF(Vocabulary!$D$5:$D$8,E235)=1,COUNTIF(Vocabulary!$E$5:$E$8,F235)=1,COUNTIF(Vocabulary!$F$5:$F$8,G235)=1,COUNTIF(Vocabulary!$G$5:$G$8,H235)=1,COUNTIF(Vocabulary!$H$5:$H$8,I235)=1,COUNTIF(Vocabulary!$I$5:$I$7,J235)=1,COUNTIF(Vocabulary!$I$5:$I$7,K235)=1,COUNTIF(Vocabulary!$J$5:$J$6,L235)=1),"OK","UNRECOGNISED_ROUTING_VALUE"))</f>
        <v/>
      </c>
    </row>
    <row r="236">
      <c r="M236">
        <f>IF(COUNTA(A236:L236)=0,"",IF(OR(LEN(TRIM(B236))=0,LEN(TRIM(C236))=0,LEN(TRIM(D236))=0,LEN(TRIM(E236))=0,LEN(TRIM(F236))=0,LEN(TRIM(G236))=0,LEN(TRIM(H236))=0,LEN(TRIM(I236))=0,LEN(TRIM(J236))=0,LEN(TRIM(K236))=0,LEN(TRIM(L236))=0),"Undetermined - incomplete routing",IF(Q236&lt;&gt;"OK","Undetermined - unrecognized routing value",IF(OR(D236="High",D236="Catastrophic/systemic",E236="Material",E236="Fundamental or uncertain",F236="Difficult to reverse",F236="Irreversible or unknown",G236="National/transnational/ecological",H236="Frontier or unknown",I236="Affected-party dispute or unknown"),"AF-High-Consequence",IF(OR(D236="Moderate",E236="Limited reversible",F236="Partly reversible",G236="Regional/sectoral",H236="Novel",I236="High"),"AF-Standard","AF-Lite")))))</f>
        <v/>
      </c>
      <c r="O236">
        <f>IF(AND(M236="",N236=""),"",IF(AND(M236&lt;&gt;"",N236=""),"UNRECORDED",IF(AND(M236="",N236&lt;&gt;""),"ORPHAN_RECORDED",IF(M236=N236,"MATCH","MISMATCH"))))</f>
        <v/>
      </c>
      <c r="Q236" s="303">
        <f>IF(COUNTA(A236:L236)=0,"",IF(AND(COUNTIF(Vocabulary!$C$5:$C$8,D236)=1,COUNTIF(Vocabulary!$D$5:$D$8,E236)=1,COUNTIF(Vocabulary!$E$5:$E$8,F236)=1,COUNTIF(Vocabulary!$F$5:$F$8,G236)=1,COUNTIF(Vocabulary!$G$5:$G$8,H236)=1,COUNTIF(Vocabulary!$H$5:$H$8,I236)=1,COUNTIF(Vocabulary!$I$5:$I$7,J236)=1,COUNTIF(Vocabulary!$I$5:$I$7,K236)=1,COUNTIF(Vocabulary!$J$5:$J$6,L236)=1),"OK","UNRECOGNISED_ROUTING_VALUE"))</f>
        <v/>
      </c>
    </row>
    <row r="237">
      <c r="M237">
        <f>IF(COUNTA(A237:L237)=0,"",IF(OR(LEN(TRIM(B237))=0,LEN(TRIM(C237))=0,LEN(TRIM(D237))=0,LEN(TRIM(E237))=0,LEN(TRIM(F237))=0,LEN(TRIM(G237))=0,LEN(TRIM(H237))=0,LEN(TRIM(I237))=0,LEN(TRIM(J237))=0,LEN(TRIM(K237))=0,LEN(TRIM(L237))=0),"Undetermined - incomplete routing",IF(Q237&lt;&gt;"OK","Undetermined - unrecognized routing value",IF(OR(D237="High",D237="Catastrophic/systemic",E237="Material",E237="Fundamental or uncertain",F237="Difficult to reverse",F237="Irreversible or unknown",G237="National/transnational/ecological",H237="Frontier or unknown",I237="Affected-party dispute or unknown"),"AF-High-Consequence",IF(OR(D237="Moderate",E237="Limited reversible",F237="Partly reversible",G237="Regional/sectoral",H237="Novel",I237="High"),"AF-Standard","AF-Lite")))))</f>
        <v/>
      </c>
      <c r="O237">
        <f>IF(AND(M237="",N237=""),"",IF(AND(M237&lt;&gt;"",N237=""),"UNRECORDED",IF(AND(M237="",N237&lt;&gt;""),"ORPHAN_RECORDED",IF(M237=N237,"MATCH","MISMATCH"))))</f>
        <v/>
      </c>
      <c r="Q237" s="303">
        <f>IF(COUNTA(A237:L237)=0,"",IF(AND(COUNTIF(Vocabulary!$C$5:$C$8,D237)=1,COUNTIF(Vocabulary!$D$5:$D$8,E237)=1,COUNTIF(Vocabulary!$E$5:$E$8,F237)=1,COUNTIF(Vocabulary!$F$5:$F$8,G237)=1,COUNTIF(Vocabulary!$G$5:$G$8,H237)=1,COUNTIF(Vocabulary!$H$5:$H$8,I237)=1,COUNTIF(Vocabulary!$I$5:$I$7,J237)=1,COUNTIF(Vocabulary!$I$5:$I$7,K237)=1,COUNTIF(Vocabulary!$J$5:$J$6,L237)=1),"OK","UNRECOGNISED_ROUTING_VALUE"))</f>
        <v/>
      </c>
    </row>
    <row r="238">
      <c r="M238">
        <f>IF(COUNTA(A238:L238)=0,"",IF(OR(LEN(TRIM(B238))=0,LEN(TRIM(C238))=0,LEN(TRIM(D238))=0,LEN(TRIM(E238))=0,LEN(TRIM(F238))=0,LEN(TRIM(G238))=0,LEN(TRIM(H238))=0,LEN(TRIM(I238))=0,LEN(TRIM(J238))=0,LEN(TRIM(K238))=0,LEN(TRIM(L238))=0),"Undetermined - incomplete routing",IF(Q238&lt;&gt;"OK","Undetermined - unrecognized routing value",IF(OR(D238="High",D238="Catastrophic/systemic",E238="Material",E238="Fundamental or uncertain",F238="Difficult to reverse",F238="Irreversible or unknown",G238="National/transnational/ecological",H238="Frontier or unknown",I238="Affected-party dispute or unknown"),"AF-High-Consequence",IF(OR(D238="Moderate",E238="Limited reversible",F238="Partly reversible",G238="Regional/sectoral",H238="Novel",I238="High"),"AF-Standard","AF-Lite")))))</f>
        <v/>
      </c>
      <c r="O238">
        <f>IF(AND(M238="",N238=""),"",IF(AND(M238&lt;&gt;"",N238=""),"UNRECORDED",IF(AND(M238="",N238&lt;&gt;""),"ORPHAN_RECORDED",IF(M238=N238,"MATCH","MISMATCH"))))</f>
        <v/>
      </c>
      <c r="Q238" s="303">
        <f>IF(COUNTA(A238:L238)=0,"",IF(AND(COUNTIF(Vocabulary!$C$5:$C$8,D238)=1,COUNTIF(Vocabulary!$D$5:$D$8,E238)=1,COUNTIF(Vocabulary!$E$5:$E$8,F238)=1,COUNTIF(Vocabulary!$F$5:$F$8,G238)=1,COUNTIF(Vocabulary!$G$5:$G$8,H238)=1,COUNTIF(Vocabulary!$H$5:$H$8,I238)=1,COUNTIF(Vocabulary!$I$5:$I$7,J238)=1,COUNTIF(Vocabulary!$I$5:$I$7,K238)=1,COUNTIF(Vocabulary!$J$5:$J$6,L238)=1),"OK","UNRECOGNISED_ROUTING_VALUE"))</f>
        <v/>
      </c>
    </row>
    <row r="239">
      <c r="M239">
        <f>IF(COUNTA(A239:L239)=0,"",IF(OR(LEN(TRIM(B239))=0,LEN(TRIM(C239))=0,LEN(TRIM(D239))=0,LEN(TRIM(E239))=0,LEN(TRIM(F239))=0,LEN(TRIM(G239))=0,LEN(TRIM(H239))=0,LEN(TRIM(I239))=0,LEN(TRIM(J239))=0,LEN(TRIM(K239))=0,LEN(TRIM(L239))=0),"Undetermined - incomplete routing",IF(Q239&lt;&gt;"OK","Undetermined - unrecognized routing value",IF(OR(D239="High",D239="Catastrophic/systemic",E239="Material",E239="Fundamental or uncertain",F239="Difficult to reverse",F239="Irreversible or unknown",G239="National/transnational/ecological",H239="Frontier or unknown",I239="Affected-party dispute or unknown"),"AF-High-Consequence",IF(OR(D239="Moderate",E239="Limited reversible",F239="Partly reversible",G239="Regional/sectoral",H239="Novel",I239="High"),"AF-Standard","AF-Lite")))))</f>
        <v/>
      </c>
      <c r="O239">
        <f>IF(AND(M239="",N239=""),"",IF(AND(M239&lt;&gt;"",N239=""),"UNRECORDED",IF(AND(M239="",N239&lt;&gt;""),"ORPHAN_RECORDED",IF(M239=N239,"MATCH","MISMATCH"))))</f>
        <v/>
      </c>
      <c r="Q239" s="303">
        <f>IF(COUNTA(A239:L239)=0,"",IF(AND(COUNTIF(Vocabulary!$C$5:$C$8,D239)=1,COUNTIF(Vocabulary!$D$5:$D$8,E239)=1,COUNTIF(Vocabulary!$E$5:$E$8,F239)=1,COUNTIF(Vocabulary!$F$5:$F$8,G239)=1,COUNTIF(Vocabulary!$G$5:$G$8,H239)=1,COUNTIF(Vocabulary!$H$5:$H$8,I239)=1,COUNTIF(Vocabulary!$I$5:$I$7,J239)=1,COUNTIF(Vocabulary!$I$5:$I$7,K239)=1,COUNTIF(Vocabulary!$J$5:$J$6,L239)=1),"OK","UNRECOGNISED_ROUTING_VALUE"))</f>
        <v/>
      </c>
    </row>
    <row r="240">
      <c r="M240">
        <f>IF(COUNTA(A240:L240)=0,"",IF(OR(LEN(TRIM(B240))=0,LEN(TRIM(C240))=0,LEN(TRIM(D240))=0,LEN(TRIM(E240))=0,LEN(TRIM(F240))=0,LEN(TRIM(G240))=0,LEN(TRIM(H240))=0,LEN(TRIM(I240))=0,LEN(TRIM(J240))=0,LEN(TRIM(K240))=0,LEN(TRIM(L240))=0),"Undetermined - incomplete routing",IF(Q240&lt;&gt;"OK","Undetermined - unrecognized routing value",IF(OR(D240="High",D240="Catastrophic/systemic",E240="Material",E240="Fundamental or uncertain",F240="Difficult to reverse",F240="Irreversible or unknown",G240="National/transnational/ecological",H240="Frontier or unknown",I240="Affected-party dispute or unknown"),"AF-High-Consequence",IF(OR(D240="Moderate",E240="Limited reversible",F240="Partly reversible",G240="Regional/sectoral",H240="Novel",I240="High"),"AF-Standard","AF-Lite")))))</f>
        <v/>
      </c>
      <c r="O240">
        <f>IF(AND(M240="",N240=""),"",IF(AND(M240&lt;&gt;"",N240=""),"UNRECORDED",IF(AND(M240="",N240&lt;&gt;""),"ORPHAN_RECORDED",IF(M240=N240,"MATCH","MISMATCH"))))</f>
        <v/>
      </c>
      <c r="Q240" s="303">
        <f>IF(COUNTA(A240:L240)=0,"",IF(AND(COUNTIF(Vocabulary!$C$5:$C$8,D240)=1,COUNTIF(Vocabulary!$D$5:$D$8,E240)=1,COUNTIF(Vocabulary!$E$5:$E$8,F240)=1,COUNTIF(Vocabulary!$F$5:$F$8,G240)=1,COUNTIF(Vocabulary!$G$5:$G$8,H240)=1,COUNTIF(Vocabulary!$H$5:$H$8,I240)=1,COUNTIF(Vocabulary!$I$5:$I$7,J240)=1,COUNTIF(Vocabulary!$I$5:$I$7,K240)=1,COUNTIF(Vocabulary!$J$5:$J$6,L240)=1),"OK","UNRECOGNISED_ROUTING_VALUE"))</f>
        <v/>
      </c>
    </row>
    <row r="241">
      <c r="M241">
        <f>IF(COUNTA(A241:L241)=0,"",IF(OR(LEN(TRIM(B241))=0,LEN(TRIM(C241))=0,LEN(TRIM(D241))=0,LEN(TRIM(E241))=0,LEN(TRIM(F241))=0,LEN(TRIM(G241))=0,LEN(TRIM(H241))=0,LEN(TRIM(I241))=0,LEN(TRIM(J241))=0,LEN(TRIM(K241))=0,LEN(TRIM(L241))=0),"Undetermined - incomplete routing",IF(Q241&lt;&gt;"OK","Undetermined - unrecognized routing value",IF(OR(D241="High",D241="Catastrophic/systemic",E241="Material",E241="Fundamental or uncertain",F241="Difficult to reverse",F241="Irreversible or unknown",G241="National/transnational/ecological",H241="Frontier or unknown",I241="Affected-party dispute or unknown"),"AF-High-Consequence",IF(OR(D241="Moderate",E241="Limited reversible",F241="Partly reversible",G241="Regional/sectoral",H241="Novel",I241="High"),"AF-Standard","AF-Lite")))))</f>
        <v/>
      </c>
      <c r="O241">
        <f>IF(AND(M241="",N241=""),"",IF(AND(M241&lt;&gt;"",N241=""),"UNRECORDED",IF(AND(M241="",N241&lt;&gt;""),"ORPHAN_RECORDED",IF(M241=N241,"MATCH","MISMATCH"))))</f>
        <v/>
      </c>
      <c r="Q241" s="303">
        <f>IF(COUNTA(A241:L241)=0,"",IF(AND(COUNTIF(Vocabulary!$C$5:$C$8,D241)=1,COUNTIF(Vocabulary!$D$5:$D$8,E241)=1,COUNTIF(Vocabulary!$E$5:$E$8,F241)=1,COUNTIF(Vocabulary!$F$5:$F$8,G241)=1,COUNTIF(Vocabulary!$G$5:$G$8,H241)=1,COUNTIF(Vocabulary!$H$5:$H$8,I241)=1,COUNTIF(Vocabulary!$I$5:$I$7,J241)=1,COUNTIF(Vocabulary!$I$5:$I$7,K241)=1,COUNTIF(Vocabulary!$J$5:$J$6,L241)=1),"OK","UNRECOGNISED_ROUTING_VALUE"))</f>
        <v/>
      </c>
    </row>
    <row r="242">
      <c r="M242">
        <f>IF(COUNTA(A242:L242)=0,"",IF(OR(LEN(TRIM(B242))=0,LEN(TRIM(C242))=0,LEN(TRIM(D242))=0,LEN(TRIM(E242))=0,LEN(TRIM(F242))=0,LEN(TRIM(G242))=0,LEN(TRIM(H242))=0,LEN(TRIM(I242))=0,LEN(TRIM(J242))=0,LEN(TRIM(K242))=0,LEN(TRIM(L242))=0),"Undetermined - incomplete routing",IF(Q242&lt;&gt;"OK","Undetermined - unrecognized routing value",IF(OR(D242="High",D242="Catastrophic/systemic",E242="Material",E242="Fundamental or uncertain",F242="Difficult to reverse",F242="Irreversible or unknown",G242="National/transnational/ecological",H242="Frontier or unknown",I242="Affected-party dispute or unknown"),"AF-High-Consequence",IF(OR(D242="Moderate",E242="Limited reversible",F242="Partly reversible",G242="Regional/sectoral",H242="Novel",I242="High"),"AF-Standard","AF-Lite")))))</f>
        <v/>
      </c>
      <c r="O242">
        <f>IF(AND(M242="",N242=""),"",IF(AND(M242&lt;&gt;"",N242=""),"UNRECORDED",IF(AND(M242="",N242&lt;&gt;""),"ORPHAN_RECORDED",IF(M242=N242,"MATCH","MISMATCH"))))</f>
        <v/>
      </c>
      <c r="Q242" s="303">
        <f>IF(COUNTA(A242:L242)=0,"",IF(AND(COUNTIF(Vocabulary!$C$5:$C$8,D242)=1,COUNTIF(Vocabulary!$D$5:$D$8,E242)=1,COUNTIF(Vocabulary!$E$5:$E$8,F242)=1,COUNTIF(Vocabulary!$F$5:$F$8,G242)=1,COUNTIF(Vocabulary!$G$5:$G$8,H242)=1,COUNTIF(Vocabulary!$H$5:$H$8,I242)=1,COUNTIF(Vocabulary!$I$5:$I$7,J242)=1,COUNTIF(Vocabulary!$I$5:$I$7,K242)=1,COUNTIF(Vocabulary!$J$5:$J$6,L242)=1),"OK","UNRECOGNISED_ROUTING_VALUE"))</f>
        <v/>
      </c>
    </row>
    <row r="243">
      <c r="M243">
        <f>IF(COUNTA(A243:L243)=0,"",IF(OR(LEN(TRIM(B243))=0,LEN(TRIM(C243))=0,LEN(TRIM(D243))=0,LEN(TRIM(E243))=0,LEN(TRIM(F243))=0,LEN(TRIM(G243))=0,LEN(TRIM(H243))=0,LEN(TRIM(I243))=0,LEN(TRIM(J243))=0,LEN(TRIM(K243))=0,LEN(TRIM(L243))=0),"Undetermined - incomplete routing",IF(Q243&lt;&gt;"OK","Undetermined - unrecognized routing value",IF(OR(D243="High",D243="Catastrophic/systemic",E243="Material",E243="Fundamental or uncertain",F243="Difficult to reverse",F243="Irreversible or unknown",G243="National/transnational/ecological",H243="Frontier or unknown",I243="Affected-party dispute or unknown"),"AF-High-Consequence",IF(OR(D243="Moderate",E243="Limited reversible",F243="Partly reversible",G243="Regional/sectoral",H243="Novel",I243="High"),"AF-Standard","AF-Lite")))))</f>
        <v/>
      </c>
      <c r="O243">
        <f>IF(AND(M243="",N243=""),"",IF(AND(M243&lt;&gt;"",N243=""),"UNRECORDED",IF(AND(M243="",N243&lt;&gt;""),"ORPHAN_RECORDED",IF(M243=N243,"MATCH","MISMATCH"))))</f>
        <v/>
      </c>
      <c r="Q243" s="303">
        <f>IF(COUNTA(A243:L243)=0,"",IF(AND(COUNTIF(Vocabulary!$C$5:$C$8,D243)=1,COUNTIF(Vocabulary!$D$5:$D$8,E243)=1,COUNTIF(Vocabulary!$E$5:$E$8,F243)=1,COUNTIF(Vocabulary!$F$5:$F$8,G243)=1,COUNTIF(Vocabulary!$G$5:$G$8,H243)=1,COUNTIF(Vocabulary!$H$5:$H$8,I243)=1,COUNTIF(Vocabulary!$I$5:$I$7,J243)=1,COUNTIF(Vocabulary!$I$5:$I$7,K243)=1,COUNTIF(Vocabulary!$J$5:$J$6,L243)=1),"OK","UNRECOGNISED_ROUTING_VALUE"))</f>
        <v/>
      </c>
    </row>
    <row r="244">
      <c r="M244">
        <f>IF(COUNTA(A244:L244)=0,"",IF(OR(LEN(TRIM(B244))=0,LEN(TRIM(C244))=0,LEN(TRIM(D244))=0,LEN(TRIM(E244))=0,LEN(TRIM(F244))=0,LEN(TRIM(G244))=0,LEN(TRIM(H244))=0,LEN(TRIM(I244))=0,LEN(TRIM(J244))=0,LEN(TRIM(K244))=0,LEN(TRIM(L244))=0),"Undetermined - incomplete routing",IF(Q244&lt;&gt;"OK","Undetermined - unrecognized routing value",IF(OR(D244="High",D244="Catastrophic/systemic",E244="Material",E244="Fundamental or uncertain",F244="Difficult to reverse",F244="Irreversible or unknown",G244="National/transnational/ecological",H244="Frontier or unknown",I244="Affected-party dispute or unknown"),"AF-High-Consequence",IF(OR(D244="Moderate",E244="Limited reversible",F244="Partly reversible",G244="Regional/sectoral",H244="Novel",I244="High"),"AF-Standard","AF-Lite")))))</f>
        <v/>
      </c>
      <c r="O244">
        <f>IF(AND(M244="",N244=""),"",IF(AND(M244&lt;&gt;"",N244=""),"UNRECORDED",IF(AND(M244="",N244&lt;&gt;""),"ORPHAN_RECORDED",IF(M244=N244,"MATCH","MISMATCH"))))</f>
        <v/>
      </c>
      <c r="Q244" s="303">
        <f>IF(COUNTA(A244:L244)=0,"",IF(AND(COUNTIF(Vocabulary!$C$5:$C$8,D244)=1,COUNTIF(Vocabulary!$D$5:$D$8,E244)=1,COUNTIF(Vocabulary!$E$5:$E$8,F244)=1,COUNTIF(Vocabulary!$F$5:$F$8,G244)=1,COUNTIF(Vocabulary!$G$5:$G$8,H244)=1,COUNTIF(Vocabulary!$H$5:$H$8,I244)=1,COUNTIF(Vocabulary!$I$5:$I$7,J244)=1,COUNTIF(Vocabulary!$I$5:$I$7,K244)=1,COUNTIF(Vocabulary!$J$5:$J$6,L244)=1),"OK","UNRECOGNISED_ROUTING_VALUE"))</f>
        <v/>
      </c>
    </row>
    <row r="245">
      <c r="M245">
        <f>IF(COUNTA(A245:L245)=0,"",IF(OR(LEN(TRIM(B245))=0,LEN(TRIM(C245))=0,LEN(TRIM(D245))=0,LEN(TRIM(E245))=0,LEN(TRIM(F245))=0,LEN(TRIM(G245))=0,LEN(TRIM(H245))=0,LEN(TRIM(I245))=0,LEN(TRIM(J245))=0,LEN(TRIM(K245))=0,LEN(TRIM(L245))=0),"Undetermined - incomplete routing",IF(Q245&lt;&gt;"OK","Undetermined - unrecognized routing value",IF(OR(D245="High",D245="Catastrophic/systemic",E245="Material",E245="Fundamental or uncertain",F245="Difficult to reverse",F245="Irreversible or unknown",G245="National/transnational/ecological",H245="Frontier or unknown",I245="Affected-party dispute or unknown"),"AF-High-Consequence",IF(OR(D245="Moderate",E245="Limited reversible",F245="Partly reversible",G245="Regional/sectoral",H245="Novel",I245="High"),"AF-Standard","AF-Lite")))))</f>
        <v/>
      </c>
      <c r="O245">
        <f>IF(AND(M245="",N245=""),"",IF(AND(M245&lt;&gt;"",N245=""),"UNRECORDED",IF(AND(M245="",N245&lt;&gt;""),"ORPHAN_RECORDED",IF(M245=N245,"MATCH","MISMATCH"))))</f>
        <v/>
      </c>
      <c r="Q245" s="303">
        <f>IF(COUNTA(A245:L245)=0,"",IF(AND(COUNTIF(Vocabulary!$C$5:$C$8,D245)=1,COUNTIF(Vocabulary!$D$5:$D$8,E245)=1,COUNTIF(Vocabulary!$E$5:$E$8,F245)=1,COUNTIF(Vocabulary!$F$5:$F$8,G245)=1,COUNTIF(Vocabulary!$G$5:$G$8,H245)=1,COUNTIF(Vocabulary!$H$5:$H$8,I245)=1,COUNTIF(Vocabulary!$I$5:$I$7,J245)=1,COUNTIF(Vocabulary!$I$5:$I$7,K245)=1,COUNTIF(Vocabulary!$J$5:$J$6,L245)=1),"OK","UNRECOGNISED_ROUTING_VALUE"))</f>
        <v/>
      </c>
    </row>
    <row r="246">
      <c r="M246">
        <f>IF(COUNTA(A246:L246)=0,"",IF(OR(LEN(TRIM(B246))=0,LEN(TRIM(C246))=0,LEN(TRIM(D246))=0,LEN(TRIM(E246))=0,LEN(TRIM(F246))=0,LEN(TRIM(G246))=0,LEN(TRIM(H246))=0,LEN(TRIM(I246))=0,LEN(TRIM(J246))=0,LEN(TRIM(K246))=0,LEN(TRIM(L246))=0),"Undetermined - incomplete routing",IF(Q246&lt;&gt;"OK","Undetermined - unrecognized routing value",IF(OR(D246="High",D246="Catastrophic/systemic",E246="Material",E246="Fundamental or uncertain",F246="Difficult to reverse",F246="Irreversible or unknown",G246="National/transnational/ecological",H246="Frontier or unknown",I246="Affected-party dispute or unknown"),"AF-High-Consequence",IF(OR(D246="Moderate",E246="Limited reversible",F246="Partly reversible",G246="Regional/sectoral",H246="Novel",I246="High"),"AF-Standard","AF-Lite")))))</f>
        <v/>
      </c>
      <c r="O246">
        <f>IF(AND(M246="",N246=""),"",IF(AND(M246&lt;&gt;"",N246=""),"UNRECORDED",IF(AND(M246="",N246&lt;&gt;""),"ORPHAN_RECORDED",IF(M246=N246,"MATCH","MISMATCH"))))</f>
        <v/>
      </c>
      <c r="Q246" s="303">
        <f>IF(COUNTA(A246:L246)=0,"",IF(AND(COUNTIF(Vocabulary!$C$5:$C$8,D246)=1,COUNTIF(Vocabulary!$D$5:$D$8,E246)=1,COUNTIF(Vocabulary!$E$5:$E$8,F246)=1,COUNTIF(Vocabulary!$F$5:$F$8,G246)=1,COUNTIF(Vocabulary!$G$5:$G$8,H246)=1,COUNTIF(Vocabulary!$H$5:$H$8,I246)=1,COUNTIF(Vocabulary!$I$5:$I$7,J246)=1,COUNTIF(Vocabulary!$I$5:$I$7,K246)=1,COUNTIF(Vocabulary!$J$5:$J$6,L246)=1),"OK","UNRECOGNISED_ROUTING_VALUE"))</f>
        <v/>
      </c>
    </row>
    <row r="247">
      <c r="M247">
        <f>IF(COUNTA(A247:L247)=0,"",IF(OR(LEN(TRIM(B247))=0,LEN(TRIM(C247))=0,LEN(TRIM(D247))=0,LEN(TRIM(E247))=0,LEN(TRIM(F247))=0,LEN(TRIM(G247))=0,LEN(TRIM(H247))=0,LEN(TRIM(I247))=0,LEN(TRIM(J247))=0,LEN(TRIM(K247))=0,LEN(TRIM(L247))=0),"Undetermined - incomplete routing",IF(Q247&lt;&gt;"OK","Undetermined - unrecognized routing value",IF(OR(D247="High",D247="Catastrophic/systemic",E247="Material",E247="Fundamental or uncertain",F247="Difficult to reverse",F247="Irreversible or unknown",G247="National/transnational/ecological",H247="Frontier or unknown",I247="Affected-party dispute or unknown"),"AF-High-Consequence",IF(OR(D247="Moderate",E247="Limited reversible",F247="Partly reversible",G247="Regional/sectoral",H247="Novel",I247="High"),"AF-Standard","AF-Lite")))))</f>
        <v/>
      </c>
      <c r="O247">
        <f>IF(AND(M247="",N247=""),"",IF(AND(M247&lt;&gt;"",N247=""),"UNRECORDED",IF(AND(M247="",N247&lt;&gt;""),"ORPHAN_RECORDED",IF(M247=N247,"MATCH","MISMATCH"))))</f>
        <v/>
      </c>
      <c r="Q247" s="303">
        <f>IF(COUNTA(A247:L247)=0,"",IF(AND(COUNTIF(Vocabulary!$C$5:$C$8,D247)=1,COUNTIF(Vocabulary!$D$5:$D$8,E247)=1,COUNTIF(Vocabulary!$E$5:$E$8,F247)=1,COUNTIF(Vocabulary!$F$5:$F$8,G247)=1,COUNTIF(Vocabulary!$G$5:$G$8,H247)=1,COUNTIF(Vocabulary!$H$5:$H$8,I247)=1,COUNTIF(Vocabulary!$I$5:$I$7,J247)=1,COUNTIF(Vocabulary!$I$5:$I$7,K247)=1,COUNTIF(Vocabulary!$J$5:$J$6,L247)=1),"OK","UNRECOGNISED_ROUTING_VALUE"))</f>
        <v/>
      </c>
    </row>
    <row r="248">
      <c r="M248">
        <f>IF(COUNTA(A248:L248)=0,"",IF(OR(LEN(TRIM(B248))=0,LEN(TRIM(C248))=0,LEN(TRIM(D248))=0,LEN(TRIM(E248))=0,LEN(TRIM(F248))=0,LEN(TRIM(G248))=0,LEN(TRIM(H248))=0,LEN(TRIM(I248))=0,LEN(TRIM(J248))=0,LEN(TRIM(K248))=0,LEN(TRIM(L248))=0),"Undetermined - incomplete routing",IF(Q248&lt;&gt;"OK","Undetermined - unrecognized routing value",IF(OR(D248="High",D248="Catastrophic/systemic",E248="Material",E248="Fundamental or uncertain",F248="Difficult to reverse",F248="Irreversible or unknown",G248="National/transnational/ecological",H248="Frontier or unknown",I248="Affected-party dispute or unknown"),"AF-High-Consequence",IF(OR(D248="Moderate",E248="Limited reversible",F248="Partly reversible",G248="Regional/sectoral",H248="Novel",I248="High"),"AF-Standard","AF-Lite")))))</f>
        <v/>
      </c>
      <c r="O248">
        <f>IF(AND(M248="",N248=""),"",IF(AND(M248&lt;&gt;"",N248=""),"UNRECORDED",IF(AND(M248="",N248&lt;&gt;""),"ORPHAN_RECORDED",IF(M248=N248,"MATCH","MISMATCH"))))</f>
        <v/>
      </c>
      <c r="Q248" s="303">
        <f>IF(COUNTA(A248:L248)=0,"",IF(AND(COUNTIF(Vocabulary!$C$5:$C$8,D248)=1,COUNTIF(Vocabulary!$D$5:$D$8,E248)=1,COUNTIF(Vocabulary!$E$5:$E$8,F248)=1,COUNTIF(Vocabulary!$F$5:$F$8,G248)=1,COUNTIF(Vocabulary!$G$5:$G$8,H248)=1,COUNTIF(Vocabulary!$H$5:$H$8,I248)=1,COUNTIF(Vocabulary!$I$5:$I$7,J248)=1,COUNTIF(Vocabulary!$I$5:$I$7,K248)=1,COUNTIF(Vocabulary!$J$5:$J$6,L248)=1),"OK","UNRECOGNISED_ROUTING_VALUE"))</f>
        <v/>
      </c>
    </row>
    <row r="249">
      <c r="M249">
        <f>IF(COUNTA(A249:L249)=0,"",IF(OR(LEN(TRIM(B249))=0,LEN(TRIM(C249))=0,LEN(TRIM(D249))=0,LEN(TRIM(E249))=0,LEN(TRIM(F249))=0,LEN(TRIM(G249))=0,LEN(TRIM(H249))=0,LEN(TRIM(I249))=0,LEN(TRIM(J249))=0,LEN(TRIM(K249))=0,LEN(TRIM(L249))=0),"Undetermined - incomplete routing",IF(Q249&lt;&gt;"OK","Undetermined - unrecognized routing value",IF(OR(D249="High",D249="Catastrophic/systemic",E249="Material",E249="Fundamental or uncertain",F249="Difficult to reverse",F249="Irreversible or unknown",G249="National/transnational/ecological",H249="Frontier or unknown",I249="Affected-party dispute or unknown"),"AF-High-Consequence",IF(OR(D249="Moderate",E249="Limited reversible",F249="Partly reversible",G249="Regional/sectoral",H249="Novel",I249="High"),"AF-Standard","AF-Lite")))))</f>
        <v/>
      </c>
      <c r="O249">
        <f>IF(AND(M249="",N249=""),"",IF(AND(M249&lt;&gt;"",N249=""),"UNRECORDED",IF(AND(M249="",N249&lt;&gt;""),"ORPHAN_RECORDED",IF(M249=N249,"MATCH","MISMATCH"))))</f>
        <v/>
      </c>
      <c r="Q249" s="303">
        <f>IF(COUNTA(A249:L249)=0,"",IF(AND(COUNTIF(Vocabulary!$C$5:$C$8,D249)=1,COUNTIF(Vocabulary!$D$5:$D$8,E249)=1,COUNTIF(Vocabulary!$E$5:$E$8,F249)=1,COUNTIF(Vocabulary!$F$5:$F$8,G249)=1,COUNTIF(Vocabulary!$G$5:$G$8,H249)=1,COUNTIF(Vocabulary!$H$5:$H$8,I249)=1,COUNTIF(Vocabulary!$I$5:$I$7,J249)=1,COUNTIF(Vocabulary!$I$5:$I$7,K249)=1,COUNTIF(Vocabulary!$J$5:$J$6,L249)=1),"OK","UNRECOGNISED_ROUTING_VALUE"))</f>
        <v/>
      </c>
    </row>
    <row r="250">
      <c r="M250">
        <f>IF(COUNTA(A250:L250)=0,"",IF(OR(LEN(TRIM(B250))=0,LEN(TRIM(C250))=0,LEN(TRIM(D250))=0,LEN(TRIM(E250))=0,LEN(TRIM(F250))=0,LEN(TRIM(G250))=0,LEN(TRIM(H250))=0,LEN(TRIM(I250))=0,LEN(TRIM(J250))=0,LEN(TRIM(K250))=0,LEN(TRIM(L250))=0),"Undetermined - incomplete routing",IF(Q250&lt;&gt;"OK","Undetermined - unrecognized routing value",IF(OR(D250="High",D250="Catastrophic/systemic",E250="Material",E250="Fundamental or uncertain",F250="Difficult to reverse",F250="Irreversible or unknown",G250="National/transnational/ecological",H250="Frontier or unknown",I250="Affected-party dispute or unknown"),"AF-High-Consequence",IF(OR(D250="Moderate",E250="Limited reversible",F250="Partly reversible",G250="Regional/sectoral",H250="Novel",I250="High"),"AF-Standard","AF-Lite")))))</f>
        <v/>
      </c>
      <c r="O250">
        <f>IF(AND(M250="",N250=""),"",IF(AND(M250&lt;&gt;"",N250=""),"UNRECORDED",IF(AND(M250="",N250&lt;&gt;""),"ORPHAN_RECORDED",IF(M250=N250,"MATCH","MISMATCH"))))</f>
        <v/>
      </c>
      <c r="Q250" s="303">
        <f>IF(COUNTA(A250:L250)=0,"",IF(AND(COUNTIF(Vocabulary!$C$5:$C$8,D250)=1,COUNTIF(Vocabulary!$D$5:$D$8,E250)=1,COUNTIF(Vocabulary!$E$5:$E$8,F250)=1,COUNTIF(Vocabulary!$F$5:$F$8,G250)=1,COUNTIF(Vocabulary!$G$5:$G$8,H250)=1,COUNTIF(Vocabulary!$H$5:$H$8,I250)=1,COUNTIF(Vocabulary!$I$5:$I$7,J250)=1,COUNTIF(Vocabulary!$I$5:$I$7,K250)=1,COUNTIF(Vocabulary!$J$5:$J$6,L250)=1),"OK","UNRECOGNISED_ROUTING_VALUE"))</f>
        <v/>
      </c>
    </row>
  </sheetData>
  <mergeCells count="1">
    <mergeCell ref="A1:Q1"/>
  </mergeCells>
  <conditionalFormatting sqref="O4:O60">
    <cfRule type="expression" priority="1" dxfId="1">
      <formula>O4="MATCH"</formula>
    </cfRule>
    <cfRule type="expression" priority="2" dxfId="0">
      <formula>OR(O4="MISMATCH",O4="UNRECORDED",O4="ORPHAN_RECORDED")</formula>
    </cfRule>
  </conditionalFormatting>
  <conditionalFormatting sqref="Q4:Q250">
    <cfRule type="expression" priority="3" dxfId="0">
      <formula>Q4="UNRECOGNISED_ROUTING_VALUE"</formula>
    </cfRule>
  </conditionalFormatting>
  <dataValidations count="20">
    <dataValidation sqref="D4:D60" showDropDown="0" showInputMessage="0" showErrorMessage="1" allowBlank="0" errorTitle="Invalid stakes value" error="Select an exact controlled value from the Vocabulary sheet." type="list" errorStyle="stop">
      <formula1>INDIRECT("Vocabulary!$C$5:$C$8")</formula1>
    </dataValidation>
    <dataValidation sqref="E4:E60" showDropDown="0" showInputMessage="0" showErrorMessage="1" allowBlank="0" errorTitle="Invalid rights-impact value" error="Select an exact controlled value from the Vocabulary sheet." type="list" errorStyle="stop">
      <formula1>INDIRECT("Vocabulary!$D$5:$D$8")</formula1>
    </dataValidation>
    <dataValidation sqref="F4:F60" showDropDown="0" showInputMessage="0" showErrorMessage="1" allowBlank="0" errorTitle="Invalid irreversibility value" error="Select an exact controlled value from the Vocabulary sheet." type="list" errorStyle="stop">
      <formula1>INDIRECT("Vocabulary!$E$5:$E$8")</formula1>
    </dataValidation>
    <dataValidation sqref="G4:G60" showDropDown="0" showInputMessage="0" showErrorMessage="1" allowBlank="0" errorTitle="Invalid population-scale value" error="Select an exact controlled value from the Vocabulary sheet." type="list" errorStyle="stop">
      <formula1>INDIRECT("Vocabulary!$F$5:$F$8")</formula1>
    </dataValidation>
    <dataValidation sqref="H4:H60" showDropDown="0" showInputMessage="0" showErrorMessage="1" allowBlank="0" errorTitle="Invalid novelty value" error="Select an exact controlled value from the Vocabulary sheet." type="list" errorStyle="stop">
      <formula1>INDIRECT("Vocabulary!$G$5:$G$8")</formula1>
    </dataValidation>
    <dataValidation sqref="I4:I60" showDropDown="0" showInputMessage="0" showErrorMessage="1" allowBlank="0" errorTitle="Invalid contestation value" error="Select an exact controlled value from the Vocabulary sheet." type="list" errorStyle="stop">
      <formula1>INDIRECT("Vocabulary!$H$5:$H$8")</formula1>
    </dataValidation>
    <dataValidation sqref="J4:J60" showDropDown="0" showInputMessage="0" showErrorMessage="1" allowBlank="0" errorTitle="Invalid candidate-capacity value" error="Select an exact controlled value from the Vocabulary sheet." type="list" errorStyle="stop">
      <formula1>INDIRECT("Vocabulary!$I$5:$I$7")</formula1>
    </dataValidation>
    <dataValidation sqref="K4:K60" showDropDown="0" showInputMessage="0" showErrorMessage="1" allowBlank="0" errorTitle="Invalid review-capacity value" error="Select an exact controlled value from the Vocabulary sheet." type="list" errorStyle="stop">
      <formula1>INDIRECT("Vocabulary!$I$5:$I$7")</formula1>
    </dataValidation>
    <dataValidation sqref="L4:L60" showDropDown="0" showInputMessage="0" showErrorMessage="1" allowBlank="0" errorTitle="Invalid access-support value" error="Select an exact controlled value from the Vocabulary sheet." type="list" errorStyle="stop">
      <formula1>INDIRECT("Vocabulary!$J$5:$J$6")</formula1>
    </dataValidation>
    <dataValidation sqref="N4:N60" showDropDown="0" showInputMessage="0" showErrorMessage="1" allowBlank="0" errorTitle="Invalid recorded profile" error="Select an exact controlled value from the Vocabulary sheet." type="list" errorStyle="stop">
      <formula1>INDIRECT("Vocabulary!$K$5:$K$9")</formula1>
    </dataValidation>
    <dataValidation sqref="D4:D250" showDropDown="0" showInputMessage="0" showErrorMessage="1" allowBlank="0" errorTitle="Invalid stakes value" error="Select an exact controlled value from the Vocabulary sheet." type="list" errorStyle="stop">
      <formula1>INDIRECT("Vocabulary!$C$5:$C$8")</formula1>
    </dataValidation>
    <dataValidation sqref="E4:E250" showDropDown="0" showInputMessage="0" showErrorMessage="1" allowBlank="0" errorTitle="Invalid rights-impact value" error="Select an exact controlled value from the Vocabulary sheet." type="list" errorStyle="stop">
      <formula1>INDIRECT("Vocabulary!$D$5:$D$8")</formula1>
    </dataValidation>
    <dataValidation sqref="F4:F250" showDropDown="0" showInputMessage="0" showErrorMessage="1" allowBlank="0" errorTitle="Invalid irreversibility value" error="Select an exact controlled value from the Vocabulary sheet." type="list" errorStyle="stop">
      <formula1>INDIRECT("Vocabulary!$E$5:$E$8")</formula1>
    </dataValidation>
    <dataValidation sqref="G4:G250" showDropDown="0" showInputMessage="0" showErrorMessage="1" allowBlank="0" errorTitle="Invalid population-scale value" error="Select an exact controlled value from the Vocabulary sheet." type="list" errorStyle="stop">
      <formula1>INDIRECT("Vocabulary!$F$5:$F$8")</formula1>
    </dataValidation>
    <dataValidation sqref="H4:H250" showDropDown="0" showInputMessage="0" showErrorMessage="1" allowBlank="0" errorTitle="Invalid novelty value" error="Select an exact controlled value from the Vocabulary sheet." type="list" errorStyle="stop">
      <formula1>INDIRECT("Vocabulary!$G$5:$G$8")</formula1>
    </dataValidation>
    <dataValidation sqref="I4:I250" showDropDown="0" showInputMessage="0" showErrorMessage="1" allowBlank="0" errorTitle="Invalid contestation value" error="Select an exact controlled value from the Vocabulary sheet." type="list" errorStyle="stop">
      <formula1>INDIRECT("Vocabulary!$H$5:$H$8")</formula1>
    </dataValidation>
    <dataValidation sqref="J4:J250" showDropDown="0" showInputMessage="0" showErrorMessage="1" allowBlank="0" errorTitle="Invalid candidate-capacity value" error="Select an exact controlled value from the Vocabulary sheet." type="list" errorStyle="stop">
      <formula1>INDIRECT("Vocabulary!$I$5:$I$7")</formula1>
    </dataValidation>
    <dataValidation sqref="K4:K250" showDropDown="0" showInputMessage="0" showErrorMessage="1" allowBlank="0" errorTitle="Invalid review-capacity value" error="Select an exact controlled value from the Vocabulary sheet." type="list" errorStyle="stop">
      <formula1>INDIRECT("Vocabulary!$I$5:$I$7")</formula1>
    </dataValidation>
    <dataValidation sqref="L4:L250" showDropDown="0" showInputMessage="0" showErrorMessage="1" allowBlank="0" errorTitle="Invalid access-support value" error="Select an exact controlled value from the Vocabulary sheet." type="list" errorStyle="stop">
      <formula1>INDIRECT("Vocabulary!$J$5:$J$6")</formula1>
    </dataValidation>
    <dataValidation sqref="N4:N250" showDropDown="0" showInputMessage="0" showErrorMessage="1" allowBlank="0" errorTitle="Invalid recorded profile" error="Select an exact controlled value from the Vocabulary sheet." type="list" errorStyle="stop">
      <formula1>INDIRECT("Vocabulary!$K$5:$K$9")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8" customWidth="1" style="215" min="1" max="1"/>
    <col width="28" customWidth="1" style="215" min="2" max="2"/>
    <col width="24" customWidth="1" style="215" min="3" max="3"/>
    <col width="24" customWidth="1" style="215" min="4" max="4"/>
    <col width="34" customWidth="1" style="215" min="5" max="5"/>
    <col width="18" customWidth="1" style="215" min="6" max="6"/>
    <col width="26" customWidth="1" style="215" min="7" max="7"/>
    <col width="28" customWidth="1" style="215" min="8" max="8"/>
    <col width="16" customWidth="1" style="215" min="9" max="9"/>
    <col width="28" customWidth="1" style="215" min="10" max="10"/>
    <col width="28" customWidth="1" style="215" min="11" max="11"/>
    <col width="32" customWidth="1" style="215" min="12" max="12"/>
    <col width="36" customWidth="1" style="215" min="13" max="13"/>
    <col width="22" customWidth="1" style="215" min="14" max="14"/>
    <col width="16" customWidth="1" style="215" min="15" max="15"/>
  </cols>
  <sheetData>
    <row r="1" ht="28" customHeight="1" s="215">
      <c r="A1" s="536" t="inlineStr">
        <is>
          <t>Candidate and Scope Register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</row>
    <row r="2"/>
    <row r="3" ht="34" customHeight="1" s="215">
      <c r="A3" s="421" t="inlineStr">
        <is>
          <t>Candidate_ID</t>
        </is>
      </c>
      <c r="B3" s="421" t="inlineStr">
        <is>
          <t>Candidate_Name</t>
        </is>
      </c>
      <c r="C3" s="421" t="inlineStr">
        <is>
          <t>Version_or_Hash</t>
        </is>
      </c>
      <c r="D3" s="421" t="inlineStr">
        <is>
          <t>Architecture_Family</t>
        </is>
      </c>
      <c r="E3" s="421" t="inlineStr">
        <is>
          <t>Declared_Authority_Claim</t>
        </is>
      </c>
      <c r="F3" s="421" t="inlineStr">
        <is>
          <t>Scope_ID</t>
        </is>
      </c>
      <c r="G3" s="421" t="inlineStr">
        <is>
          <t>Population</t>
        </is>
      </c>
      <c r="H3" s="421" t="inlineStr">
        <is>
          <t>Jurisdiction_or_Community</t>
        </is>
      </c>
      <c r="I3" s="421" t="inlineStr">
        <is>
          <t>Evidence_Cutoff</t>
        </is>
      </c>
      <c r="J3" s="421" t="inlineStr">
        <is>
          <t>Candidate_Contact</t>
        </is>
      </c>
      <c r="K3" s="421" t="inlineStr">
        <is>
          <t>Affected_Party_Liaison</t>
        </is>
      </c>
      <c r="L3" s="421" t="inlineStr">
        <is>
          <t>Access_Needs</t>
        </is>
      </c>
      <c r="M3" s="421" t="inlineStr">
        <is>
          <t>Data_Sovereignty_Constraints</t>
        </is>
      </c>
      <c r="N3" s="421" t="inlineStr">
        <is>
          <t>Profile</t>
        </is>
      </c>
      <c r="O3" s="421" t="inlineStr">
        <is>
          <t>Record_Status</t>
        </is>
      </c>
    </row>
    <row r="4">
      <c r="A4" s="81" t="inlineStr">
        <is>
          <t>SYNTH-CAND-HC</t>
        </is>
      </c>
      <c r="B4" s="356" t="inlineStr">
        <is>
          <t>Synthetic benefits architecture</t>
        </is>
      </c>
      <c r="C4" s="356" t="inlineStr">
        <is>
          <t>hash:illustrative</t>
        </is>
      </c>
      <c r="D4" s="356" t="inlineStr">
        <is>
          <t>legal-institutional</t>
        </is>
      </c>
      <c r="E4" s="356" t="inlineStr">
        <is>
          <t>Advisory recommendation only</t>
        </is>
      </c>
      <c r="F4" s="356" t="inlineStr">
        <is>
          <t>SCOPE-ILL-001</t>
        </is>
      </c>
      <c r="G4" s="356" t="inlineStr">
        <is>
          <t>Synthetic national population</t>
        </is>
      </c>
      <c r="H4" s="356" t="inlineStr">
        <is>
          <t>Synthetic jurisdiction</t>
        </is>
      </c>
      <c r="I4" s="356" t="inlineStr">
        <is>
          <t>2026-08-11</t>
        </is>
      </c>
      <c r="J4" s="356" t="inlineStr">
        <is>
          <t>candidate@example.invalid</t>
        </is>
      </c>
      <c r="K4" s="356" t="inlineStr">
        <is>
          <t>liaison@example.invalid</t>
        </is>
      </c>
      <c r="L4" s="356" t="inlineStr">
        <is>
          <t>Interpretation and accessible formats</t>
        </is>
      </c>
      <c r="M4" s="356" t="inlineStr">
        <is>
          <t>No raw community evidence outside host repository</t>
        </is>
      </c>
      <c r="N4" s="356" t="inlineStr">
        <is>
          <t>AF-High-Consequence</t>
        </is>
      </c>
      <c r="O4" s="103" t="inlineStr">
        <is>
          <t>Illustrative</t>
        </is>
      </c>
    </row>
    <row r="5">
      <c r="A5" s="81" t="n"/>
      <c r="B5" s="356" t="n"/>
      <c r="C5" s="356" t="n"/>
      <c r="D5" s="356" t="n"/>
      <c r="E5" s="356" t="n"/>
      <c r="F5" s="356" t="n"/>
      <c r="G5" s="356" t="n"/>
      <c r="H5" s="356" t="n"/>
      <c r="I5" s="356" t="n"/>
      <c r="J5" s="356" t="n"/>
      <c r="K5" s="356" t="n"/>
      <c r="L5" s="356" t="n"/>
      <c r="M5" s="356" t="n"/>
      <c r="N5" s="356" t="n"/>
      <c r="O5" s="103" t="n"/>
    </row>
    <row r="6">
      <c r="A6" s="81" t="n"/>
      <c r="B6" s="356" t="n"/>
      <c r="C6" s="356" t="n"/>
      <c r="D6" s="356" t="n"/>
      <c r="E6" s="356" t="n"/>
      <c r="F6" s="356" t="n"/>
      <c r="G6" s="356" t="n"/>
      <c r="H6" s="356" t="n"/>
      <c r="I6" s="356" t="n"/>
      <c r="J6" s="356" t="n"/>
      <c r="K6" s="356" t="n"/>
      <c r="L6" s="356" t="n"/>
      <c r="M6" s="356" t="n"/>
      <c r="N6" s="356" t="n"/>
      <c r="O6" s="103" t="n"/>
    </row>
    <row r="7">
      <c r="A7" s="81" t="n"/>
      <c r="B7" s="356" t="n"/>
      <c r="C7" s="356" t="n"/>
      <c r="D7" s="356" t="n"/>
      <c r="E7" s="356" t="n"/>
      <c r="F7" s="356" t="n"/>
      <c r="G7" s="356" t="n"/>
      <c r="H7" s="356" t="n"/>
      <c r="I7" s="356" t="n"/>
      <c r="J7" s="356" t="n"/>
      <c r="K7" s="356" t="n"/>
      <c r="L7" s="356" t="n"/>
      <c r="M7" s="356" t="n"/>
      <c r="N7" s="356" t="n"/>
      <c r="O7" s="103" t="n"/>
    </row>
    <row r="8">
      <c r="A8" s="81" t="n"/>
      <c r="B8" s="356" t="n"/>
      <c r="C8" s="356" t="n"/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103" t="n"/>
    </row>
    <row r="9">
      <c r="A9" s="81" t="n"/>
      <c r="B9" s="356" t="n"/>
      <c r="C9" s="356" t="n"/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103" t="n"/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103" t="n"/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103" t="n"/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103" t="n"/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103" t="n"/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56" t="n"/>
      <c r="I14" s="356" t="n"/>
      <c r="J14" s="356" t="n"/>
      <c r="K14" s="356" t="n"/>
      <c r="L14" s="356" t="n"/>
      <c r="M14" s="356" t="n"/>
      <c r="N14" s="356" t="n"/>
      <c r="O14" s="103" t="n"/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56" t="n"/>
      <c r="I15" s="356" t="n"/>
      <c r="J15" s="356" t="n"/>
      <c r="K15" s="356" t="n"/>
      <c r="L15" s="356" t="n"/>
      <c r="M15" s="356" t="n"/>
      <c r="N15" s="356" t="n"/>
      <c r="O15" s="103" t="n"/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L16" s="356" t="n"/>
      <c r="M16" s="356" t="n"/>
      <c r="N16" s="356" t="n"/>
      <c r="O16" s="103" t="n"/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  <c r="M17" s="356" t="n"/>
      <c r="N17" s="356" t="n"/>
      <c r="O17" s="103" t="n"/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  <c r="M18" s="356" t="n"/>
      <c r="N18" s="356" t="n"/>
      <c r="O18" s="103" t="n"/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  <c r="M19" s="356" t="n"/>
      <c r="N19" s="356" t="n"/>
      <c r="O19" s="103" t="n"/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56" t="n"/>
      <c r="I20" s="356" t="n"/>
      <c r="J20" s="356" t="n"/>
      <c r="K20" s="356" t="n"/>
      <c r="L20" s="356" t="n"/>
      <c r="M20" s="356" t="n"/>
      <c r="N20" s="356" t="n"/>
      <c r="O20" s="103" t="n"/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56" t="n"/>
      <c r="I21" s="356" t="n"/>
      <c r="J21" s="356" t="n"/>
      <c r="K21" s="356" t="n"/>
      <c r="L21" s="356" t="n"/>
      <c r="M21" s="356" t="n"/>
      <c r="N21" s="356" t="n"/>
      <c r="O21" s="103" t="n"/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103" t="n"/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56" t="n"/>
      <c r="I23" s="356" t="n"/>
      <c r="J23" s="356" t="n"/>
      <c r="K23" s="356" t="n"/>
      <c r="L23" s="356" t="n"/>
      <c r="M23" s="356" t="n"/>
      <c r="N23" s="356" t="n"/>
      <c r="O23" s="103" t="n"/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56" t="n"/>
      <c r="I24" s="356" t="n"/>
      <c r="J24" s="356" t="n"/>
      <c r="K24" s="356" t="n"/>
      <c r="L24" s="356" t="n"/>
      <c r="M24" s="356" t="n"/>
      <c r="N24" s="356" t="n"/>
      <c r="O24" s="103" t="n"/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356" t="n"/>
      <c r="N25" s="356" t="n"/>
      <c r="O25" s="103" t="n"/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56" t="n"/>
      <c r="I26" s="356" t="n"/>
      <c r="J26" s="356" t="n"/>
      <c r="K26" s="356" t="n"/>
      <c r="L26" s="356" t="n"/>
      <c r="M26" s="356" t="n"/>
      <c r="N26" s="356" t="n"/>
      <c r="O26" s="103" t="n"/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56" t="n"/>
      <c r="I27" s="356" t="n"/>
      <c r="J27" s="356" t="n"/>
      <c r="K27" s="356" t="n"/>
      <c r="L27" s="356" t="n"/>
      <c r="M27" s="356" t="n"/>
      <c r="N27" s="356" t="n"/>
      <c r="O27" s="103" t="n"/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56" t="n"/>
      <c r="I28" s="356" t="n"/>
      <c r="J28" s="356" t="n"/>
      <c r="K28" s="356" t="n"/>
      <c r="L28" s="356" t="n"/>
      <c r="M28" s="356" t="n"/>
      <c r="N28" s="356" t="n"/>
      <c r="O28" s="103" t="n"/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56" t="n"/>
      <c r="I29" s="356" t="n"/>
      <c r="J29" s="356" t="n"/>
      <c r="K29" s="356" t="n"/>
      <c r="L29" s="356" t="n"/>
      <c r="M29" s="356" t="n"/>
      <c r="N29" s="356" t="n"/>
      <c r="O29" s="103" t="n"/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  <c r="O30" s="103" t="n"/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56" t="n"/>
      <c r="I31" s="356" t="n"/>
      <c r="J31" s="356" t="n"/>
      <c r="K31" s="356" t="n"/>
      <c r="L31" s="356" t="n"/>
      <c r="M31" s="356" t="n"/>
      <c r="N31" s="356" t="n"/>
      <c r="O31" s="103" t="n"/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56" t="n"/>
      <c r="I32" s="356" t="n"/>
      <c r="J32" s="356" t="n"/>
      <c r="K32" s="356" t="n"/>
      <c r="L32" s="356" t="n"/>
      <c r="M32" s="356" t="n"/>
      <c r="N32" s="356" t="n"/>
      <c r="O32" s="103" t="n"/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103" t="n"/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356" t="n"/>
      <c r="N34" s="356" t="n"/>
      <c r="O34" s="103" t="n"/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6" t="n"/>
      <c r="L35" s="356" t="n"/>
      <c r="M35" s="356" t="n"/>
      <c r="N35" s="356" t="n"/>
      <c r="O35" s="103" t="n"/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56" t="n"/>
      <c r="I36" s="356" t="n"/>
      <c r="J36" s="356" t="n"/>
      <c r="K36" s="356" t="n"/>
      <c r="L36" s="356" t="n"/>
      <c r="M36" s="356" t="n"/>
      <c r="N36" s="356" t="n"/>
      <c r="O36" s="103" t="n"/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6" t="n"/>
      <c r="L37" s="356" t="n"/>
      <c r="M37" s="356" t="n"/>
      <c r="N37" s="356" t="n"/>
      <c r="O37" s="103" t="n"/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56" t="n"/>
      <c r="I38" s="356" t="n"/>
      <c r="J38" s="356" t="n"/>
      <c r="K38" s="356" t="n"/>
      <c r="L38" s="356" t="n"/>
      <c r="M38" s="356" t="n"/>
      <c r="N38" s="356" t="n"/>
      <c r="O38" s="103" t="n"/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56" t="n"/>
      <c r="I39" s="356" t="n"/>
      <c r="J39" s="356" t="n"/>
      <c r="K39" s="356" t="n"/>
      <c r="L39" s="356" t="n"/>
      <c r="M39" s="356" t="n"/>
      <c r="N39" s="356" t="n"/>
      <c r="O39" s="103" t="n"/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56" t="n"/>
      <c r="I40" s="356" t="n"/>
      <c r="J40" s="356" t="n"/>
      <c r="K40" s="356" t="n"/>
      <c r="L40" s="356" t="n"/>
      <c r="M40" s="356" t="n"/>
      <c r="N40" s="356" t="n"/>
      <c r="O40" s="103" t="n"/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103" t="n"/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103" t="n"/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56" t="n"/>
      <c r="I43" s="356" t="n"/>
      <c r="J43" s="356" t="n"/>
      <c r="K43" s="356" t="n"/>
      <c r="L43" s="356" t="n"/>
      <c r="M43" s="356" t="n"/>
      <c r="N43" s="356" t="n"/>
      <c r="O43" s="103" t="n"/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56" t="n"/>
      <c r="I44" s="356" t="n"/>
      <c r="J44" s="356" t="n"/>
      <c r="K44" s="356" t="n"/>
      <c r="L44" s="356" t="n"/>
      <c r="M44" s="356" t="n"/>
      <c r="N44" s="356" t="n"/>
      <c r="O44" s="103" t="n"/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56" t="n"/>
      <c r="I45" s="356" t="n"/>
      <c r="J45" s="356" t="n"/>
      <c r="K45" s="356" t="n"/>
      <c r="L45" s="356" t="n"/>
      <c r="M45" s="356" t="n"/>
      <c r="N45" s="356" t="n"/>
      <c r="O45" s="103" t="n"/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356" t="n"/>
      <c r="N46" s="356" t="n"/>
      <c r="O46" s="103" t="n"/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56" t="n"/>
      <c r="I47" s="356" t="n"/>
      <c r="J47" s="356" t="n"/>
      <c r="K47" s="356" t="n"/>
      <c r="L47" s="356" t="n"/>
      <c r="M47" s="356" t="n"/>
      <c r="N47" s="356" t="n"/>
      <c r="O47" s="103" t="n"/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356" t="n"/>
      <c r="N48" s="356" t="n"/>
      <c r="O48" s="103" t="n"/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56" t="n"/>
      <c r="I49" s="356" t="n"/>
      <c r="J49" s="356" t="n"/>
      <c r="K49" s="356" t="n"/>
      <c r="L49" s="356" t="n"/>
      <c r="M49" s="356" t="n"/>
      <c r="N49" s="356" t="n"/>
      <c r="O49" s="103" t="n"/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56" t="n"/>
      <c r="I50" s="356" t="n"/>
      <c r="J50" s="356" t="n"/>
      <c r="K50" s="356" t="n"/>
      <c r="L50" s="356" t="n"/>
      <c r="M50" s="356" t="n"/>
      <c r="N50" s="356" t="n"/>
      <c r="O50" s="103" t="n"/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56" t="n"/>
      <c r="I51" s="356" t="n"/>
      <c r="J51" s="356" t="n"/>
      <c r="K51" s="356" t="n"/>
      <c r="L51" s="356" t="n"/>
      <c r="M51" s="356" t="n"/>
      <c r="N51" s="356" t="n"/>
      <c r="O51" s="103" t="n"/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56" t="n"/>
      <c r="I52" s="356" t="n"/>
      <c r="J52" s="356" t="n"/>
      <c r="K52" s="356" t="n"/>
      <c r="L52" s="356" t="n"/>
      <c r="M52" s="356" t="n"/>
      <c r="N52" s="356" t="n"/>
      <c r="O52" s="103" t="n"/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56" t="n"/>
      <c r="I53" s="356" t="n"/>
      <c r="J53" s="356" t="n"/>
      <c r="K53" s="356" t="n"/>
      <c r="L53" s="356" t="n"/>
      <c r="M53" s="356" t="n"/>
      <c r="N53" s="356" t="n"/>
      <c r="O53" s="103" t="n"/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56" t="n"/>
      <c r="I54" s="356" t="n"/>
      <c r="J54" s="356" t="n"/>
      <c r="K54" s="356" t="n"/>
      <c r="L54" s="356" t="n"/>
      <c r="M54" s="356" t="n"/>
      <c r="N54" s="356" t="n"/>
      <c r="O54" s="103" t="n"/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56" t="n"/>
      <c r="I55" s="356" t="n"/>
      <c r="J55" s="356" t="n"/>
      <c r="K55" s="356" t="n"/>
      <c r="L55" s="356" t="n"/>
      <c r="M55" s="356" t="n"/>
      <c r="N55" s="356" t="n"/>
      <c r="O55" s="103" t="n"/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356" t="n"/>
      <c r="N56" s="356" t="n"/>
      <c r="O56" s="103" t="n"/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56" t="n"/>
      <c r="I57" s="356" t="n"/>
      <c r="J57" s="356" t="n"/>
      <c r="K57" s="356" t="n"/>
      <c r="L57" s="356" t="n"/>
      <c r="M57" s="356" t="n"/>
      <c r="N57" s="356" t="n"/>
      <c r="O57" s="103" t="n"/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356" t="n"/>
      <c r="N58" s="356" t="n"/>
      <c r="O58" s="103" t="n"/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56" t="n"/>
      <c r="I59" s="356" t="n"/>
      <c r="J59" s="356" t="n"/>
      <c r="K59" s="356" t="n"/>
      <c r="L59" s="356" t="n"/>
      <c r="M59" s="356" t="n"/>
      <c r="N59" s="356" t="n"/>
      <c r="O59" s="103" t="n"/>
    </row>
    <row r="60">
      <c r="A60" s="83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104" t="n"/>
    </row>
  </sheetData>
  <mergeCells count="1">
    <mergeCell ref="A1:O1"/>
  </mergeCells>
  <dataValidations count="4">
    <dataValidation sqref="N4:N60" showDropDown="0" showInputMessage="0" showErrorMessage="1" allowBlank="0" errorTitle="Invalid AF profile" error="Select an exact controlled value from the Vocabulary sheet." type="list" errorStyle="stop">
      <formula1>INDIRECT("Vocabulary!$K$7:$K$9")</formula1>
    </dataValidation>
    <dataValidation sqref="O4:O60" showDropDown="0" showInputMessage="0" showErrorMessage="1" allowBlank="0" errorTitle="Invalid candidate record status" error="Select an exact controlled value from the Vocabulary sheet." type="list" errorStyle="stop">
      <formula1>INDIRECT("Vocabulary!$L$5:$L$9")</formula1>
    </dataValidation>
    <dataValidation sqref="N4:N250" showDropDown="0" showInputMessage="0" showErrorMessage="1" allowBlank="0" errorTitle="Invalid AF profile" error="Select an exact controlled value from the Vocabulary sheet." type="list" errorStyle="stop">
      <formula1>INDIRECT("Vocabulary!$K$7:$K$9")</formula1>
    </dataValidation>
    <dataValidation sqref="O4:O250" showDropDown="0" showInputMessage="0" showErrorMessage="1" allowBlank="0" errorTitle="Invalid candidate record status" error="Select an exact controlled value from the Vocabulary sheet." type="list" errorStyle="stop">
      <formula1>INDIRECT("Vocabulary!$L$5:$L$9")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50"/>
  <sheetViews>
    <sheetView workbookViewId="0">
      <selection activeCell="A1" sqref="A1"/>
    </sheetView>
  </sheetViews>
  <sheetFormatPr baseColWidth="8" defaultRowHeight="15"/>
  <cols>
    <col width="17" customWidth="1" style="215" min="1" max="1"/>
    <col width="18" customWidth="1" style="215" min="2" max="2"/>
    <col width="18" customWidth="1" style="215" min="3" max="3"/>
    <col width="22" customWidth="1" style="215" min="4" max="4"/>
    <col width="16" customWidth="1" style="215" min="5" max="5"/>
    <col width="22" customWidth="1" style="215" min="6" max="6"/>
    <col width="24" customWidth="1" style="215" min="7" max="7"/>
    <col width="18" customWidth="1" style="215" min="8" max="8"/>
    <col width="25" customWidth="1" style="215" min="9" max="9"/>
    <col width="22" customWidth="1" style="215" min="10" max="10"/>
    <col width="24" customWidth="1" style="215" min="11" max="11"/>
    <col width="24" customWidth="1" style="215" min="12" max="12"/>
    <col width="24" customWidth="1" style="215" min="13" max="13"/>
    <col width="24" customWidth="1" style="215" min="14" max="14"/>
    <col width="24" customWidth="1" style="215" min="15" max="15"/>
    <col width="25" customWidth="1" style="215" min="16" max="16"/>
    <col width="38" customWidth="1" style="215" min="17" max="17"/>
    <col width="38" customWidth="1" style="215" min="18" max="18"/>
    <col width="14" customWidth="1" style="215" min="19" max="19"/>
    <col width="62" customWidth="1" style="215" min="20" max="20"/>
    <col width="20" customWidth="1" style="215" min="21" max="21"/>
    <col width="24" customWidth="1" style="215" min="22" max="22"/>
    <col width="24" customWidth="1" style="215" min="23" max="23"/>
    <col width="34" customWidth="1" style="215" min="24" max="24"/>
    <col width="20" customWidth="1" style="215" min="25" max="25"/>
    <col width="24" customWidth="1" style="215" min="26" max="26"/>
    <col width="22" customWidth="1" style="215" min="27" max="27"/>
    <col width="22" customWidth="1" style="215" min="28" max="28"/>
    <col width="22" customWidth="1" style="215" min="29" max="29"/>
    <col width="22" customWidth="1" style="215" min="30" max="30"/>
    <col width="32" customWidth="1" style="215" min="31" max="31"/>
    <col width="40" customWidth="1" style="215" min="32" max="32"/>
    <col width="24" customWidth="1" style="215" min="33" max="33"/>
    <col width="18" customWidth="1" style="215" min="34" max="34"/>
    <col width="24" customWidth="1" style="215" min="35" max="35"/>
    <col width="26" customWidth="1" style="215" min="36" max="36"/>
    <col width="18" customWidth="1" style="215" min="37" max="37"/>
    <col width="42" customWidth="1" style="215" min="38" max="38"/>
    <col width="30" customWidth="1" style="215" min="39" max="39"/>
  </cols>
  <sheetData>
    <row r="1" ht="28" customHeight="1" s="215">
      <c r="A1" s="536" t="inlineStr">
        <is>
          <t>Stage A Non-Compensatory Eligibility Record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  <c r="U1" s="442" t="n"/>
      <c r="V1" s="442" t="n"/>
      <c r="W1" s="442" t="n"/>
      <c r="X1" s="442" t="n"/>
      <c r="Y1" s="442" t="n"/>
      <c r="Z1" s="442" t="n"/>
      <c r="AA1" s="442" t="n"/>
      <c r="AB1" s="442" t="n"/>
      <c r="AC1" s="442" t="n"/>
      <c r="AD1" s="442" t="n"/>
      <c r="AE1" s="442" t="n"/>
      <c r="AF1" s="442" t="n"/>
      <c r="AG1" s="442" t="n"/>
      <c r="AH1" s="442" t="n"/>
      <c r="AI1" s="442" t="n"/>
      <c r="AJ1" s="442" t="n"/>
      <c r="AK1" s="442" t="n"/>
      <c r="AL1" s="442" t="n"/>
      <c r="AM1" s="442" t="n"/>
    </row>
    <row r="2"/>
    <row r="3" ht="34" customHeight="1" s="215">
      <c r="A3" s="421" t="inlineStr">
        <is>
          <t>Review_ID</t>
        </is>
      </c>
      <c r="B3" s="421" t="inlineStr">
        <is>
          <t>Candidate_ID</t>
        </is>
      </c>
      <c r="C3" s="421" t="inlineStr">
        <is>
          <t>Scope_ID</t>
        </is>
      </c>
      <c r="D3" s="421" t="inlineStr">
        <is>
          <t>Profile</t>
        </is>
      </c>
      <c r="E3" s="421" t="inlineStr">
        <is>
          <t>Evidence_Cutoff</t>
        </is>
      </c>
      <c r="F3" s="421" t="inlineStr">
        <is>
          <t>Host_ID</t>
        </is>
      </c>
      <c r="G3" s="421" t="inlineStr">
        <is>
          <t>Independence_Dossier_ID</t>
        </is>
      </c>
      <c r="H3" s="421" t="inlineStr">
        <is>
          <t>Administration_Valid</t>
        </is>
      </c>
      <c r="I3" s="421" t="inlineStr">
        <is>
          <t>Burden_Feasibility</t>
        </is>
      </c>
      <c r="J3" s="421" t="inlineStr">
        <is>
          <t>Protected_Floor_Unresolved</t>
        </is>
      </c>
      <c r="K3" s="421" t="inlineStr">
        <is>
          <t>C0_Inspectability</t>
        </is>
      </c>
      <c r="L3" s="421" t="inlineStr">
        <is>
          <t>C1_Rights</t>
        </is>
      </c>
      <c r="M3" s="421" t="inlineStr">
        <is>
          <t>C2_Auditability</t>
        </is>
      </c>
      <c r="N3" s="421" t="inlineStr">
        <is>
          <t>C3_Measurement</t>
        </is>
      </c>
      <c r="O3" s="421" t="inlineStr">
        <is>
          <t>C4_Corrigibility</t>
        </is>
      </c>
      <c r="P3" s="421" t="inlineStr">
        <is>
          <t>C5_Refusal_Authority</t>
        </is>
      </c>
      <c r="Q3" s="421" t="inlineStr">
        <is>
          <t>Derived_Overall_Status</t>
        </is>
      </c>
      <c r="R3" s="421" t="inlineStr">
        <is>
          <t>Recorded_Overall_Status</t>
        </is>
      </c>
      <c r="S3" s="421" t="inlineStr">
        <is>
          <t>Status_Match</t>
        </is>
      </c>
      <c r="T3" s="421" t="inlineStr">
        <is>
          <t>Public_Status_String</t>
        </is>
      </c>
      <c r="U3" s="421" t="inlineStr">
        <is>
          <t>Root_Cause_Map_ID</t>
        </is>
      </c>
      <c r="V3" s="421" t="inlineStr">
        <is>
          <t>Dissent_Refs</t>
        </is>
      </c>
      <c r="W3" s="421" t="inlineStr">
        <is>
          <t>Affected_Party_Refs</t>
        </is>
      </c>
      <c r="X3" s="421" t="inlineStr">
        <is>
          <t>Appeal_Route</t>
        </is>
      </c>
      <c r="Y3" s="421" t="inlineStr">
        <is>
          <t>Issued_At</t>
        </is>
      </c>
      <c r="Z3" s="421" t="inlineStr">
        <is>
          <t>Expiry_or_Requalification</t>
        </is>
      </c>
      <c r="AA3" s="421" t="inlineStr">
        <is>
          <t>Unpatchable_Count</t>
        </is>
      </c>
      <c r="AB3" s="421" t="inlineStr">
        <is>
          <t>Patchable_Count</t>
        </is>
      </c>
      <c r="AC3" s="421" t="inlineStr">
        <is>
          <t>Indeterminate_Count</t>
        </is>
      </c>
      <c r="AD3" s="421" t="inlineStr">
        <is>
          <t>Controlled_Adequacy_Count</t>
        </is>
      </c>
      <c r="AE3" s="421" t="inlineStr">
        <is>
          <t>Eligibility_Gate</t>
        </is>
      </c>
      <c r="AF3" s="421" t="inlineStr">
        <is>
          <t>Canonical_Status_Token</t>
        </is>
      </c>
      <c r="AG3" s="421" t="inlineStr">
        <is>
          <t>Public_String_Check</t>
        </is>
      </c>
      <c r="AH3" s="421" t="inlineStr">
        <is>
          <t>Adequate_Count</t>
        </is>
      </c>
      <c r="AI3" s="421" t="inlineStr">
        <is>
          <t>Criterion_Value_Check</t>
        </is>
      </c>
      <c r="AJ3" s="421" t="inlineStr">
        <is>
          <t>Administrative_Disposition</t>
        </is>
      </c>
      <c r="AK3" s="421" t="inlineStr">
        <is>
          <t>Protocol_Version</t>
        </is>
      </c>
      <c r="AL3" s="421" t="inlineStr">
        <is>
          <t>Constitutional_Legitimacy_Basis</t>
        </is>
      </c>
      <c r="AM3" s="421" t="inlineStr">
        <is>
          <t>Administrative_Disposition_Check</t>
        </is>
      </c>
    </row>
    <row r="4">
      <c r="A4" s="81" t="inlineStr">
        <is>
          <t>SAR-ILL-001</t>
        </is>
      </c>
      <c r="B4" s="356" t="inlineStr">
        <is>
          <t>SYNTH-CAND-HC</t>
        </is>
      </c>
      <c r="C4" s="356" t="inlineStr">
        <is>
          <t>SCOPE-ILL-001</t>
        </is>
      </c>
      <c r="D4" s="356" t="inlineStr">
        <is>
          <t>AF-High-Consequence</t>
        </is>
      </c>
      <c r="E4" s="356" t="inlineStr">
        <is>
          <t>2026-08-11</t>
        </is>
      </c>
      <c r="F4" s="356" t="inlineStr">
        <is>
          <t>HOST-INDEPENDENT-01</t>
        </is>
      </c>
      <c r="G4" s="356" t="inlineStr">
        <is>
          <t>IND-ILL-001</t>
        </is>
      </c>
      <c r="H4" s="356" t="inlineStr">
        <is>
          <t>Yes</t>
        </is>
      </c>
      <c r="I4" s="356" t="inlineStr">
        <is>
          <t>Feasible with verified support</t>
        </is>
      </c>
      <c r="J4" s="356" t="inlineStr">
        <is>
          <t>No</t>
        </is>
      </c>
      <c r="K4" s="356" t="inlineStr">
        <is>
          <t>Adequate for scope</t>
        </is>
      </c>
      <c r="L4" s="356" t="inlineStr">
        <is>
          <t>Adequate for scope</t>
        </is>
      </c>
      <c r="M4" s="356" t="inlineStr">
        <is>
          <t>Adequate for scope</t>
        </is>
      </c>
      <c r="N4" s="356" t="inlineStr">
        <is>
          <t>Material defect - patchable</t>
        </is>
      </c>
      <c r="O4" s="356" t="inlineStr">
        <is>
          <t>Adequate for scope</t>
        </is>
      </c>
      <c r="P4" s="356" t="inlineStr">
        <is>
          <t>Adequate for scope</t>
        </is>
      </c>
      <c r="Q4" s="302">
        <f>IF(AE4="","",IF(AE4="ADMIN_DISPOSITION",AJ4,IF(OR(AE4="ADMIN_INCOMPLETE",AE4="ADMIN_INVALID",AE4="BURDEN_NOT_FEASIBLE",AE4="UNRECOGNISED_VALUE",AE4="UNRECOGNISED_ADMIN_DISPOSITION"),"Protocol refusal to evaluate",IF(AA4&gt;0,"Stage-A non-admissible - unpatchable for stated claim",IF(AB4&gt;0,"Stage-A non-admissible - patchable",IF(OR(J4="Yes",I4="Indeterminate",AC4&gt;0),"Indeterminate - insufficient evidence",IF(AND(AH4=6,AD4=0),"Stage-A admissible - scoped",IF(AND(AH4+AD4=6,AD4&gt;0),"Stage-A admissible - scoped, control-dependent","Protocol refusal to evaluate"))))))))</f>
        <v/>
      </c>
      <c r="R4" s="356" t="inlineStr">
        <is>
          <t>Stage-A non-admissible - patchable</t>
        </is>
      </c>
      <c r="S4" s="302">
        <f>IF(AND(Q4="",R4=""),"",IF(AND(Q4&lt;&gt;"",R4=""),"UNRECORDED",IF(AND(Q4="",R4&lt;&gt;""),"ORPHAN_RECORDED",IF(Q4=R4,"MATCH","MISMATCH"))))</f>
        <v/>
      </c>
      <c r="T4" s="356" t="inlineStr">
        <is>
          <t>Stage-A non-admissible - patchable | token=stage_a_non_admissible_patchable; | Candidate SYNTH-CAND-HC | Scope SCOPE-ILL-001 | Evidence cutoff 2026-08-11 | AF v6.2 | CL basis=CL1 self-assessment; CL2 design materials only;</t>
        </is>
      </c>
      <c r="U4" s="356" t="inlineStr">
        <is>
          <t>RCM-ILL-001</t>
        </is>
      </c>
      <c r="V4" s="356" t="inlineStr">
        <is>
          <t>DISSENT-ILL-001</t>
        </is>
      </c>
      <c r="W4" s="356" t="inlineStr">
        <is>
          <t>AP-ILL-001</t>
        </is>
      </c>
      <c r="X4" s="356" t="inlineStr">
        <is>
          <t>Independent appeal panel</t>
        </is>
      </c>
      <c r="Y4" s="356" t="inlineStr">
        <is>
          <t>2026-08-11 12:00Z</t>
        </is>
      </c>
      <c r="Z4" s="103" t="inlineStr">
        <is>
          <t>2027-02-11 12:00Z</t>
        </is>
      </c>
      <c r="AA4" s="195">
        <f>COUNTIF(K4:P4,"Material defect - unpatchable for stated claim")</f>
        <v/>
      </c>
      <c r="AB4" s="302">
        <f>COUNTIF(K4:P4,"Material defect - patchable")</f>
        <v/>
      </c>
      <c r="AC4" s="302">
        <f>COUNTIF(K4:P4,"Indeterminate")+COUNTIF(K4:P4,"Not reviewed")</f>
        <v/>
      </c>
      <c r="AD4" s="302">
        <f>COUNTIF(K4:P4,"Adequate - control-dependent")</f>
        <v/>
      </c>
      <c r="AE4" s="111">
        <f>IF(COUNTA(A4:P4)+COUNTA(AJ4)=0,"",IF(AM4&lt;&gt;"OK","UNRECOGNISED_ADMIN_DISPOSITION",IF(AND(AJ4&lt;&gt;"",AJ4&lt;&gt;"None"),IF(OR(LEN(TRIM(A4))=0,LEN(TRIM(B4))=0,LEN(TRIM(C4))=0,LEN(TRIM(F4))=0),"ADMIN_INCOMPLETE","ADMIN_DISPOSITION"),IF(OR(LEN(TRIM(A4))=0,LEN(TRIM(B4))=0,LEN(TRIM(C4))=0,LEN(TRIM(D4))=0,LEN(TRIM(E4))=0,LEN(TRIM(F4))=0,LEN(TRIM(G4))=0,LEN(TRIM(H4))=0,LEN(TRIM(I4))=0,LEN(TRIM(J4))=0,LEN(TRIM(K4))=0,LEN(TRIM(L4))=0,LEN(TRIM(M4))=0,LEN(TRIM(N4))=0,LEN(TRIM(O4))=0,LEN(TRIM(P4))=0),"ADMIN_INCOMPLETE",IF(H4&lt;&gt;"Yes","ADMIN_INVALID",IF(I4="Not feasible","BURDEN_NOT_FEASIBLE",IF(AI4&lt;&gt;"OK","UNRECOGNISED_VALUE","CLEAR")))))))</f>
        <v/>
      </c>
      <c r="AF4" s="276">
        <f>IF(AND(Q4="",R4=""),"",IF(IF(Q4&lt;&gt;"",Q4,R4)="Stage-A admissible - scoped","stage_a_admissible_scoped",IF(IF(Q4&lt;&gt;"",Q4,R4)="Stage-A admissible - scoped, control-dependent","stage_a_admissible_scoped_control_dependent",IF(IF(Q4&lt;&gt;"",Q4,R4)="Stage-A non-admissible - patchable","stage_a_non_admissible_patchable",IF(IF(Q4&lt;&gt;"",Q4,R4)="Stage-A non-admissible - unpatchable for stated claim","stage_a_non_admissible_unpatchable_for_stated_claim",IF(IF(Q4&lt;&gt;"",Q4,R4)="Indeterminate - insufficient evidence","indeterminate_insufficient_evidence",IF(IF(Q4&lt;&gt;"",Q4,R4)="Protocol refusal to evaluate","protocol_refusal_to_evaluate",IF(IF(Q4&lt;&gt;"",Q4,R4)="Out of scope","out_of_scope",IF(IF(Q4&lt;&gt;"",Q4,R4)="Withdrawn","withdrawn",IF(IF(Q4&lt;&gt;"",Q4,R4)="Not reviewed","not_reviewed","unknown_status"))))))))))</f>
        <v/>
      </c>
      <c r="AG4" s="277">
        <f>IF(AND(AF4="",T4=""),"",IF(AND(AF4&lt;&gt;"",ISNUMBER(SEARCH("token="&amp;AF4&amp;";",T4)),ISNUMBER(SEARCH(AK4,T4)),ISNUMBER(SEARCH("CL basis="&amp;AL4&amp;";",T4))),"VALID","INVALID_OR_INCOMPLETE"))</f>
        <v/>
      </c>
      <c r="AH4" s="303">
        <f>COUNTIF(K4:P4,"Adequate for scope")</f>
        <v/>
      </c>
      <c r="AI4" s="303">
        <f>IF(COUNTA(K4:P4)=0,"",IF(AA4+AB4+AC4+AD4+AH4=6,"OK","UNRECOGNISED_VALUE"))</f>
        <v/>
      </c>
      <c r="AJ4" s="303" t="n"/>
      <c r="AK4" s="303">
        <f>IF(A4="","",Vocabulary!$B$5)</f>
        <v/>
      </c>
      <c r="AL4" s="303">
        <f>IF(A4="","",Vocabulary!$B$6)</f>
        <v/>
      </c>
      <c r="AM4" s="303">
        <f>IF(AJ4="","OK",IF(COUNTIF(Vocabulary!$O$5:$O$8,AJ4)=1,"OK","UNRECOGNISED_ADMIN_DISPOSITION"))</f>
        <v/>
      </c>
    </row>
    <row r="5">
      <c r="A5" s="81" t="n"/>
      <c r="B5" s="356" t="n"/>
      <c r="C5" s="356" t="n"/>
      <c r="D5" s="356" t="n"/>
      <c r="E5" s="356" t="n"/>
      <c r="F5" s="356" t="n"/>
      <c r="G5" s="356" t="n"/>
      <c r="H5" s="356" t="n"/>
      <c r="I5" s="356" t="n"/>
      <c r="J5" s="356" t="n"/>
      <c r="K5" s="356" t="n"/>
      <c r="L5" s="356" t="n"/>
      <c r="M5" s="356" t="n"/>
      <c r="N5" s="356" t="n"/>
      <c r="O5" s="356" t="n"/>
      <c r="P5" s="356" t="n"/>
      <c r="Q5" s="302">
        <f>IF(AE5="","",IF(AE5="ADMIN_DISPOSITION",AJ5,IF(OR(AE5="ADMIN_INCOMPLETE",AE5="ADMIN_INVALID",AE5="BURDEN_NOT_FEASIBLE",AE5="UNRECOGNISED_VALUE",AE5="UNRECOGNISED_ADMIN_DISPOSITION"),"Protocol refusal to evaluate",IF(AA5&gt;0,"Stage-A non-admissible - unpatchable for stated claim",IF(AB5&gt;0,"Stage-A non-admissible - patchable",IF(OR(J5="Yes",I5="Indeterminate",AC5&gt;0),"Indeterminate - insufficient evidence",IF(AND(AH5=6,AD5=0),"Stage-A admissible - scoped",IF(AND(AH5+AD5=6,AD5&gt;0),"Stage-A admissible - scoped, control-dependent","Protocol refusal to evaluate"))))))))</f>
        <v/>
      </c>
      <c r="R5" s="356" t="n"/>
      <c r="S5" s="302">
        <f>IF(AND(Q5="",R5=""),"",IF(AND(Q5&lt;&gt;"",R5=""),"UNRECORDED",IF(AND(Q5="",R5&lt;&gt;""),"ORPHAN_RECORDED",IF(Q5=R5,"MATCH","MISMATCH"))))</f>
        <v/>
      </c>
      <c r="T5" s="356" t="n"/>
      <c r="U5" s="356" t="n"/>
      <c r="V5" s="356" t="n"/>
      <c r="W5" s="356" t="n"/>
      <c r="X5" s="356" t="n"/>
      <c r="Y5" s="356" t="n"/>
      <c r="Z5" s="103" t="n"/>
      <c r="AA5" s="195">
        <f>COUNTIF(K5:P5,"Material defect - unpatchable for stated claim")</f>
        <v/>
      </c>
      <c r="AB5" s="302">
        <f>COUNTIF(K5:P5,"Material defect - patchable")</f>
        <v/>
      </c>
      <c r="AC5" s="302">
        <f>COUNTIF(K5:P5,"Indeterminate")+COUNTIF(K5:P5,"Not reviewed")</f>
        <v/>
      </c>
      <c r="AD5" s="302">
        <f>COUNTIF(K5:P5,"Adequate - control-dependent")</f>
        <v/>
      </c>
      <c r="AE5" s="111">
        <f>IF(COUNTA(A5:P5)+COUNTA(AJ5)=0,"",IF(AM5&lt;&gt;"OK","UNRECOGNISED_ADMIN_DISPOSITION",IF(AND(AJ5&lt;&gt;"",AJ5&lt;&gt;"None"),IF(OR(LEN(TRIM(A5))=0,LEN(TRIM(B5))=0,LEN(TRIM(C5))=0,LEN(TRIM(F5))=0),"ADMIN_INCOMPLETE","ADMIN_DISPOSITION"),IF(OR(LEN(TRIM(A5))=0,LEN(TRIM(B5))=0,LEN(TRIM(C5))=0,LEN(TRIM(D5))=0,LEN(TRIM(E5))=0,LEN(TRIM(F5))=0,LEN(TRIM(G5))=0,LEN(TRIM(H5))=0,LEN(TRIM(I5))=0,LEN(TRIM(J5))=0,LEN(TRIM(K5))=0,LEN(TRIM(L5))=0,LEN(TRIM(M5))=0,LEN(TRIM(N5))=0,LEN(TRIM(O5))=0,LEN(TRIM(P5))=0),"ADMIN_INCOMPLETE",IF(H5&lt;&gt;"Yes","ADMIN_INVALID",IF(I5="Not feasible","BURDEN_NOT_FEASIBLE",IF(AI5&lt;&gt;"OK","UNRECOGNISED_VALUE","CLEAR")))))))</f>
        <v/>
      </c>
      <c r="AF5" s="276">
        <f>IF(AND(Q5="",R5=""),"",IF(IF(Q5&lt;&gt;"",Q5,R5)="Stage-A admissible - scoped","stage_a_admissible_scoped",IF(IF(Q5&lt;&gt;"",Q5,R5)="Stage-A admissible - scoped, control-dependent","stage_a_admissible_scoped_control_dependent",IF(IF(Q5&lt;&gt;"",Q5,R5)="Stage-A non-admissible - patchable","stage_a_non_admissible_patchable",IF(IF(Q5&lt;&gt;"",Q5,R5)="Stage-A non-admissible - unpatchable for stated claim","stage_a_non_admissible_unpatchable_for_stated_claim",IF(IF(Q5&lt;&gt;"",Q5,R5)="Indeterminate - insufficient evidence","indeterminate_insufficient_evidence",IF(IF(Q5&lt;&gt;"",Q5,R5)="Protocol refusal to evaluate","protocol_refusal_to_evaluate",IF(IF(Q5&lt;&gt;"",Q5,R5)="Out of scope","out_of_scope",IF(IF(Q5&lt;&gt;"",Q5,R5)="Withdrawn","withdrawn",IF(IF(Q5&lt;&gt;"",Q5,R5)="Not reviewed","not_reviewed","unknown_status"))))))))))</f>
        <v/>
      </c>
      <c r="AG5" s="277">
        <f>IF(AND(AF5="",T5=""),"",IF(AND(AF5&lt;&gt;"",ISNUMBER(SEARCH("token="&amp;AF5&amp;";",T5)),ISNUMBER(SEARCH(AK5,T5)),ISNUMBER(SEARCH("CL basis="&amp;AL5&amp;";",T5))),"VALID","INVALID_OR_INCOMPLETE"))</f>
        <v/>
      </c>
      <c r="AH5" s="303">
        <f>COUNTIF(K5:P5,"Adequate for scope")</f>
        <v/>
      </c>
      <c r="AI5" s="303">
        <f>IF(COUNTA(K5:P5)=0,"",IF(AA5+AB5+AC5+AD5+AH5=6,"OK","UNRECOGNISED_VALUE"))</f>
        <v/>
      </c>
      <c r="AJ5" s="303" t="n"/>
      <c r="AK5" s="303">
        <f>IF(A5="","",Vocabulary!$B$5)</f>
        <v/>
      </c>
      <c r="AL5" s="303">
        <f>IF(A5="","",Vocabulary!$B$6)</f>
        <v/>
      </c>
      <c r="AM5" s="303">
        <f>IF(AJ5="","OK",IF(COUNTIF(Vocabulary!$O$5:$O$8,AJ5)=1,"OK","UNRECOGNISED_ADMIN_DISPOSITION"))</f>
        <v/>
      </c>
    </row>
    <row r="6">
      <c r="A6" s="81" t="n"/>
      <c r="B6" s="356" t="n"/>
      <c r="C6" s="356" t="n"/>
      <c r="D6" s="356" t="n"/>
      <c r="E6" s="356" t="n"/>
      <c r="F6" s="356" t="n"/>
      <c r="G6" s="356" t="n"/>
      <c r="H6" s="356" t="n"/>
      <c r="I6" s="356" t="n"/>
      <c r="J6" s="356" t="n"/>
      <c r="K6" s="356" t="n"/>
      <c r="L6" s="356" t="n"/>
      <c r="M6" s="356" t="n"/>
      <c r="N6" s="356" t="n"/>
      <c r="O6" s="356" t="n"/>
      <c r="P6" s="356" t="n"/>
      <c r="Q6" s="302">
        <f>IF(AE6="","",IF(AE6="ADMIN_DISPOSITION",AJ6,IF(OR(AE6="ADMIN_INCOMPLETE",AE6="ADMIN_INVALID",AE6="BURDEN_NOT_FEASIBLE",AE6="UNRECOGNISED_VALUE",AE6="UNRECOGNISED_ADMIN_DISPOSITION"),"Protocol refusal to evaluate",IF(AA6&gt;0,"Stage-A non-admissible - unpatchable for stated claim",IF(AB6&gt;0,"Stage-A non-admissible - patchable",IF(OR(J6="Yes",I6="Indeterminate",AC6&gt;0),"Indeterminate - insufficient evidence",IF(AND(AH6=6,AD6=0),"Stage-A admissible - scoped",IF(AND(AH6+AD6=6,AD6&gt;0),"Stage-A admissible - scoped, control-dependent","Protocol refusal to evaluate"))))))))</f>
        <v/>
      </c>
      <c r="R6" s="356" t="n"/>
      <c r="S6" s="302">
        <f>IF(AND(Q6="",R6=""),"",IF(AND(Q6&lt;&gt;"",R6=""),"UNRECORDED",IF(AND(Q6="",R6&lt;&gt;""),"ORPHAN_RECORDED",IF(Q6=R6,"MATCH","MISMATCH"))))</f>
        <v/>
      </c>
      <c r="T6" s="356" t="n"/>
      <c r="U6" s="356" t="n"/>
      <c r="V6" s="356" t="n"/>
      <c r="W6" s="356" t="n"/>
      <c r="X6" s="356" t="n"/>
      <c r="Y6" s="356" t="n"/>
      <c r="Z6" s="103" t="n"/>
      <c r="AA6" s="195">
        <f>COUNTIF(K6:P6,"Material defect - unpatchable for stated claim")</f>
        <v/>
      </c>
      <c r="AB6" s="302">
        <f>COUNTIF(K6:P6,"Material defect - patchable")</f>
        <v/>
      </c>
      <c r="AC6" s="302">
        <f>COUNTIF(K6:P6,"Indeterminate")+COUNTIF(K6:P6,"Not reviewed")</f>
        <v/>
      </c>
      <c r="AD6" s="302">
        <f>COUNTIF(K6:P6,"Adequate - control-dependent")</f>
        <v/>
      </c>
      <c r="AE6" s="111">
        <f>IF(COUNTA(A6:P6)+COUNTA(AJ6)=0,"",IF(AM6&lt;&gt;"OK","UNRECOGNISED_ADMIN_DISPOSITION",IF(AND(AJ6&lt;&gt;"",AJ6&lt;&gt;"None"),IF(OR(LEN(TRIM(A6))=0,LEN(TRIM(B6))=0,LEN(TRIM(C6))=0,LEN(TRIM(F6))=0),"ADMIN_INCOMPLETE","ADMIN_DISPOSITION"),IF(OR(LEN(TRIM(A6))=0,LEN(TRIM(B6))=0,LEN(TRIM(C6))=0,LEN(TRIM(D6))=0,LEN(TRIM(E6))=0,LEN(TRIM(F6))=0,LEN(TRIM(G6))=0,LEN(TRIM(H6))=0,LEN(TRIM(I6))=0,LEN(TRIM(J6))=0,LEN(TRIM(K6))=0,LEN(TRIM(L6))=0,LEN(TRIM(M6))=0,LEN(TRIM(N6))=0,LEN(TRIM(O6))=0,LEN(TRIM(P6))=0),"ADMIN_INCOMPLETE",IF(H6&lt;&gt;"Yes","ADMIN_INVALID",IF(I6="Not feasible","BURDEN_NOT_FEASIBLE",IF(AI6&lt;&gt;"OK","UNRECOGNISED_VALUE","CLEAR")))))))</f>
        <v/>
      </c>
      <c r="AF6" s="276">
        <f>IF(AND(Q6="",R6=""),"",IF(IF(Q6&lt;&gt;"",Q6,R6)="Stage-A admissible - scoped","stage_a_admissible_scoped",IF(IF(Q6&lt;&gt;"",Q6,R6)="Stage-A admissible - scoped, control-dependent","stage_a_admissible_scoped_control_dependent",IF(IF(Q6&lt;&gt;"",Q6,R6)="Stage-A non-admissible - patchable","stage_a_non_admissible_patchable",IF(IF(Q6&lt;&gt;"",Q6,R6)="Stage-A non-admissible - unpatchable for stated claim","stage_a_non_admissible_unpatchable_for_stated_claim",IF(IF(Q6&lt;&gt;"",Q6,R6)="Indeterminate - insufficient evidence","indeterminate_insufficient_evidence",IF(IF(Q6&lt;&gt;"",Q6,R6)="Protocol refusal to evaluate","protocol_refusal_to_evaluate",IF(IF(Q6&lt;&gt;"",Q6,R6)="Out of scope","out_of_scope",IF(IF(Q6&lt;&gt;"",Q6,R6)="Withdrawn","withdrawn",IF(IF(Q6&lt;&gt;"",Q6,R6)="Not reviewed","not_reviewed","unknown_status"))))))))))</f>
        <v/>
      </c>
      <c r="AG6" s="277">
        <f>IF(AND(AF6="",T6=""),"",IF(AND(AF6&lt;&gt;"",ISNUMBER(SEARCH("token="&amp;AF6&amp;";",T6)),ISNUMBER(SEARCH(AK6,T6)),ISNUMBER(SEARCH("CL basis="&amp;AL6&amp;";",T6))),"VALID","INVALID_OR_INCOMPLETE"))</f>
        <v/>
      </c>
      <c r="AH6" s="303">
        <f>COUNTIF(K6:P6,"Adequate for scope")</f>
        <v/>
      </c>
      <c r="AI6" s="303">
        <f>IF(COUNTA(K6:P6)=0,"",IF(AA6+AB6+AC6+AD6+AH6=6,"OK","UNRECOGNISED_VALUE"))</f>
        <v/>
      </c>
      <c r="AJ6" s="303" t="n"/>
      <c r="AK6" s="303">
        <f>IF(A6="","",Vocabulary!$B$5)</f>
        <v/>
      </c>
      <c r="AL6" s="303">
        <f>IF(A6="","",Vocabulary!$B$6)</f>
        <v/>
      </c>
      <c r="AM6" s="303">
        <f>IF(AJ6="","OK",IF(COUNTIF(Vocabulary!$O$5:$O$8,AJ6)=1,"OK","UNRECOGNISED_ADMIN_DISPOSITION"))</f>
        <v/>
      </c>
    </row>
    <row r="7">
      <c r="A7" s="81" t="n"/>
      <c r="B7" s="356" t="n"/>
      <c r="C7" s="356" t="n"/>
      <c r="D7" s="356" t="n"/>
      <c r="E7" s="356" t="n"/>
      <c r="F7" s="356" t="n"/>
      <c r="G7" s="356" t="n"/>
      <c r="H7" s="356" t="n"/>
      <c r="I7" s="356" t="n"/>
      <c r="J7" s="356" t="n"/>
      <c r="K7" s="356" t="n"/>
      <c r="L7" s="356" t="n"/>
      <c r="M7" s="356" t="n"/>
      <c r="N7" s="356" t="n"/>
      <c r="O7" s="356" t="n"/>
      <c r="P7" s="356" t="n"/>
      <c r="Q7" s="302">
        <f>IF(AE7="","",IF(AE7="ADMIN_DISPOSITION",AJ7,IF(OR(AE7="ADMIN_INCOMPLETE",AE7="ADMIN_INVALID",AE7="BURDEN_NOT_FEASIBLE",AE7="UNRECOGNISED_VALUE",AE7="UNRECOGNISED_ADMIN_DISPOSITION"),"Protocol refusal to evaluate",IF(AA7&gt;0,"Stage-A non-admissible - unpatchable for stated claim",IF(AB7&gt;0,"Stage-A non-admissible - patchable",IF(OR(J7="Yes",I7="Indeterminate",AC7&gt;0),"Indeterminate - insufficient evidence",IF(AND(AH7=6,AD7=0),"Stage-A admissible - scoped",IF(AND(AH7+AD7=6,AD7&gt;0),"Stage-A admissible - scoped, control-dependent","Protocol refusal to evaluate"))))))))</f>
        <v/>
      </c>
      <c r="R7" s="356" t="n"/>
      <c r="S7" s="302">
        <f>IF(AND(Q7="",R7=""),"",IF(AND(Q7&lt;&gt;"",R7=""),"UNRECORDED",IF(AND(Q7="",R7&lt;&gt;""),"ORPHAN_RECORDED",IF(Q7=R7,"MATCH","MISMATCH"))))</f>
        <v/>
      </c>
      <c r="T7" s="356" t="n"/>
      <c r="U7" s="356" t="n"/>
      <c r="V7" s="356" t="n"/>
      <c r="W7" s="356" t="n"/>
      <c r="X7" s="356" t="n"/>
      <c r="Y7" s="356" t="n"/>
      <c r="Z7" s="103" t="n"/>
      <c r="AA7" s="195">
        <f>COUNTIF(K7:P7,"Material defect - unpatchable for stated claim")</f>
        <v/>
      </c>
      <c r="AB7" s="302">
        <f>COUNTIF(K7:P7,"Material defect - patchable")</f>
        <v/>
      </c>
      <c r="AC7" s="302">
        <f>COUNTIF(K7:P7,"Indeterminate")+COUNTIF(K7:P7,"Not reviewed")</f>
        <v/>
      </c>
      <c r="AD7" s="302">
        <f>COUNTIF(K7:P7,"Adequate - control-dependent")</f>
        <v/>
      </c>
      <c r="AE7" s="111">
        <f>IF(COUNTA(A7:P7)+COUNTA(AJ7)=0,"",IF(AM7&lt;&gt;"OK","UNRECOGNISED_ADMIN_DISPOSITION",IF(AND(AJ7&lt;&gt;"",AJ7&lt;&gt;"None"),IF(OR(LEN(TRIM(A7))=0,LEN(TRIM(B7))=0,LEN(TRIM(C7))=0,LEN(TRIM(F7))=0),"ADMIN_INCOMPLETE","ADMIN_DISPOSITION"),IF(OR(LEN(TRIM(A7))=0,LEN(TRIM(B7))=0,LEN(TRIM(C7))=0,LEN(TRIM(D7))=0,LEN(TRIM(E7))=0,LEN(TRIM(F7))=0,LEN(TRIM(G7))=0,LEN(TRIM(H7))=0,LEN(TRIM(I7))=0,LEN(TRIM(J7))=0,LEN(TRIM(K7))=0,LEN(TRIM(L7))=0,LEN(TRIM(M7))=0,LEN(TRIM(N7))=0,LEN(TRIM(O7))=0,LEN(TRIM(P7))=0),"ADMIN_INCOMPLETE",IF(H7&lt;&gt;"Yes","ADMIN_INVALID",IF(I7="Not feasible","BURDEN_NOT_FEASIBLE",IF(AI7&lt;&gt;"OK","UNRECOGNISED_VALUE","CLEAR")))))))</f>
        <v/>
      </c>
      <c r="AF7" s="276">
        <f>IF(AND(Q7="",R7=""),"",IF(IF(Q7&lt;&gt;"",Q7,R7)="Stage-A admissible - scoped","stage_a_admissible_scoped",IF(IF(Q7&lt;&gt;"",Q7,R7)="Stage-A admissible - scoped, control-dependent","stage_a_admissible_scoped_control_dependent",IF(IF(Q7&lt;&gt;"",Q7,R7)="Stage-A non-admissible - patchable","stage_a_non_admissible_patchable",IF(IF(Q7&lt;&gt;"",Q7,R7)="Stage-A non-admissible - unpatchable for stated claim","stage_a_non_admissible_unpatchable_for_stated_claim",IF(IF(Q7&lt;&gt;"",Q7,R7)="Indeterminate - insufficient evidence","indeterminate_insufficient_evidence",IF(IF(Q7&lt;&gt;"",Q7,R7)="Protocol refusal to evaluate","protocol_refusal_to_evaluate",IF(IF(Q7&lt;&gt;"",Q7,R7)="Out of scope","out_of_scope",IF(IF(Q7&lt;&gt;"",Q7,R7)="Withdrawn","withdrawn",IF(IF(Q7&lt;&gt;"",Q7,R7)="Not reviewed","not_reviewed","unknown_status"))))))))))</f>
        <v/>
      </c>
      <c r="AG7" s="277">
        <f>IF(AND(AF7="",T7=""),"",IF(AND(AF7&lt;&gt;"",ISNUMBER(SEARCH("token="&amp;AF7&amp;";",T7)),ISNUMBER(SEARCH(AK7,T7)),ISNUMBER(SEARCH("CL basis="&amp;AL7&amp;";",T7))),"VALID","INVALID_OR_INCOMPLETE"))</f>
        <v/>
      </c>
      <c r="AH7" s="303">
        <f>COUNTIF(K7:P7,"Adequate for scope")</f>
        <v/>
      </c>
      <c r="AI7" s="303">
        <f>IF(COUNTA(K7:P7)=0,"",IF(AA7+AB7+AC7+AD7+AH7=6,"OK","UNRECOGNISED_VALUE"))</f>
        <v/>
      </c>
      <c r="AJ7" s="303" t="n"/>
      <c r="AK7" s="303">
        <f>IF(A7="","",Vocabulary!$B$5)</f>
        <v/>
      </c>
      <c r="AL7" s="303">
        <f>IF(A7="","",Vocabulary!$B$6)</f>
        <v/>
      </c>
      <c r="AM7" s="303">
        <f>IF(AJ7="","OK",IF(COUNTIF(Vocabulary!$O$5:$O$8,AJ7)=1,"OK","UNRECOGNISED_ADMIN_DISPOSITION"))</f>
        <v/>
      </c>
    </row>
    <row r="8">
      <c r="A8" s="81" t="n"/>
      <c r="B8" s="356" t="n"/>
      <c r="C8" s="356" t="n"/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02">
        <f>IF(AE8="","",IF(AE8="ADMIN_DISPOSITION",AJ8,IF(OR(AE8="ADMIN_INCOMPLETE",AE8="ADMIN_INVALID",AE8="BURDEN_NOT_FEASIBLE",AE8="UNRECOGNISED_VALUE",AE8="UNRECOGNISED_ADMIN_DISPOSITION"),"Protocol refusal to evaluate",IF(AA8&gt;0,"Stage-A non-admissible - unpatchable for stated claim",IF(AB8&gt;0,"Stage-A non-admissible - patchable",IF(OR(J8="Yes",I8="Indeterminate",AC8&gt;0),"Indeterminate - insufficient evidence",IF(AND(AH8=6,AD8=0),"Stage-A admissible - scoped",IF(AND(AH8+AD8=6,AD8&gt;0),"Stage-A admissible - scoped, control-dependent","Protocol refusal to evaluate"))))))))</f>
        <v/>
      </c>
      <c r="R8" s="356" t="n"/>
      <c r="S8" s="302">
        <f>IF(AND(Q8="",R8=""),"",IF(AND(Q8&lt;&gt;"",R8=""),"UNRECORDED",IF(AND(Q8="",R8&lt;&gt;""),"ORPHAN_RECORDED",IF(Q8=R8,"MATCH","MISMATCH"))))</f>
        <v/>
      </c>
      <c r="T8" s="356" t="n"/>
      <c r="U8" s="356" t="n"/>
      <c r="V8" s="356" t="n"/>
      <c r="W8" s="356" t="n"/>
      <c r="X8" s="356" t="n"/>
      <c r="Y8" s="356" t="n"/>
      <c r="Z8" s="103" t="n"/>
      <c r="AA8" s="195">
        <f>COUNTIF(K8:P8,"Material defect - unpatchable for stated claim")</f>
        <v/>
      </c>
      <c r="AB8" s="302">
        <f>COUNTIF(K8:P8,"Material defect - patchable")</f>
        <v/>
      </c>
      <c r="AC8" s="302">
        <f>COUNTIF(K8:P8,"Indeterminate")+COUNTIF(K8:P8,"Not reviewed")</f>
        <v/>
      </c>
      <c r="AD8" s="302">
        <f>COUNTIF(K8:P8,"Adequate - control-dependent")</f>
        <v/>
      </c>
      <c r="AE8" s="111">
        <f>IF(COUNTA(A8:P8)+COUNTA(AJ8)=0,"",IF(AM8&lt;&gt;"OK","UNRECOGNISED_ADMIN_DISPOSITION",IF(AND(AJ8&lt;&gt;"",AJ8&lt;&gt;"None"),IF(OR(LEN(TRIM(A8))=0,LEN(TRIM(B8))=0,LEN(TRIM(C8))=0,LEN(TRIM(F8))=0),"ADMIN_INCOMPLETE","ADMIN_DISPOSITION"),IF(OR(LEN(TRIM(A8))=0,LEN(TRIM(B8))=0,LEN(TRIM(C8))=0,LEN(TRIM(D8))=0,LEN(TRIM(E8))=0,LEN(TRIM(F8))=0,LEN(TRIM(G8))=0,LEN(TRIM(H8))=0,LEN(TRIM(I8))=0,LEN(TRIM(J8))=0,LEN(TRIM(K8))=0,LEN(TRIM(L8))=0,LEN(TRIM(M8))=0,LEN(TRIM(N8))=0,LEN(TRIM(O8))=0,LEN(TRIM(P8))=0),"ADMIN_INCOMPLETE",IF(H8&lt;&gt;"Yes","ADMIN_INVALID",IF(I8="Not feasible","BURDEN_NOT_FEASIBLE",IF(AI8&lt;&gt;"OK","UNRECOGNISED_VALUE","CLEAR")))))))</f>
        <v/>
      </c>
      <c r="AF8" s="276">
        <f>IF(AND(Q8="",R8=""),"",IF(IF(Q8&lt;&gt;"",Q8,R8)="Stage-A admissible - scoped","stage_a_admissible_scoped",IF(IF(Q8&lt;&gt;"",Q8,R8)="Stage-A admissible - scoped, control-dependent","stage_a_admissible_scoped_control_dependent",IF(IF(Q8&lt;&gt;"",Q8,R8)="Stage-A non-admissible - patchable","stage_a_non_admissible_patchable",IF(IF(Q8&lt;&gt;"",Q8,R8)="Stage-A non-admissible - unpatchable for stated claim","stage_a_non_admissible_unpatchable_for_stated_claim",IF(IF(Q8&lt;&gt;"",Q8,R8)="Indeterminate - insufficient evidence","indeterminate_insufficient_evidence",IF(IF(Q8&lt;&gt;"",Q8,R8)="Protocol refusal to evaluate","protocol_refusal_to_evaluate",IF(IF(Q8&lt;&gt;"",Q8,R8)="Out of scope","out_of_scope",IF(IF(Q8&lt;&gt;"",Q8,R8)="Withdrawn","withdrawn",IF(IF(Q8&lt;&gt;"",Q8,R8)="Not reviewed","not_reviewed","unknown_status"))))))))))</f>
        <v/>
      </c>
      <c r="AG8" s="277">
        <f>IF(AND(AF8="",T8=""),"",IF(AND(AF8&lt;&gt;"",ISNUMBER(SEARCH("token="&amp;AF8&amp;";",T8)),ISNUMBER(SEARCH(AK8,T8)),ISNUMBER(SEARCH("CL basis="&amp;AL8&amp;";",T8))),"VALID","INVALID_OR_INCOMPLETE"))</f>
        <v/>
      </c>
      <c r="AH8" s="303">
        <f>COUNTIF(K8:P8,"Adequate for scope")</f>
        <v/>
      </c>
      <c r="AI8" s="303">
        <f>IF(COUNTA(K8:P8)=0,"",IF(AA8+AB8+AC8+AD8+AH8=6,"OK","UNRECOGNISED_VALUE"))</f>
        <v/>
      </c>
      <c r="AJ8" s="303" t="n"/>
      <c r="AK8" s="303">
        <f>IF(A8="","",Vocabulary!$B$5)</f>
        <v/>
      </c>
      <c r="AL8" s="303">
        <f>IF(A8="","",Vocabulary!$B$6)</f>
        <v/>
      </c>
      <c r="AM8" s="303">
        <f>IF(AJ8="","OK",IF(COUNTIF(Vocabulary!$O$5:$O$8,AJ8)=1,"OK","UNRECOGNISED_ADMIN_DISPOSITION"))</f>
        <v/>
      </c>
    </row>
    <row r="9">
      <c r="A9" s="81" t="n"/>
      <c r="B9" s="356" t="n"/>
      <c r="C9" s="356" t="n"/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02">
        <f>IF(AE9="","",IF(AE9="ADMIN_DISPOSITION",AJ9,IF(OR(AE9="ADMIN_INCOMPLETE",AE9="ADMIN_INVALID",AE9="BURDEN_NOT_FEASIBLE",AE9="UNRECOGNISED_VALUE",AE9="UNRECOGNISED_ADMIN_DISPOSITION"),"Protocol refusal to evaluate",IF(AA9&gt;0,"Stage-A non-admissible - unpatchable for stated claim",IF(AB9&gt;0,"Stage-A non-admissible - patchable",IF(OR(J9="Yes",I9="Indeterminate",AC9&gt;0),"Indeterminate - insufficient evidence",IF(AND(AH9=6,AD9=0),"Stage-A admissible - scoped",IF(AND(AH9+AD9=6,AD9&gt;0),"Stage-A admissible - scoped, control-dependent","Protocol refusal to evaluate"))))))))</f>
        <v/>
      </c>
      <c r="R9" s="356" t="n"/>
      <c r="S9" s="302">
        <f>IF(AND(Q9="",R9=""),"",IF(AND(Q9&lt;&gt;"",R9=""),"UNRECORDED",IF(AND(Q9="",R9&lt;&gt;""),"ORPHAN_RECORDED",IF(Q9=R9,"MATCH","MISMATCH"))))</f>
        <v/>
      </c>
      <c r="T9" s="356" t="n"/>
      <c r="U9" s="356" t="n"/>
      <c r="V9" s="356" t="n"/>
      <c r="W9" s="356" t="n"/>
      <c r="X9" s="356" t="n"/>
      <c r="Y9" s="356" t="n"/>
      <c r="Z9" s="103" t="n"/>
      <c r="AA9" s="195">
        <f>COUNTIF(K9:P9,"Material defect - unpatchable for stated claim")</f>
        <v/>
      </c>
      <c r="AB9" s="302">
        <f>COUNTIF(K9:P9,"Material defect - patchable")</f>
        <v/>
      </c>
      <c r="AC9" s="302">
        <f>COUNTIF(K9:P9,"Indeterminate")+COUNTIF(K9:P9,"Not reviewed")</f>
        <v/>
      </c>
      <c r="AD9" s="302">
        <f>COUNTIF(K9:P9,"Adequate - control-dependent")</f>
        <v/>
      </c>
      <c r="AE9" s="111">
        <f>IF(COUNTA(A9:P9)+COUNTA(AJ9)=0,"",IF(AM9&lt;&gt;"OK","UNRECOGNISED_ADMIN_DISPOSITION",IF(AND(AJ9&lt;&gt;"",AJ9&lt;&gt;"None"),IF(OR(LEN(TRIM(A9))=0,LEN(TRIM(B9))=0,LEN(TRIM(C9))=0,LEN(TRIM(F9))=0),"ADMIN_INCOMPLETE","ADMIN_DISPOSITION"),IF(OR(LEN(TRIM(A9))=0,LEN(TRIM(B9))=0,LEN(TRIM(C9))=0,LEN(TRIM(D9))=0,LEN(TRIM(E9))=0,LEN(TRIM(F9))=0,LEN(TRIM(G9))=0,LEN(TRIM(H9))=0,LEN(TRIM(I9))=0,LEN(TRIM(J9))=0,LEN(TRIM(K9))=0,LEN(TRIM(L9))=0,LEN(TRIM(M9))=0,LEN(TRIM(N9))=0,LEN(TRIM(O9))=0,LEN(TRIM(P9))=0),"ADMIN_INCOMPLETE",IF(H9&lt;&gt;"Yes","ADMIN_INVALID",IF(I9="Not feasible","BURDEN_NOT_FEASIBLE",IF(AI9&lt;&gt;"OK","UNRECOGNISED_VALUE","CLEAR")))))))</f>
        <v/>
      </c>
      <c r="AF9" s="276">
        <f>IF(AND(Q9="",R9=""),"",IF(IF(Q9&lt;&gt;"",Q9,R9)="Stage-A admissible - scoped","stage_a_admissible_scoped",IF(IF(Q9&lt;&gt;"",Q9,R9)="Stage-A admissible - scoped, control-dependent","stage_a_admissible_scoped_control_dependent",IF(IF(Q9&lt;&gt;"",Q9,R9)="Stage-A non-admissible - patchable","stage_a_non_admissible_patchable",IF(IF(Q9&lt;&gt;"",Q9,R9)="Stage-A non-admissible - unpatchable for stated claim","stage_a_non_admissible_unpatchable_for_stated_claim",IF(IF(Q9&lt;&gt;"",Q9,R9)="Indeterminate - insufficient evidence","indeterminate_insufficient_evidence",IF(IF(Q9&lt;&gt;"",Q9,R9)="Protocol refusal to evaluate","protocol_refusal_to_evaluate",IF(IF(Q9&lt;&gt;"",Q9,R9)="Out of scope","out_of_scope",IF(IF(Q9&lt;&gt;"",Q9,R9)="Withdrawn","withdrawn",IF(IF(Q9&lt;&gt;"",Q9,R9)="Not reviewed","not_reviewed","unknown_status"))))))))))</f>
        <v/>
      </c>
      <c r="AG9" s="277">
        <f>IF(AND(AF9="",T9=""),"",IF(AND(AF9&lt;&gt;"",ISNUMBER(SEARCH("token="&amp;AF9&amp;";",T9)),ISNUMBER(SEARCH(AK9,T9)),ISNUMBER(SEARCH("CL basis="&amp;AL9&amp;";",T9))),"VALID","INVALID_OR_INCOMPLETE"))</f>
        <v/>
      </c>
      <c r="AH9" s="303">
        <f>COUNTIF(K9:P9,"Adequate for scope")</f>
        <v/>
      </c>
      <c r="AI9" s="303">
        <f>IF(COUNTA(K9:P9)=0,"",IF(AA9+AB9+AC9+AD9+AH9=6,"OK","UNRECOGNISED_VALUE"))</f>
        <v/>
      </c>
      <c r="AJ9" s="303" t="n"/>
      <c r="AK9" s="303">
        <f>IF(A9="","",Vocabulary!$B$5)</f>
        <v/>
      </c>
      <c r="AL9" s="303">
        <f>IF(A9="","",Vocabulary!$B$6)</f>
        <v/>
      </c>
      <c r="AM9" s="303">
        <f>IF(AJ9="","OK",IF(COUNTIF(Vocabulary!$O$5:$O$8,AJ9)=1,"OK","UNRECOGNISED_ADMIN_DISPOSITION"))</f>
        <v/>
      </c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02">
        <f>IF(AE10="","",IF(AE10="ADMIN_DISPOSITION",AJ10,IF(OR(AE10="ADMIN_INCOMPLETE",AE10="ADMIN_INVALID",AE10="BURDEN_NOT_FEASIBLE",AE10="UNRECOGNISED_VALUE",AE10="UNRECOGNISED_ADMIN_DISPOSITION"),"Protocol refusal to evaluate",IF(AA10&gt;0,"Stage-A non-admissible - unpatchable for stated claim",IF(AB10&gt;0,"Stage-A non-admissible - patchable",IF(OR(J10="Yes",I10="Indeterminate",AC10&gt;0),"Indeterminate - insufficient evidence",IF(AND(AH10=6,AD10=0),"Stage-A admissible - scoped",IF(AND(AH10+AD10=6,AD10&gt;0),"Stage-A admissible - scoped, control-dependent","Protocol refusal to evaluate"))))))))</f>
        <v/>
      </c>
      <c r="R10" s="356" t="n"/>
      <c r="S10" s="302">
        <f>IF(AND(Q10="",R10=""),"",IF(AND(Q10&lt;&gt;"",R10=""),"UNRECORDED",IF(AND(Q10="",R10&lt;&gt;""),"ORPHAN_RECORDED",IF(Q10=R10,"MATCH","MISMATCH"))))</f>
        <v/>
      </c>
      <c r="T10" s="356" t="n"/>
      <c r="U10" s="356" t="n"/>
      <c r="V10" s="356" t="n"/>
      <c r="W10" s="356" t="n"/>
      <c r="X10" s="356" t="n"/>
      <c r="Y10" s="356" t="n"/>
      <c r="Z10" s="103" t="n"/>
      <c r="AA10" s="195">
        <f>COUNTIF(K10:P10,"Material defect - unpatchable for stated claim")</f>
        <v/>
      </c>
      <c r="AB10" s="302">
        <f>COUNTIF(K10:P10,"Material defect - patchable")</f>
        <v/>
      </c>
      <c r="AC10" s="302">
        <f>COUNTIF(K10:P10,"Indeterminate")+COUNTIF(K10:P10,"Not reviewed")</f>
        <v/>
      </c>
      <c r="AD10" s="302">
        <f>COUNTIF(K10:P10,"Adequate - control-dependent")</f>
        <v/>
      </c>
      <c r="AE10" s="111">
        <f>IF(COUNTA(A10:P10)+COUNTA(AJ10)=0,"",IF(AM10&lt;&gt;"OK","UNRECOGNISED_ADMIN_DISPOSITION",IF(AND(AJ10&lt;&gt;"",AJ10&lt;&gt;"None"),IF(OR(LEN(TRIM(A10))=0,LEN(TRIM(B10))=0,LEN(TRIM(C10))=0,LEN(TRIM(F10))=0),"ADMIN_INCOMPLETE","ADMIN_DISPOSITION"),IF(OR(LEN(TRIM(A10))=0,LEN(TRIM(B10))=0,LEN(TRIM(C10))=0,LEN(TRIM(D10))=0,LEN(TRIM(E10))=0,LEN(TRIM(F10))=0,LEN(TRIM(G10))=0,LEN(TRIM(H10))=0,LEN(TRIM(I10))=0,LEN(TRIM(J10))=0,LEN(TRIM(K10))=0,LEN(TRIM(L10))=0,LEN(TRIM(M10))=0,LEN(TRIM(N10))=0,LEN(TRIM(O10))=0,LEN(TRIM(P10))=0),"ADMIN_INCOMPLETE",IF(H10&lt;&gt;"Yes","ADMIN_INVALID",IF(I10="Not feasible","BURDEN_NOT_FEASIBLE",IF(AI10&lt;&gt;"OK","UNRECOGNISED_VALUE","CLEAR")))))))</f>
        <v/>
      </c>
      <c r="AF10" s="276">
        <f>IF(AND(Q10="",R10=""),"",IF(IF(Q10&lt;&gt;"",Q10,R10)="Stage-A admissible - scoped","stage_a_admissible_scoped",IF(IF(Q10&lt;&gt;"",Q10,R10)="Stage-A admissible - scoped, control-dependent","stage_a_admissible_scoped_control_dependent",IF(IF(Q10&lt;&gt;"",Q10,R10)="Stage-A non-admissible - patchable","stage_a_non_admissible_patchable",IF(IF(Q10&lt;&gt;"",Q10,R10)="Stage-A non-admissible - unpatchable for stated claim","stage_a_non_admissible_unpatchable_for_stated_claim",IF(IF(Q10&lt;&gt;"",Q10,R10)="Indeterminate - insufficient evidence","indeterminate_insufficient_evidence",IF(IF(Q10&lt;&gt;"",Q10,R10)="Protocol refusal to evaluate","protocol_refusal_to_evaluate",IF(IF(Q10&lt;&gt;"",Q10,R10)="Out of scope","out_of_scope",IF(IF(Q10&lt;&gt;"",Q10,R10)="Withdrawn","withdrawn",IF(IF(Q10&lt;&gt;"",Q10,R10)="Not reviewed","not_reviewed","unknown_status"))))))))))</f>
        <v/>
      </c>
      <c r="AG10" s="277">
        <f>IF(AND(AF10="",T10=""),"",IF(AND(AF10&lt;&gt;"",ISNUMBER(SEARCH("token="&amp;AF10&amp;";",T10)),ISNUMBER(SEARCH(AK10,T10)),ISNUMBER(SEARCH("CL basis="&amp;AL10&amp;";",T10))),"VALID","INVALID_OR_INCOMPLETE"))</f>
        <v/>
      </c>
      <c r="AH10" s="303">
        <f>COUNTIF(K10:P10,"Adequate for scope")</f>
        <v/>
      </c>
      <c r="AI10" s="303">
        <f>IF(COUNTA(K10:P10)=0,"",IF(AA10+AB10+AC10+AD10+AH10=6,"OK","UNRECOGNISED_VALUE"))</f>
        <v/>
      </c>
      <c r="AJ10" s="303" t="n"/>
      <c r="AK10" s="303">
        <f>IF(A10="","",Vocabulary!$B$5)</f>
        <v/>
      </c>
      <c r="AL10" s="303">
        <f>IF(A10="","",Vocabulary!$B$6)</f>
        <v/>
      </c>
      <c r="AM10" s="303">
        <f>IF(AJ10="","OK",IF(COUNTIF(Vocabulary!$O$5:$O$8,AJ10)=1,"OK","UNRECOGNISED_ADMIN_DISPOSITION"))</f>
        <v/>
      </c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02">
        <f>IF(AE11="","",IF(AE11="ADMIN_DISPOSITION",AJ11,IF(OR(AE11="ADMIN_INCOMPLETE",AE11="ADMIN_INVALID",AE11="BURDEN_NOT_FEASIBLE",AE11="UNRECOGNISED_VALUE",AE11="UNRECOGNISED_ADMIN_DISPOSITION"),"Protocol refusal to evaluate",IF(AA11&gt;0,"Stage-A non-admissible - unpatchable for stated claim",IF(AB11&gt;0,"Stage-A non-admissible - patchable",IF(OR(J11="Yes",I11="Indeterminate",AC11&gt;0),"Indeterminate - insufficient evidence",IF(AND(AH11=6,AD11=0),"Stage-A admissible - scoped",IF(AND(AH11+AD11=6,AD11&gt;0),"Stage-A admissible - scoped, control-dependent","Protocol refusal to evaluate"))))))))</f>
        <v/>
      </c>
      <c r="R11" s="356" t="n"/>
      <c r="S11" s="302">
        <f>IF(AND(Q11="",R11=""),"",IF(AND(Q11&lt;&gt;"",R11=""),"UNRECORDED",IF(AND(Q11="",R11&lt;&gt;""),"ORPHAN_RECORDED",IF(Q11=R11,"MATCH","MISMATCH"))))</f>
        <v/>
      </c>
      <c r="T11" s="356" t="n"/>
      <c r="U11" s="356" t="n"/>
      <c r="V11" s="356" t="n"/>
      <c r="W11" s="356" t="n"/>
      <c r="X11" s="356" t="n"/>
      <c r="Y11" s="356" t="n"/>
      <c r="Z11" s="103" t="n"/>
      <c r="AA11" s="195">
        <f>COUNTIF(K11:P11,"Material defect - unpatchable for stated claim")</f>
        <v/>
      </c>
      <c r="AB11" s="302">
        <f>COUNTIF(K11:P11,"Material defect - patchable")</f>
        <v/>
      </c>
      <c r="AC11" s="302">
        <f>COUNTIF(K11:P11,"Indeterminate")+COUNTIF(K11:P11,"Not reviewed")</f>
        <v/>
      </c>
      <c r="AD11" s="302">
        <f>COUNTIF(K11:P11,"Adequate - control-dependent")</f>
        <v/>
      </c>
      <c r="AE11" s="111">
        <f>IF(COUNTA(A11:P11)+COUNTA(AJ11)=0,"",IF(AM11&lt;&gt;"OK","UNRECOGNISED_ADMIN_DISPOSITION",IF(AND(AJ11&lt;&gt;"",AJ11&lt;&gt;"None"),IF(OR(LEN(TRIM(A11))=0,LEN(TRIM(B11))=0,LEN(TRIM(C11))=0,LEN(TRIM(F11))=0),"ADMIN_INCOMPLETE","ADMIN_DISPOSITION"),IF(OR(LEN(TRIM(A11))=0,LEN(TRIM(B11))=0,LEN(TRIM(C11))=0,LEN(TRIM(D11))=0,LEN(TRIM(E11))=0,LEN(TRIM(F11))=0,LEN(TRIM(G11))=0,LEN(TRIM(H11))=0,LEN(TRIM(I11))=0,LEN(TRIM(J11))=0,LEN(TRIM(K11))=0,LEN(TRIM(L11))=0,LEN(TRIM(M11))=0,LEN(TRIM(N11))=0,LEN(TRIM(O11))=0,LEN(TRIM(P11))=0),"ADMIN_INCOMPLETE",IF(H11&lt;&gt;"Yes","ADMIN_INVALID",IF(I11="Not feasible","BURDEN_NOT_FEASIBLE",IF(AI11&lt;&gt;"OK","UNRECOGNISED_VALUE","CLEAR")))))))</f>
        <v/>
      </c>
      <c r="AF11" s="276">
        <f>IF(AND(Q11="",R11=""),"",IF(IF(Q11&lt;&gt;"",Q11,R11)="Stage-A admissible - scoped","stage_a_admissible_scoped",IF(IF(Q11&lt;&gt;"",Q11,R11)="Stage-A admissible - scoped, control-dependent","stage_a_admissible_scoped_control_dependent",IF(IF(Q11&lt;&gt;"",Q11,R11)="Stage-A non-admissible - patchable","stage_a_non_admissible_patchable",IF(IF(Q11&lt;&gt;"",Q11,R11)="Stage-A non-admissible - unpatchable for stated claim","stage_a_non_admissible_unpatchable_for_stated_claim",IF(IF(Q11&lt;&gt;"",Q11,R11)="Indeterminate - insufficient evidence","indeterminate_insufficient_evidence",IF(IF(Q11&lt;&gt;"",Q11,R11)="Protocol refusal to evaluate","protocol_refusal_to_evaluate",IF(IF(Q11&lt;&gt;"",Q11,R11)="Out of scope","out_of_scope",IF(IF(Q11&lt;&gt;"",Q11,R11)="Withdrawn","withdrawn",IF(IF(Q11&lt;&gt;"",Q11,R11)="Not reviewed","not_reviewed","unknown_status"))))))))))</f>
        <v/>
      </c>
      <c r="AG11" s="277">
        <f>IF(AND(AF11="",T11=""),"",IF(AND(AF11&lt;&gt;"",ISNUMBER(SEARCH("token="&amp;AF11&amp;";",T11)),ISNUMBER(SEARCH(AK11,T11)),ISNUMBER(SEARCH("CL basis="&amp;AL11&amp;";",T11))),"VALID","INVALID_OR_INCOMPLETE"))</f>
        <v/>
      </c>
      <c r="AH11" s="303">
        <f>COUNTIF(K11:P11,"Adequate for scope")</f>
        <v/>
      </c>
      <c r="AI11" s="303">
        <f>IF(COUNTA(K11:P11)=0,"",IF(AA11+AB11+AC11+AD11+AH11=6,"OK","UNRECOGNISED_VALUE"))</f>
        <v/>
      </c>
      <c r="AJ11" s="303" t="n"/>
      <c r="AK11" s="303">
        <f>IF(A11="","",Vocabulary!$B$5)</f>
        <v/>
      </c>
      <c r="AL11" s="303">
        <f>IF(A11="","",Vocabulary!$B$6)</f>
        <v/>
      </c>
      <c r="AM11" s="303">
        <f>IF(AJ11="","OK",IF(COUNTIF(Vocabulary!$O$5:$O$8,AJ11)=1,"OK","UNRECOGNISED_ADMIN_DISPOSITION"))</f>
        <v/>
      </c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02">
        <f>IF(AE12="","",IF(AE12="ADMIN_DISPOSITION",AJ12,IF(OR(AE12="ADMIN_INCOMPLETE",AE12="ADMIN_INVALID",AE12="BURDEN_NOT_FEASIBLE",AE12="UNRECOGNISED_VALUE",AE12="UNRECOGNISED_ADMIN_DISPOSITION"),"Protocol refusal to evaluate",IF(AA12&gt;0,"Stage-A non-admissible - unpatchable for stated claim",IF(AB12&gt;0,"Stage-A non-admissible - patchable",IF(OR(J12="Yes",I12="Indeterminate",AC12&gt;0),"Indeterminate - insufficient evidence",IF(AND(AH12=6,AD12=0),"Stage-A admissible - scoped",IF(AND(AH12+AD12=6,AD12&gt;0),"Stage-A admissible - scoped, control-dependent","Protocol refusal to evaluate"))))))))</f>
        <v/>
      </c>
      <c r="R12" s="356" t="n"/>
      <c r="S12" s="302">
        <f>IF(AND(Q12="",R12=""),"",IF(AND(Q12&lt;&gt;"",R12=""),"UNRECORDED",IF(AND(Q12="",R12&lt;&gt;""),"ORPHAN_RECORDED",IF(Q12=R12,"MATCH","MISMATCH"))))</f>
        <v/>
      </c>
      <c r="T12" s="356" t="n"/>
      <c r="U12" s="356" t="n"/>
      <c r="V12" s="356" t="n"/>
      <c r="W12" s="356" t="n"/>
      <c r="X12" s="356" t="n"/>
      <c r="Y12" s="356" t="n"/>
      <c r="Z12" s="103" t="n"/>
      <c r="AA12" s="195">
        <f>COUNTIF(K12:P12,"Material defect - unpatchable for stated claim")</f>
        <v/>
      </c>
      <c r="AB12" s="302">
        <f>COUNTIF(K12:P12,"Material defect - patchable")</f>
        <v/>
      </c>
      <c r="AC12" s="302">
        <f>COUNTIF(K12:P12,"Indeterminate")+COUNTIF(K12:P12,"Not reviewed")</f>
        <v/>
      </c>
      <c r="AD12" s="302">
        <f>COUNTIF(K12:P12,"Adequate - control-dependent")</f>
        <v/>
      </c>
      <c r="AE12" s="111">
        <f>IF(COUNTA(A12:P12)+COUNTA(AJ12)=0,"",IF(AM12&lt;&gt;"OK","UNRECOGNISED_ADMIN_DISPOSITION",IF(AND(AJ12&lt;&gt;"",AJ12&lt;&gt;"None"),IF(OR(LEN(TRIM(A12))=0,LEN(TRIM(B12))=0,LEN(TRIM(C12))=0,LEN(TRIM(F12))=0),"ADMIN_INCOMPLETE","ADMIN_DISPOSITION"),IF(OR(LEN(TRIM(A12))=0,LEN(TRIM(B12))=0,LEN(TRIM(C12))=0,LEN(TRIM(D12))=0,LEN(TRIM(E12))=0,LEN(TRIM(F12))=0,LEN(TRIM(G12))=0,LEN(TRIM(H12))=0,LEN(TRIM(I12))=0,LEN(TRIM(J12))=0,LEN(TRIM(K12))=0,LEN(TRIM(L12))=0,LEN(TRIM(M12))=0,LEN(TRIM(N12))=0,LEN(TRIM(O12))=0,LEN(TRIM(P12))=0),"ADMIN_INCOMPLETE",IF(H12&lt;&gt;"Yes","ADMIN_INVALID",IF(I12="Not feasible","BURDEN_NOT_FEASIBLE",IF(AI12&lt;&gt;"OK","UNRECOGNISED_VALUE","CLEAR")))))))</f>
        <v/>
      </c>
      <c r="AF12" s="276">
        <f>IF(AND(Q12="",R12=""),"",IF(IF(Q12&lt;&gt;"",Q12,R12)="Stage-A admissible - scoped","stage_a_admissible_scoped",IF(IF(Q12&lt;&gt;"",Q12,R12)="Stage-A admissible - scoped, control-dependent","stage_a_admissible_scoped_control_dependent",IF(IF(Q12&lt;&gt;"",Q12,R12)="Stage-A non-admissible - patchable","stage_a_non_admissible_patchable",IF(IF(Q12&lt;&gt;"",Q12,R12)="Stage-A non-admissible - unpatchable for stated claim","stage_a_non_admissible_unpatchable_for_stated_claim",IF(IF(Q12&lt;&gt;"",Q12,R12)="Indeterminate - insufficient evidence","indeterminate_insufficient_evidence",IF(IF(Q12&lt;&gt;"",Q12,R12)="Protocol refusal to evaluate","protocol_refusal_to_evaluate",IF(IF(Q12&lt;&gt;"",Q12,R12)="Out of scope","out_of_scope",IF(IF(Q12&lt;&gt;"",Q12,R12)="Withdrawn","withdrawn",IF(IF(Q12&lt;&gt;"",Q12,R12)="Not reviewed","not_reviewed","unknown_status"))))))))))</f>
        <v/>
      </c>
      <c r="AG12" s="277">
        <f>IF(AND(AF12="",T12=""),"",IF(AND(AF12&lt;&gt;"",ISNUMBER(SEARCH("token="&amp;AF12&amp;";",T12)),ISNUMBER(SEARCH(AK12,T12)),ISNUMBER(SEARCH("CL basis="&amp;AL12&amp;";",T12))),"VALID","INVALID_OR_INCOMPLETE"))</f>
        <v/>
      </c>
      <c r="AH12" s="303">
        <f>COUNTIF(K12:P12,"Adequate for scope")</f>
        <v/>
      </c>
      <c r="AI12" s="303">
        <f>IF(COUNTA(K12:P12)=0,"",IF(AA12+AB12+AC12+AD12+AH12=6,"OK","UNRECOGNISED_VALUE"))</f>
        <v/>
      </c>
      <c r="AJ12" s="303" t="n"/>
      <c r="AK12" s="303">
        <f>IF(A12="","",Vocabulary!$B$5)</f>
        <v/>
      </c>
      <c r="AL12" s="303">
        <f>IF(A12="","",Vocabulary!$B$6)</f>
        <v/>
      </c>
      <c r="AM12" s="303">
        <f>IF(AJ12="","OK",IF(COUNTIF(Vocabulary!$O$5:$O$8,AJ12)=1,"OK","UNRECOGNISED_ADMIN_DISPOSITION"))</f>
        <v/>
      </c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02">
        <f>IF(AE13="","",IF(AE13="ADMIN_DISPOSITION",AJ13,IF(OR(AE13="ADMIN_INCOMPLETE",AE13="ADMIN_INVALID",AE13="BURDEN_NOT_FEASIBLE",AE13="UNRECOGNISED_VALUE",AE13="UNRECOGNISED_ADMIN_DISPOSITION"),"Protocol refusal to evaluate",IF(AA13&gt;0,"Stage-A non-admissible - unpatchable for stated claim",IF(AB13&gt;0,"Stage-A non-admissible - patchable",IF(OR(J13="Yes",I13="Indeterminate",AC13&gt;0),"Indeterminate - insufficient evidence",IF(AND(AH13=6,AD13=0),"Stage-A admissible - scoped",IF(AND(AH13+AD13=6,AD13&gt;0),"Stage-A admissible - scoped, control-dependent","Protocol refusal to evaluate"))))))))</f>
        <v/>
      </c>
      <c r="R13" s="356" t="n"/>
      <c r="S13" s="302">
        <f>IF(AND(Q13="",R13=""),"",IF(AND(Q13&lt;&gt;"",R13=""),"UNRECORDED",IF(AND(Q13="",R13&lt;&gt;""),"ORPHAN_RECORDED",IF(Q13=R13,"MATCH","MISMATCH"))))</f>
        <v/>
      </c>
      <c r="T13" s="356" t="n"/>
      <c r="U13" s="356" t="n"/>
      <c r="V13" s="356" t="n"/>
      <c r="W13" s="356" t="n"/>
      <c r="X13" s="356" t="n"/>
      <c r="Y13" s="356" t="n"/>
      <c r="Z13" s="103" t="n"/>
      <c r="AA13" s="195">
        <f>COUNTIF(K13:P13,"Material defect - unpatchable for stated claim")</f>
        <v/>
      </c>
      <c r="AB13" s="302">
        <f>COUNTIF(K13:P13,"Material defect - patchable")</f>
        <v/>
      </c>
      <c r="AC13" s="302">
        <f>COUNTIF(K13:P13,"Indeterminate")+COUNTIF(K13:P13,"Not reviewed")</f>
        <v/>
      </c>
      <c r="AD13" s="302">
        <f>COUNTIF(K13:P13,"Adequate - control-dependent")</f>
        <v/>
      </c>
      <c r="AE13" s="111">
        <f>IF(COUNTA(A13:P13)+COUNTA(AJ13)=0,"",IF(AM13&lt;&gt;"OK","UNRECOGNISED_ADMIN_DISPOSITION",IF(AND(AJ13&lt;&gt;"",AJ13&lt;&gt;"None"),IF(OR(LEN(TRIM(A13))=0,LEN(TRIM(B13))=0,LEN(TRIM(C13))=0,LEN(TRIM(F13))=0),"ADMIN_INCOMPLETE","ADMIN_DISPOSITION"),IF(OR(LEN(TRIM(A13))=0,LEN(TRIM(B13))=0,LEN(TRIM(C13))=0,LEN(TRIM(D13))=0,LEN(TRIM(E13))=0,LEN(TRIM(F13))=0,LEN(TRIM(G13))=0,LEN(TRIM(H13))=0,LEN(TRIM(I13))=0,LEN(TRIM(J13))=0,LEN(TRIM(K13))=0,LEN(TRIM(L13))=0,LEN(TRIM(M13))=0,LEN(TRIM(N13))=0,LEN(TRIM(O13))=0,LEN(TRIM(P13))=0),"ADMIN_INCOMPLETE",IF(H13&lt;&gt;"Yes","ADMIN_INVALID",IF(I13="Not feasible","BURDEN_NOT_FEASIBLE",IF(AI13&lt;&gt;"OK","UNRECOGNISED_VALUE","CLEAR")))))))</f>
        <v/>
      </c>
      <c r="AF13" s="276">
        <f>IF(AND(Q13="",R13=""),"",IF(IF(Q13&lt;&gt;"",Q13,R13)="Stage-A admissible - scoped","stage_a_admissible_scoped",IF(IF(Q13&lt;&gt;"",Q13,R13)="Stage-A admissible - scoped, control-dependent","stage_a_admissible_scoped_control_dependent",IF(IF(Q13&lt;&gt;"",Q13,R13)="Stage-A non-admissible - patchable","stage_a_non_admissible_patchable",IF(IF(Q13&lt;&gt;"",Q13,R13)="Stage-A non-admissible - unpatchable for stated claim","stage_a_non_admissible_unpatchable_for_stated_claim",IF(IF(Q13&lt;&gt;"",Q13,R13)="Indeterminate - insufficient evidence","indeterminate_insufficient_evidence",IF(IF(Q13&lt;&gt;"",Q13,R13)="Protocol refusal to evaluate","protocol_refusal_to_evaluate",IF(IF(Q13&lt;&gt;"",Q13,R13)="Out of scope","out_of_scope",IF(IF(Q13&lt;&gt;"",Q13,R13)="Withdrawn","withdrawn",IF(IF(Q13&lt;&gt;"",Q13,R13)="Not reviewed","not_reviewed","unknown_status"))))))))))</f>
        <v/>
      </c>
      <c r="AG13" s="277">
        <f>IF(AND(AF13="",T13=""),"",IF(AND(AF13&lt;&gt;"",ISNUMBER(SEARCH("token="&amp;AF13&amp;";",T13)),ISNUMBER(SEARCH(AK13,T13)),ISNUMBER(SEARCH("CL basis="&amp;AL13&amp;";",T13))),"VALID","INVALID_OR_INCOMPLETE"))</f>
        <v/>
      </c>
      <c r="AH13" s="303">
        <f>COUNTIF(K13:P13,"Adequate for scope")</f>
        <v/>
      </c>
      <c r="AI13" s="303">
        <f>IF(COUNTA(K13:P13)=0,"",IF(AA13+AB13+AC13+AD13+AH13=6,"OK","UNRECOGNISED_VALUE"))</f>
        <v/>
      </c>
      <c r="AJ13" s="303" t="n"/>
      <c r="AK13" s="303">
        <f>IF(A13="","",Vocabulary!$B$5)</f>
        <v/>
      </c>
      <c r="AL13" s="303">
        <f>IF(A13="","",Vocabulary!$B$6)</f>
        <v/>
      </c>
      <c r="AM13" s="303">
        <f>IF(AJ13="","OK",IF(COUNTIF(Vocabulary!$O$5:$O$8,AJ13)=1,"OK","UNRECOGNISED_ADMIN_DISPOSITION"))</f>
        <v/>
      </c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56" t="n"/>
      <c r="I14" s="356" t="n"/>
      <c r="J14" s="356" t="n"/>
      <c r="K14" s="356" t="n"/>
      <c r="L14" s="356" t="n"/>
      <c r="M14" s="356" t="n"/>
      <c r="N14" s="356" t="n"/>
      <c r="O14" s="356" t="n"/>
      <c r="P14" s="356" t="n"/>
      <c r="Q14" s="302">
        <f>IF(AE14="","",IF(AE14="ADMIN_DISPOSITION",AJ14,IF(OR(AE14="ADMIN_INCOMPLETE",AE14="ADMIN_INVALID",AE14="BURDEN_NOT_FEASIBLE",AE14="UNRECOGNISED_VALUE",AE14="UNRECOGNISED_ADMIN_DISPOSITION"),"Protocol refusal to evaluate",IF(AA14&gt;0,"Stage-A non-admissible - unpatchable for stated claim",IF(AB14&gt;0,"Stage-A non-admissible - patchable",IF(OR(J14="Yes",I14="Indeterminate",AC14&gt;0),"Indeterminate - insufficient evidence",IF(AND(AH14=6,AD14=0),"Stage-A admissible - scoped",IF(AND(AH14+AD14=6,AD14&gt;0),"Stage-A admissible - scoped, control-dependent","Protocol refusal to evaluate"))))))))</f>
        <v/>
      </c>
      <c r="R14" s="356" t="n"/>
      <c r="S14" s="302">
        <f>IF(AND(Q14="",R14=""),"",IF(AND(Q14&lt;&gt;"",R14=""),"UNRECORDED",IF(AND(Q14="",R14&lt;&gt;""),"ORPHAN_RECORDED",IF(Q14=R14,"MATCH","MISMATCH"))))</f>
        <v/>
      </c>
      <c r="T14" s="356" t="n"/>
      <c r="U14" s="356" t="n"/>
      <c r="V14" s="356" t="n"/>
      <c r="W14" s="356" t="n"/>
      <c r="X14" s="356" t="n"/>
      <c r="Y14" s="356" t="n"/>
      <c r="Z14" s="103" t="n"/>
      <c r="AA14" s="195">
        <f>COUNTIF(K14:P14,"Material defect - unpatchable for stated claim")</f>
        <v/>
      </c>
      <c r="AB14" s="302">
        <f>COUNTIF(K14:P14,"Material defect - patchable")</f>
        <v/>
      </c>
      <c r="AC14" s="302">
        <f>COUNTIF(K14:P14,"Indeterminate")+COUNTIF(K14:P14,"Not reviewed")</f>
        <v/>
      </c>
      <c r="AD14" s="302">
        <f>COUNTIF(K14:P14,"Adequate - control-dependent")</f>
        <v/>
      </c>
      <c r="AE14" s="111">
        <f>IF(COUNTA(A14:P14)+COUNTA(AJ14)=0,"",IF(AM14&lt;&gt;"OK","UNRECOGNISED_ADMIN_DISPOSITION",IF(AND(AJ14&lt;&gt;"",AJ14&lt;&gt;"None"),IF(OR(LEN(TRIM(A14))=0,LEN(TRIM(B14))=0,LEN(TRIM(C14))=0,LEN(TRIM(F14))=0),"ADMIN_INCOMPLETE","ADMIN_DISPOSITION"),IF(OR(LEN(TRIM(A14))=0,LEN(TRIM(B14))=0,LEN(TRIM(C14))=0,LEN(TRIM(D14))=0,LEN(TRIM(E14))=0,LEN(TRIM(F14))=0,LEN(TRIM(G14))=0,LEN(TRIM(H14))=0,LEN(TRIM(I14))=0,LEN(TRIM(J14))=0,LEN(TRIM(K14))=0,LEN(TRIM(L14))=0,LEN(TRIM(M14))=0,LEN(TRIM(N14))=0,LEN(TRIM(O14))=0,LEN(TRIM(P14))=0),"ADMIN_INCOMPLETE",IF(H14&lt;&gt;"Yes","ADMIN_INVALID",IF(I14="Not feasible","BURDEN_NOT_FEASIBLE",IF(AI14&lt;&gt;"OK","UNRECOGNISED_VALUE","CLEAR")))))))</f>
        <v/>
      </c>
      <c r="AF14" s="276">
        <f>IF(AND(Q14="",R14=""),"",IF(IF(Q14&lt;&gt;"",Q14,R14)="Stage-A admissible - scoped","stage_a_admissible_scoped",IF(IF(Q14&lt;&gt;"",Q14,R14)="Stage-A admissible - scoped, control-dependent","stage_a_admissible_scoped_control_dependent",IF(IF(Q14&lt;&gt;"",Q14,R14)="Stage-A non-admissible - patchable","stage_a_non_admissible_patchable",IF(IF(Q14&lt;&gt;"",Q14,R14)="Stage-A non-admissible - unpatchable for stated claim","stage_a_non_admissible_unpatchable_for_stated_claim",IF(IF(Q14&lt;&gt;"",Q14,R14)="Indeterminate - insufficient evidence","indeterminate_insufficient_evidence",IF(IF(Q14&lt;&gt;"",Q14,R14)="Protocol refusal to evaluate","protocol_refusal_to_evaluate",IF(IF(Q14&lt;&gt;"",Q14,R14)="Out of scope","out_of_scope",IF(IF(Q14&lt;&gt;"",Q14,R14)="Withdrawn","withdrawn",IF(IF(Q14&lt;&gt;"",Q14,R14)="Not reviewed","not_reviewed","unknown_status"))))))))))</f>
        <v/>
      </c>
      <c r="AG14" s="277">
        <f>IF(AND(AF14="",T14=""),"",IF(AND(AF14&lt;&gt;"",ISNUMBER(SEARCH("token="&amp;AF14&amp;";",T14)),ISNUMBER(SEARCH(AK14,T14)),ISNUMBER(SEARCH("CL basis="&amp;AL14&amp;";",T14))),"VALID","INVALID_OR_INCOMPLETE"))</f>
        <v/>
      </c>
      <c r="AH14" s="303">
        <f>COUNTIF(K14:P14,"Adequate for scope")</f>
        <v/>
      </c>
      <c r="AI14" s="303">
        <f>IF(COUNTA(K14:P14)=0,"",IF(AA14+AB14+AC14+AD14+AH14=6,"OK","UNRECOGNISED_VALUE"))</f>
        <v/>
      </c>
      <c r="AJ14" s="303" t="n"/>
      <c r="AK14" s="303">
        <f>IF(A14="","",Vocabulary!$B$5)</f>
        <v/>
      </c>
      <c r="AL14" s="303">
        <f>IF(A14="","",Vocabulary!$B$6)</f>
        <v/>
      </c>
      <c r="AM14" s="303">
        <f>IF(AJ14="","OK",IF(COUNTIF(Vocabulary!$O$5:$O$8,AJ14)=1,"OK","UNRECOGNISED_ADMIN_DISPOSITION"))</f>
        <v/>
      </c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56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02">
        <f>IF(AE15="","",IF(AE15="ADMIN_DISPOSITION",AJ15,IF(OR(AE15="ADMIN_INCOMPLETE",AE15="ADMIN_INVALID",AE15="BURDEN_NOT_FEASIBLE",AE15="UNRECOGNISED_VALUE",AE15="UNRECOGNISED_ADMIN_DISPOSITION"),"Protocol refusal to evaluate",IF(AA15&gt;0,"Stage-A non-admissible - unpatchable for stated claim",IF(AB15&gt;0,"Stage-A non-admissible - patchable",IF(OR(J15="Yes",I15="Indeterminate",AC15&gt;0),"Indeterminate - insufficient evidence",IF(AND(AH15=6,AD15=0),"Stage-A admissible - scoped",IF(AND(AH15+AD15=6,AD15&gt;0),"Stage-A admissible - scoped, control-dependent","Protocol refusal to evaluate"))))))))</f>
        <v/>
      </c>
      <c r="R15" s="356" t="n"/>
      <c r="S15" s="302">
        <f>IF(AND(Q15="",R15=""),"",IF(AND(Q15&lt;&gt;"",R15=""),"UNRECORDED",IF(AND(Q15="",R15&lt;&gt;""),"ORPHAN_RECORDED",IF(Q15=R15,"MATCH","MISMATCH"))))</f>
        <v/>
      </c>
      <c r="T15" s="356" t="n"/>
      <c r="U15" s="356" t="n"/>
      <c r="V15" s="356" t="n"/>
      <c r="W15" s="356" t="n"/>
      <c r="X15" s="356" t="n"/>
      <c r="Y15" s="356" t="n"/>
      <c r="Z15" s="103" t="n"/>
      <c r="AA15" s="195">
        <f>COUNTIF(K15:P15,"Material defect - unpatchable for stated claim")</f>
        <v/>
      </c>
      <c r="AB15" s="302">
        <f>COUNTIF(K15:P15,"Material defect - patchable")</f>
        <v/>
      </c>
      <c r="AC15" s="302">
        <f>COUNTIF(K15:P15,"Indeterminate")+COUNTIF(K15:P15,"Not reviewed")</f>
        <v/>
      </c>
      <c r="AD15" s="302">
        <f>COUNTIF(K15:P15,"Adequate - control-dependent")</f>
        <v/>
      </c>
      <c r="AE15" s="111">
        <f>IF(COUNTA(A15:P15)+COUNTA(AJ15)=0,"",IF(AM15&lt;&gt;"OK","UNRECOGNISED_ADMIN_DISPOSITION",IF(AND(AJ15&lt;&gt;"",AJ15&lt;&gt;"None"),IF(OR(LEN(TRIM(A15))=0,LEN(TRIM(B15))=0,LEN(TRIM(C15))=0,LEN(TRIM(F15))=0),"ADMIN_INCOMPLETE","ADMIN_DISPOSITION"),IF(OR(LEN(TRIM(A15))=0,LEN(TRIM(B15))=0,LEN(TRIM(C15))=0,LEN(TRIM(D15))=0,LEN(TRIM(E15))=0,LEN(TRIM(F15))=0,LEN(TRIM(G15))=0,LEN(TRIM(H15))=0,LEN(TRIM(I15))=0,LEN(TRIM(J15))=0,LEN(TRIM(K15))=0,LEN(TRIM(L15))=0,LEN(TRIM(M15))=0,LEN(TRIM(N15))=0,LEN(TRIM(O15))=0,LEN(TRIM(P15))=0),"ADMIN_INCOMPLETE",IF(H15&lt;&gt;"Yes","ADMIN_INVALID",IF(I15="Not feasible","BURDEN_NOT_FEASIBLE",IF(AI15&lt;&gt;"OK","UNRECOGNISED_VALUE","CLEAR")))))))</f>
        <v/>
      </c>
      <c r="AF15" s="276">
        <f>IF(AND(Q15="",R15=""),"",IF(IF(Q15&lt;&gt;"",Q15,R15)="Stage-A admissible - scoped","stage_a_admissible_scoped",IF(IF(Q15&lt;&gt;"",Q15,R15)="Stage-A admissible - scoped, control-dependent","stage_a_admissible_scoped_control_dependent",IF(IF(Q15&lt;&gt;"",Q15,R15)="Stage-A non-admissible - patchable","stage_a_non_admissible_patchable",IF(IF(Q15&lt;&gt;"",Q15,R15)="Stage-A non-admissible - unpatchable for stated claim","stage_a_non_admissible_unpatchable_for_stated_claim",IF(IF(Q15&lt;&gt;"",Q15,R15)="Indeterminate - insufficient evidence","indeterminate_insufficient_evidence",IF(IF(Q15&lt;&gt;"",Q15,R15)="Protocol refusal to evaluate","protocol_refusal_to_evaluate",IF(IF(Q15&lt;&gt;"",Q15,R15)="Out of scope","out_of_scope",IF(IF(Q15&lt;&gt;"",Q15,R15)="Withdrawn","withdrawn",IF(IF(Q15&lt;&gt;"",Q15,R15)="Not reviewed","not_reviewed","unknown_status"))))))))))</f>
        <v/>
      </c>
      <c r="AG15" s="277">
        <f>IF(AND(AF15="",T15=""),"",IF(AND(AF15&lt;&gt;"",ISNUMBER(SEARCH("token="&amp;AF15&amp;";",T15)),ISNUMBER(SEARCH(AK15,T15)),ISNUMBER(SEARCH("CL basis="&amp;AL15&amp;";",T15))),"VALID","INVALID_OR_INCOMPLETE"))</f>
        <v/>
      </c>
      <c r="AH15" s="303">
        <f>COUNTIF(K15:P15,"Adequate for scope")</f>
        <v/>
      </c>
      <c r="AI15" s="303">
        <f>IF(COUNTA(K15:P15)=0,"",IF(AA15+AB15+AC15+AD15+AH15=6,"OK","UNRECOGNISED_VALUE"))</f>
        <v/>
      </c>
      <c r="AJ15" s="303" t="n"/>
      <c r="AK15" s="303">
        <f>IF(A15="","",Vocabulary!$B$5)</f>
        <v/>
      </c>
      <c r="AL15" s="303">
        <f>IF(A15="","",Vocabulary!$B$6)</f>
        <v/>
      </c>
      <c r="AM15" s="303">
        <f>IF(AJ15="","OK",IF(COUNTIF(Vocabulary!$O$5:$O$8,AJ15)=1,"OK","UNRECOGNISED_ADMIN_DISPOSITION"))</f>
        <v/>
      </c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02">
        <f>IF(AE16="","",IF(AE16="ADMIN_DISPOSITION",AJ16,IF(OR(AE16="ADMIN_INCOMPLETE",AE16="ADMIN_INVALID",AE16="BURDEN_NOT_FEASIBLE",AE16="UNRECOGNISED_VALUE",AE16="UNRECOGNISED_ADMIN_DISPOSITION"),"Protocol refusal to evaluate",IF(AA16&gt;0,"Stage-A non-admissible - unpatchable for stated claim",IF(AB16&gt;0,"Stage-A non-admissible - patchable",IF(OR(J16="Yes",I16="Indeterminate",AC16&gt;0),"Indeterminate - insufficient evidence",IF(AND(AH16=6,AD16=0),"Stage-A admissible - scoped",IF(AND(AH16+AD16=6,AD16&gt;0),"Stage-A admissible - scoped, control-dependent","Protocol refusal to evaluate"))))))))</f>
        <v/>
      </c>
      <c r="R16" s="356" t="n"/>
      <c r="S16" s="302">
        <f>IF(AND(Q16="",R16=""),"",IF(AND(Q16&lt;&gt;"",R16=""),"UNRECORDED",IF(AND(Q16="",R16&lt;&gt;""),"ORPHAN_RECORDED",IF(Q16=R16,"MATCH","MISMATCH"))))</f>
        <v/>
      </c>
      <c r="T16" s="356" t="n"/>
      <c r="U16" s="356" t="n"/>
      <c r="V16" s="356" t="n"/>
      <c r="W16" s="356" t="n"/>
      <c r="X16" s="356" t="n"/>
      <c r="Y16" s="356" t="n"/>
      <c r="Z16" s="103" t="n"/>
      <c r="AA16" s="195">
        <f>COUNTIF(K16:P16,"Material defect - unpatchable for stated claim")</f>
        <v/>
      </c>
      <c r="AB16" s="302">
        <f>COUNTIF(K16:P16,"Material defect - patchable")</f>
        <v/>
      </c>
      <c r="AC16" s="302">
        <f>COUNTIF(K16:P16,"Indeterminate")+COUNTIF(K16:P16,"Not reviewed")</f>
        <v/>
      </c>
      <c r="AD16" s="302">
        <f>COUNTIF(K16:P16,"Adequate - control-dependent")</f>
        <v/>
      </c>
      <c r="AE16" s="111">
        <f>IF(COUNTA(A16:P16)+COUNTA(AJ16)=0,"",IF(AM16&lt;&gt;"OK","UNRECOGNISED_ADMIN_DISPOSITION",IF(AND(AJ16&lt;&gt;"",AJ16&lt;&gt;"None"),IF(OR(LEN(TRIM(A16))=0,LEN(TRIM(B16))=0,LEN(TRIM(C16))=0,LEN(TRIM(F16))=0),"ADMIN_INCOMPLETE","ADMIN_DISPOSITION"),IF(OR(LEN(TRIM(A16))=0,LEN(TRIM(B16))=0,LEN(TRIM(C16))=0,LEN(TRIM(D16))=0,LEN(TRIM(E16))=0,LEN(TRIM(F16))=0,LEN(TRIM(G16))=0,LEN(TRIM(H16))=0,LEN(TRIM(I16))=0,LEN(TRIM(J16))=0,LEN(TRIM(K16))=0,LEN(TRIM(L16))=0,LEN(TRIM(M16))=0,LEN(TRIM(N16))=0,LEN(TRIM(O16))=0,LEN(TRIM(P16))=0),"ADMIN_INCOMPLETE",IF(H16&lt;&gt;"Yes","ADMIN_INVALID",IF(I16="Not feasible","BURDEN_NOT_FEASIBLE",IF(AI16&lt;&gt;"OK","UNRECOGNISED_VALUE","CLEAR")))))))</f>
        <v/>
      </c>
      <c r="AF16" s="276">
        <f>IF(AND(Q16="",R16=""),"",IF(IF(Q16&lt;&gt;"",Q16,R16)="Stage-A admissible - scoped","stage_a_admissible_scoped",IF(IF(Q16&lt;&gt;"",Q16,R16)="Stage-A admissible - scoped, control-dependent","stage_a_admissible_scoped_control_dependent",IF(IF(Q16&lt;&gt;"",Q16,R16)="Stage-A non-admissible - patchable","stage_a_non_admissible_patchable",IF(IF(Q16&lt;&gt;"",Q16,R16)="Stage-A non-admissible - unpatchable for stated claim","stage_a_non_admissible_unpatchable_for_stated_claim",IF(IF(Q16&lt;&gt;"",Q16,R16)="Indeterminate - insufficient evidence","indeterminate_insufficient_evidence",IF(IF(Q16&lt;&gt;"",Q16,R16)="Protocol refusal to evaluate","protocol_refusal_to_evaluate",IF(IF(Q16&lt;&gt;"",Q16,R16)="Out of scope","out_of_scope",IF(IF(Q16&lt;&gt;"",Q16,R16)="Withdrawn","withdrawn",IF(IF(Q16&lt;&gt;"",Q16,R16)="Not reviewed","not_reviewed","unknown_status"))))))))))</f>
        <v/>
      </c>
      <c r="AG16" s="277">
        <f>IF(AND(AF16="",T16=""),"",IF(AND(AF16&lt;&gt;"",ISNUMBER(SEARCH("token="&amp;AF16&amp;";",T16)),ISNUMBER(SEARCH(AK16,T16)),ISNUMBER(SEARCH("CL basis="&amp;AL16&amp;";",T16))),"VALID","INVALID_OR_INCOMPLETE"))</f>
        <v/>
      </c>
      <c r="AH16" s="303">
        <f>COUNTIF(K16:P16,"Adequate for scope")</f>
        <v/>
      </c>
      <c r="AI16" s="303">
        <f>IF(COUNTA(K16:P16)=0,"",IF(AA16+AB16+AC16+AD16+AH16=6,"OK","UNRECOGNISED_VALUE"))</f>
        <v/>
      </c>
      <c r="AJ16" s="303" t="n"/>
      <c r="AK16" s="303">
        <f>IF(A16="","",Vocabulary!$B$5)</f>
        <v/>
      </c>
      <c r="AL16" s="303">
        <f>IF(A16="","",Vocabulary!$B$6)</f>
        <v/>
      </c>
      <c r="AM16" s="303">
        <f>IF(AJ16="","OK",IF(COUNTIF(Vocabulary!$O$5:$O$8,AJ16)=1,"OK","UNRECOGNISED_ADMIN_DISPOSITION"))</f>
        <v/>
      </c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02">
        <f>IF(AE17="","",IF(AE17="ADMIN_DISPOSITION",AJ17,IF(OR(AE17="ADMIN_INCOMPLETE",AE17="ADMIN_INVALID",AE17="BURDEN_NOT_FEASIBLE",AE17="UNRECOGNISED_VALUE",AE17="UNRECOGNISED_ADMIN_DISPOSITION"),"Protocol refusal to evaluate",IF(AA17&gt;0,"Stage-A non-admissible - unpatchable for stated claim",IF(AB17&gt;0,"Stage-A non-admissible - patchable",IF(OR(J17="Yes",I17="Indeterminate",AC17&gt;0),"Indeterminate - insufficient evidence",IF(AND(AH17=6,AD17=0),"Stage-A admissible - scoped",IF(AND(AH17+AD17=6,AD17&gt;0),"Stage-A admissible - scoped, control-dependent","Protocol refusal to evaluate"))))))))</f>
        <v/>
      </c>
      <c r="R17" s="356" t="n"/>
      <c r="S17" s="302">
        <f>IF(AND(Q17="",R17=""),"",IF(AND(Q17&lt;&gt;"",R17=""),"UNRECORDED",IF(AND(Q17="",R17&lt;&gt;""),"ORPHAN_RECORDED",IF(Q17=R17,"MATCH","MISMATCH"))))</f>
        <v/>
      </c>
      <c r="T17" s="356" t="n"/>
      <c r="U17" s="356" t="n"/>
      <c r="V17" s="356" t="n"/>
      <c r="W17" s="356" t="n"/>
      <c r="X17" s="356" t="n"/>
      <c r="Y17" s="356" t="n"/>
      <c r="Z17" s="103" t="n"/>
      <c r="AA17" s="195">
        <f>COUNTIF(K17:P17,"Material defect - unpatchable for stated claim")</f>
        <v/>
      </c>
      <c r="AB17" s="302">
        <f>COUNTIF(K17:P17,"Material defect - patchable")</f>
        <v/>
      </c>
      <c r="AC17" s="302">
        <f>COUNTIF(K17:P17,"Indeterminate")+COUNTIF(K17:P17,"Not reviewed")</f>
        <v/>
      </c>
      <c r="AD17" s="302">
        <f>COUNTIF(K17:P17,"Adequate - control-dependent")</f>
        <v/>
      </c>
      <c r="AE17" s="111">
        <f>IF(COUNTA(A17:P17)+COUNTA(AJ17)=0,"",IF(AM17&lt;&gt;"OK","UNRECOGNISED_ADMIN_DISPOSITION",IF(AND(AJ17&lt;&gt;"",AJ17&lt;&gt;"None"),IF(OR(LEN(TRIM(A17))=0,LEN(TRIM(B17))=0,LEN(TRIM(C17))=0,LEN(TRIM(F17))=0),"ADMIN_INCOMPLETE","ADMIN_DISPOSITION"),IF(OR(LEN(TRIM(A17))=0,LEN(TRIM(B17))=0,LEN(TRIM(C17))=0,LEN(TRIM(D17))=0,LEN(TRIM(E17))=0,LEN(TRIM(F17))=0,LEN(TRIM(G17))=0,LEN(TRIM(H17))=0,LEN(TRIM(I17))=0,LEN(TRIM(J17))=0,LEN(TRIM(K17))=0,LEN(TRIM(L17))=0,LEN(TRIM(M17))=0,LEN(TRIM(N17))=0,LEN(TRIM(O17))=0,LEN(TRIM(P17))=0),"ADMIN_INCOMPLETE",IF(H17&lt;&gt;"Yes","ADMIN_INVALID",IF(I17="Not feasible","BURDEN_NOT_FEASIBLE",IF(AI17&lt;&gt;"OK","UNRECOGNISED_VALUE","CLEAR")))))))</f>
        <v/>
      </c>
      <c r="AF17" s="276">
        <f>IF(AND(Q17="",R17=""),"",IF(IF(Q17&lt;&gt;"",Q17,R17)="Stage-A admissible - scoped","stage_a_admissible_scoped",IF(IF(Q17&lt;&gt;"",Q17,R17)="Stage-A admissible - scoped, control-dependent","stage_a_admissible_scoped_control_dependent",IF(IF(Q17&lt;&gt;"",Q17,R17)="Stage-A non-admissible - patchable","stage_a_non_admissible_patchable",IF(IF(Q17&lt;&gt;"",Q17,R17)="Stage-A non-admissible - unpatchable for stated claim","stage_a_non_admissible_unpatchable_for_stated_claim",IF(IF(Q17&lt;&gt;"",Q17,R17)="Indeterminate - insufficient evidence","indeterminate_insufficient_evidence",IF(IF(Q17&lt;&gt;"",Q17,R17)="Protocol refusal to evaluate","protocol_refusal_to_evaluate",IF(IF(Q17&lt;&gt;"",Q17,R17)="Out of scope","out_of_scope",IF(IF(Q17&lt;&gt;"",Q17,R17)="Withdrawn","withdrawn",IF(IF(Q17&lt;&gt;"",Q17,R17)="Not reviewed","not_reviewed","unknown_status"))))))))))</f>
        <v/>
      </c>
      <c r="AG17" s="277">
        <f>IF(AND(AF17="",T17=""),"",IF(AND(AF17&lt;&gt;"",ISNUMBER(SEARCH("token="&amp;AF17&amp;";",T17)),ISNUMBER(SEARCH(AK17,T17)),ISNUMBER(SEARCH("CL basis="&amp;AL17&amp;";",T17))),"VALID","INVALID_OR_INCOMPLETE"))</f>
        <v/>
      </c>
      <c r="AH17" s="303">
        <f>COUNTIF(K17:P17,"Adequate for scope")</f>
        <v/>
      </c>
      <c r="AI17" s="303">
        <f>IF(COUNTA(K17:P17)=0,"",IF(AA17+AB17+AC17+AD17+AH17=6,"OK","UNRECOGNISED_VALUE"))</f>
        <v/>
      </c>
      <c r="AJ17" s="303" t="n"/>
      <c r="AK17" s="303">
        <f>IF(A17="","",Vocabulary!$B$5)</f>
        <v/>
      </c>
      <c r="AL17" s="303">
        <f>IF(A17="","",Vocabulary!$B$6)</f>
        <v/>
      </c>
      <c r="AM17" s="303">
        <f>IF(AJ17="","OK",IF(COUNTIF(Vocabulary!$O$5:$O$8,AJ17)=1,"OK","UNRECOGNISED_ADMIN_DISPOSITION"))</f>
        <v/>
      </c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02">
        <f>IF(AE18="","",IF(AE18="ADMIN_DISPOSITION",AJ18,IF(OR(AE18="ADMIN_INCOMPLETE",AE18="ADMIN_INVALID",AE18="BURDEN_NOT_FEASIBLE",AE18="UNRECOGNISED_VALUE",AE18="UNRECOGNISED_ADMIN_DISPOSITION"),"Protocol refusal to evaluate",IF(AA18&gt;0,"Stage-A non-admissible - unpatchable for stated claim",IF(AB18&gt;0,"Stage-A non-admissible - patchable",IF(OR(J18="Yes",I18="Indeterminate",AC18&gt;0),"Indeterminate - insufficient evidence",IF(AND(AH18=6,AD18=0),"Stage-A admissible - scoped",IF(AND(AH18+AD18=6,AD18&gt;0),"Stage-A admissible - scoped, control-dependent","Protocol refusal to evaluate"))))))))</f>
        <v/>
      </c>
      <c r="R18" s="356" t="n"/>
      <c r="S18" s="302">
        <f>IF(AND(Q18="",R18=""),"",IF(AND(Q18&lt;&gt;"",R18=""),"UNRECORDED",IF(AND(Q18="",R18&lt;&gt;""),"ORPHAN_RECORDED",IF(Q18=R18,"MATCH","MISMATCH"))))</f>
        <v/>
      </c>
      <c r="T18" s="356" t="n"/>
      <c r="U18" s="356" t="n"/>
      <c r="V18" s="356" t="n"/>
      <c r="W18" s="356" t="n"/>
      <c r="X18" s="356" t="n"/>
      <c r="Y18" s="356" t="n"/>
      <c r="Z18" s="103" t="n"/>
      <c r="AA18" s="195">
        <f>COUNTIF(K18:P18,"Material defect - unpatchable for stated claim")</f>
        <v/>
      </c>
      <c r="AB18" s="302">
        <f>COUNTIF(K18:P18,"Material defect - patchable")</f>
        <v/>
      </c>
      <c r="AC18" s="302">
        <f>COUNTIF(K18:P18,"Indeterminate")+COUNTIF(K18:P18,"Not reviewed")</f>
        <v/>
      </c>
      <c r="AD18" s="302">
        <f>COUNTIF(K18:P18,"Adequate - control-dependent")</f>
        <v/>
      </c>
      <c r="AE18" s="111">
        <f>IF(COUNTA(A18:P18)+COUNTA(AJ18)=0,"",IF(AM18&lt;&gt;"OK","UNRECOGNISED_ADMIN_DISPOSITION",IF(AND(AJ18&lt;&gt;"",AJ18&lt;&gt;"None"),IF(OR(LEN(TRIM(A18))=0,LEN(TRIM(B18))=0,LEN(TRIM(C18))=0,LEN(TRIM(F18))=0),"ADMIN_INCOMPLETE","ADMIN_DISPOSITION"),IF(OR(LEN(TRIM(A18))=0,LEN(TRIM(B18))=0,LEN(TRIM(C18))=0,LEN(TRIM(D18))=0,LEN(TRIM(E18))=0,LEN(TRIM(F18))=0,LEN(TRIM(G18))=0,LEN(TRIM(H18))=0,LEN(TRIM(I18))=0,LEN(TRIM(J18))=0,LEN(TRIM(K18))=0,LEN(TRIM(L18))=0,LEN(TRIM(M18))=0,LEN(TRIM(N18))=0,LEN(TRIM(O18))=0,LEN(TRIM(P18))=0),"ADMIN_INCOMPLETE",IF(H18&lt;&gt;"Yes","ADMIN_INVALID",IF(I18="Not feasible","BURDEN_NOT_FEASIBLE",IF(AI18&lt;&gt;"OK","UNRECOGNISED_VALUE","CLEAR")))))))</f>
        <v/>
      </c>
      <c r="AF18" s="276">
        <f>IF(AND(Q18="",R18=""),"",IF(IF(Q18&lt;&gt;"",Q18,R18)="Stage-A admissible - scoped","stage_a_admissible_scoped",IF(IF(Q18&lt;&gt;"",Q18,R18)="Stage-A admissible - scoped, control-dependent","stage_a_admissible_scoped_control_dependent",IF(IF(Q18&lt;&gt;"",Q18,R18)="Stage-A non-admissible - patchable","stage_a_non_admissible_patchable",IF(IF(Q18&lt;&gt;"",Q18,R18)="Stage-A non-admissible - unpatchable for stated claim","stage_a_non_admissible_unpatchable_for_stated_claim",IF(IF(Q18&lt;&gt;"",Q18,R18)="Indeterminate - insufficient evidence","indeterminate_insufficient_evidence",IF(IF(Q18&lt;&gt;"",Q18,R18)="Protocol refusal to evaluate","protocol_refusal_to_evaluate",IF(IF(Q18&lt;&gt;"",Q18,R18)="Out of scope","out_of_scope",IF(IF(Q18&lt;&gt;"",Q18,R18)="Withdrawn","withdrawn",IF(IF(Q18&lt;&gt;"",Q18,R18)="Not reviewed","not_reviewed","unknown_status"))))))))))</f>
        <v/>
      </c>
      <c r="AG18" s="277">
        <f>IF(AND(AF18="",T18=""),"",IF(AND(AF18&lt;&gt;"",ISNUMBER(SEARCH("token="&amp;AF18&amp;";",T18)),ISNUMBER(SEARCH(AK18,T18)),ISNUMBER(SEARCH("CL basis="&amp;AL18&amp;";",T18))),"VALID","INVALID_OR_INCOMPLETE"))</f>
        <v/>
      </c>
      <c r="AH18" s="303">
        <f>COUNTIF(K18:P18,"Adequate for scope")</f>
        <v/>
      </c>
      <c r="AI18" s="303">
        <f>IF(COUNTA(K18:P18)=0,"",IF(AA18+AB18+AC18+AD18+AH18=6,"OK","UNRECOGNISED_VALUE"))</f>
        <v/>
      </c>
      <c r="AJ18" s="303" t="n"/>
      <c r="AK18" s="303">
        <f>IF(A18="","",Vocabulary!$B$5)</f>
        <v/>
      </c>
      <c r="AL18" s="303">
        <f>IF(A18="","",Vocabulary!$B$6)</f>
        <v/>
      </c>
      <c r="AM18" s="303">
        <f>IF(AJ18="","OK",IF(COUNTIF(Vocabulary!$O$5:$O$8,AJ18)=1,"OK","UNRECOGNISED_ADMIN_DISPOSITION"))</f>
        <v/>
      </c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02">
        <f>IF(AE19="","",IF(AE19="ADMIN_DISPOSITION",AJ19,IF(OR(AE19="ADMIN_INCOMPLETE",AE19="ADMIN_INVALID",AE19="BURDEN_NOT_FEASIBLE",AE19="UNRECOGNISED_VALUE",AE19="UNRECOGNISED_ADMIN_DISPOSITION"),"Protocol refusal to evaluate",IF(AA19&gt;0,"Stage-A non-admissible - unpatchable for stated claim",IF(AB19&gt;0,"Stage-A non-admissible - patchable",IF(OR(J19="Yes",I19="Indeterminate",AC19&gt;0),"Indeterminate - insufficient evidence",IF(AND(AH19=6,AD19=0),"Stage-A admissible - scoped",IF(AND(AH19+AD19=6,AD19&gt;0),"Stage-A admissible - scoped, control-dependent","Protocol refusal to evaluate"))))))))</f>
        <v/>
      </c>
      <c r="R19" s="356" t="n"/>
      <c r="S19" s="302">
        <f>IF(AND(Q19="",R19=""),"",IF(AND(Q19&lt;&gt;"",R19=""),"UNRECORDED",IF(AND(Q19="",R19&lt;&gt;""),"ORPHAN_RECORDED",IF(Q19=R19,"MATCH","MISMATCH"))))</f>
        <v/>
      </c>
      <c r="T19" s="356" t="n"/>
      <c r="U19" s="356" t="n"/>
      <c r="V19" s="356" t="n"/>
      <c r="W19" s="356" t="n"/>
      <c r="X19" s="356" t="n"/>
      <c r="Y19" s="356" t="n"/>
      <c r="Z19" s="103" t="n"/>
      <c r="AA19" s="195">
        <f>COUNTIF(K19:P19,"Material defect - unpatchable for stated claim")</f>
        <v/>
      </c>
      <c r="AB19" s="302">
        <f>COUNTIF(K19:P19,"Material defect - patchable")</f>
        <v/>
      </c>
      <c r="AC19" s="302">
        <f>COUNTIF(K19:P19,"Indeterminate")+COUNTIF(K19:P19,"Not reviewed")</f>
        <v/>
      </c>
      <c r="AD19" s="302">
        <f>COUNTIF(K19:P19,"Adequate - control-dependent")</f>
        <v/>
      </c>
      <c r="AE19" s="111">
        <f>IF(COUNTA(A19:P19)+COUNTA(AJ19)=0,"",IF(AM19&lt;&gt;"OK","UNRECOGNISED_ADMIN_DISPOSITION",IF(AND(AJ19&lt;&gt;"",AJ19&lt;&gt;"None"),IF(OR(LEN(TRIM(A19))=0,LEN(TRIM(B19))=0,LEN(TRIM(C19))=0,LEN(TRIM(F19))=0),"ADMIN_INCOMPLETE","ADMIN_DISPOSITION"),IF(OR(LEN(TRIM(A19))=0,LEN(TRIM(B19))=0,LEN(TRIM(C19))=0,LEN(TRIM(D19))=0,LEN(TRIM(E19))=0,LEN(TRIM(F19))=0,LEN(TRIM(G19))=0,LEN(TRIM(H19))=0,LEN(TRIM(I19))=0,LEN(TRIM(J19))=0,LEN(TRIM(K19))=0,LEN(TRIM(L19))=0,LEN(TRIM(M19))=0,LEN(TRIM(N19))=0,LEN(TRIM(O19))=0,LEN(TRIM(P19))=0),"ADMIN_INCOMPLETE",IF(H19&lt;&gt;"Yes","ADMIN_INVALID",IF(I19="Not feasible","BURDEN_NOT_FEASIBLE",IF(AI19&lt;&gt;"OK","UNRECOGNISED_VALUE","CLEAR")))))))</f>
        <v/>
      </c>
      <c r="AF19" s="276">
        <f>IF(AND(Q19="",R19=""),"",IF(IF(Q19&lt;&gt;"",Q19,R19)="Stage-A admissible - scoped","stage_a_admissible_scoped",IF(IF(Q19&lt;&gt;"",Q19,R19)="Stage-A admissible - scoped, control-dependent","stage_a_admissible_scoped_control_dependent",IF(IF(Q19&lt;&gt;"",Q19,R19)="Stage-A non-admissible - patchable","stage_a_non_admissible_patchable",IF(IF(Q19&lt;&gt;"",Q19,R19)="Stage-A non-admissible - unpatchable for stated claim","stage_a_non_admissible_unpatchable_for_stated_claim",IF(IF(Q19&lt;&gt;"",Q19,R19)="Indeterminate - insufficient evidence","indeterminate_insufficient_evidence",IF(IF(Q19&lt;&gt;"",Q19,R19)="Protocol refusal to evaluate","protocol_refusal_to_evaluate",IF(IF(Q19&lt;&gt;"",Q19,R19)="Out of scope","out_of_scope",IF(IF(Q19&lt;&gt;"",Q19,R19)="Withdrawn","withdrawn",IF(IF(Q19&lt;&gt;"",Q19,R19)="Not reviewed","not_reviewed","unknown_status"))))))))))</f>
        <v/>
      </c>
      <c r="AG19" s="277">
        <f>IF(AND(AF19="",T19=""),"",IF(AND(AF19&lt;&gt;"",ISNUMBER(SEARCH("token="&amp;AF19&amp;";",T19)),ISNUMBER(SEARCH(AK19,T19)),ISNUMBER(SEARCH("CL basis="&amp;AL19&amp;";",T19))),"VALID","INVALID_OR_INCOMPLETE"))</f>
        <v/>
      </c>
      <c r="AH19" s="303">
        <f>COUNTIF(K19:P19,"Adequate for scope")</f>
        <v/>
      </c>
      <c r="AI19" s="303">
        <f>IF(COUNTA(K19:P19)=0,"",IF(AA19+AB19+AC19+AD19+AH19=6,"OK","UNRECOGNISED_VALUE"))</f>
        <v/>
      </c>
      <c r="AJ19" s="303" t="n"/>
      <c r="AK19" s="303">
        <f>IF(A19="","",Vocabulary!$B$5)</f>
        <v/>
      </c>
      <c r="AL19" s="303">
        <f>IF(A19="","",Vocabulary!$B$6)</f>
        <v/>
      </c>
      <c r="AM19" s="303">
        <f>IF(AJ19="","OK",IF(COUNTIF(Vocabulary!$O$5:$O$8,AJ19)=1,"OK","UNRECOGNISED_ADMIN_DISPOSITION"))</f>
        <v/>
      </c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56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02">
        <f>IF(AE20="","",IF(AE20="ADMIN_DISPOSITION",AJ20,IF(OR(AE20="ADMIN_INCOMPLETE",AE20="ADMIN_INVALID",AE20="BURDEN_NOT_FEASIBLE",AE20="UNRECOGNISED_VALUE",AE20="UNRECOGNISED_ADMIN_DISPOSITION"),"Protocol refusal to evaluate",IF(AA20&gt;0,"Stage-A non-admissible - unpatchable for stated claim",IF(AB20&gt;0,"Stage-A non-admissible - patchable",IF(OR(J20="Yes",I20="Indeterminate",AC20&gt;0),"Indeterminate - insufficient evidence",IF(AND(AH20=6,AD20=0),"Stage-A admissible - scoped",IF(AND(AH20+AD20=6,AD20&gt;0),"Stage-A admissible - scoped, control-dependent","Protocol refusal to evaluate"))))))))</f>
        <v/>
      </c>
      <c r="R20" s="356" t="n"/>
      <c r="S20" s="302">
        <f>IF(AND(Q20="",R20=""),"",IF(AND(Q20&lt;&gt;"",R20=""),"UNRECORDED",IF(AND(Q20="",R20&lt;&gt;""),"ORPHAN_RECORDED",IF(Q20=R20,"MATCH","MISMATCH"))))</f>
        <v/>
      </c>
      <c r="T20" s="356" t="n"/>
      <c r="U20" s="356" t="n"/>
      <c r="V20" s="356" t="n"/>
      <c r="W20" s="356" t="n"/>
      <c r="X20" s="356" t="n"/>
      <c r="Y20" s="356" t="n"/>
      <c r="Z20" s="103" t="n"/>
      <c r="AA20" s="195">
        <f>COUNTIF(K20:P20,"Material defect - unpatchable for stated claim")</f>
        <v/>
      </c>
      <c r="AB20" s="302">
        <f>COUNTIF(K20:P20,"Material defect - patchable")</f>
        <v/>
      </c>
      <c r="AC20" s="302">
        <f>COUNTIF(K20:P20,"Indeterminate")+COUNTIF(K20:P20,"Not reviewed")</f>
        <v/>
      </c>
      <c r="AD20" s="302">
        <f>COUNTIF(K20:P20,"Adequate - control-dependent")</f>
        <v/>
      </c>
      <c r="AE20" s="111">
        <f>IF(COUNTA(A20:P20)+COUNTA(AJ20)=0,"",IF(AM20&lt;&gt;"OK","UNRECOGNISED_ADMIN_DISPOSITION",IF(AND(AJ20&lt;&gt;"",AJ20&lt;&gt;"None"),IF(OR(LEN(TRIM(A20))=0,LEN(TRIM(B20))=0,LEN(TRIM(C20))=0,LEN(TRIM(F20))=0),"ADMIN_INCOMPLETE","ADMIN_DISPOSITION"),IF(OR(LEN(TRIM(A20))=0,LEN(TRIM(B20))=0,LEN(TRIM(C20))=0,LEN(TRIM(D20))=0,LEN(TRIM(E20))=0,LEN(TRIM(F20))=0,LEN(TRIM(G20))=0,LEN(TRIM(H20))=0,LEN(TRIM(I20))=0,LEN(TRIM(J20))=0,LEN(TRIM(K20))=0,LEN(TRIM(L20))=0,LEN(TRIM(M20))=0,LEN(TRIM(N20))=0,LEN(TRIM(O20))=0,LEN(TRIM(P20))=0),"ADMIN_INCOMPLETE",IF(H20&lt;&gt;"Yes","ADMIN_INVALID",IF(I20="Not feasible","BURDEN_NOT_FEASIBLE",IF(AI20&lt;&gt;"OK","UNRECOGNISED_VALUE","CLEAR")))))))</f>
        <v/>
      </c>
      <c r="AF20" s="276">
        <f>IF(AND(Q20="",R20=""),"",IF(IF(Q20&lt;&gt;"",Q20,R20)="Stage-A admissible - scoped","stage_a_admissible_scoped",IF(IF(Q20&lt;&gt;"",Q20,R20)="Stage-A admissible - scoped, control-dependent","stage_a_admissible_scoped_control_dependent",IF(IF(Q20&lt;&gt;"",Q20,R20)="Stage-A non-admissible - patchable","stage_a_non_admissible_patchable",IF(IF(Q20&lt;&gt;"",Q20,R20)="Stage-A non-admissible - unpatchable for stated claim","stage_a_non_admissible_unpatchable_for_stated_claim",IF(IF(Q20&lt;&gt;"",Q20,R20)="Indeterminate - insufficient evidence","indeterminate_insufficient_evidence",IF(IF(Q20&lt;&gt;"",Q20,R20)="Protocol refusal to evaluate","protocol_refusal_to_evaluate",IF(IF(Q20&lt;&gt;"",Q20,R20)="Out of scope","out_of_scope",IF(IF(Q20&lt;&gt;"",Q20,R20)="Withdrawn","withdrawn",IF(IF(Q20&lt;&gt;"",Q20,R20)="Not reviewed","not_reviewed","unknown_status"))))))))))</f>
        <v/>
      </c>
      <c r="AG20" s="277">
        <f>IF(AND(AF20="",T20=""),"",IF(AND(AF20&lt;&gt;"",ISNUMBER(SEARCH("token="&amp;AF20&amp;";",T20)),ISNUMBER(SEARCH(AK20,T20)),ISNUMBER(SEARCH("CL basis="&amp;AL20&amp;";",T20))),"VALID","INVALID_OR_INCOMPLETE"))</f>
        <v/>
      </c>
      <c r="AH20" s="303">
        <f>COUNTIF(K20:P20,"Adequate for scope")</f>
        <v/>
      </c>
      <c r="AI20" s="303">
        <f>IF(COUNTA(K20:P20)=0,"",IF(AA20+AB20+AC20+AD20+AH20=6,"OK","UNRECOGNISED_VALUE"))</f>
        <v/>
      </c>
      <c r="AJ20" s="303" t="n"/>
      <c r="AK20" s="303">
        <f>IF(A20="","",Vocabulary!$B$5)</f>
        <v/>
      </c>
      <c r="AL20" s="303">
        <f>IF(A20="","",Vocabulary!$B$6)</f>
        <v/>
      </c>
      <c r="AM20" s="303">
        <f>IF(AJ20="","OK",IF(COUNTIF(Vocabulary!$O$5:$O$8,AJ20)=1,"OK","UNRECOGNISED_ADMIN_DISPOSITION"))</f>
        <v/>
      </c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56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02">
        <f>IF(AE21="","",IF(AE21="ADMIN_DISPOSITION",AJ21,IF(OR(AE21="ADMIN_INCOMPLETE",AE21="ADMIN_INVALID",AE21="BURDEN_NOT_FEASIBLE",AE21="UNRECOGNISED_VALUE",AE21="UNRECOGNISED_ADMIN_DISPOSITION"),"Protocol refusal to evaluate",IF(AA21&gt;0,"Stage-A non-admissible - unpatchable for stated claim",IF(AB21&gt;0,"Stage-A non-admissible - patchable",IF(OR(J21="Yes",I21="Indeterminate",AC21&gt;0),"Indeterminate - insufficient evidence",IF(AND(AH21=6,AD21=0),"Stage-A admissible - scoped",IF(AND(AH21+AD21=6,AD21&gt;0),"Stage-A admissible - scoped, control-dependent","Protocol refusal to evaluate"))))))))</f>
        <v/>
      </c>
      <c r="R21" s="356" t="n"/>
      <c r="S21" s="302">
        <f>IF(AND(Q21="",R21=""),"",IF(AND(Q21&lt;&gt;"",R21=""),"UNRECORDED",IF(AND(Q21="",R21&lt;&gt;""),"ORPHAN_RECORDED",IF(Q21=R21,"MATCH","MISMATCH"))))</f>
        <v/>
      </c>
      <c r="T21" s="356" t="n"/>
      <c r="U21" s="356" t="n"/>
      <c r="V21" s="356" t="n"/>
      <c r="W21" s="356" t="n"/>
      <c r="X21" s="356" t="n"/>
      <c r="Y21" s="356" t="n"/>
      <c r="Z21" s="103" t="n"/>
      <c r="AA21" s="195">
        <f>COUNTIF(K21:P21,"Material defect - unpatchable for stated claim")</f>
        <v/>
      </c>
      <c r="AB21" s="302">
        <f>COUNTIF(K21:P21,"Material defect - patchable")</f>
        <v/>
      </c>
      <c r="AC21" s="302">
        <f>COUNTIF(K21:P21,"Indeterminate")+COUNTIF(K21:P21,"Not reviewed")</f>
        <v/>
      </c>
      <c r="AD21" s="302">
        <f>COUNTIF(K21:P21,"Adequate - control-dependent")</f>
        <v/>
      </c>
      <c r="AE21" s="111">
        <f>IF(COUNTA(A21:P21)+COUNTA(AJ21)=0,"",IF(AM21&lt;&gt;"OK","UNRECOGNISED_ADMIN_DISPOSITION",IF(AND(AJ21&lt;&gt;"",AJ21&lt;&gt;"None"),IF(OR(LEN(TRIM(A21))=0,LEN(TRIM(B21))=0,LEN(TRIM(C21))=0,LEN(TRIM(F21))=0),"ADMIN_INCOMPLETE","ADMIN_DISPOSITION"),IF(OR(LEN(TRIM(A21))=0,LEN(TRIM(B21))=0,LEN(TRIM(C21))=0,LEN(TRIM(D21))=0,LEN(TRIM(E21))=0,LEN(TRIM(F21))=0,LEN(TRIM(G21))=0,LEN(TRIM(H21))=0,LEN(TRIM(I21))=0,LEN(TRIM(J21))=0,LEN(TRIM(K21))=0,LEN(TRIM(L21))=0,LEN(TRIM(M21))=0,LEN(TRIM(N21))=0,LEN(TRIM(O21))=0,LEN(TRIM(P21))=0),"ADMIN_INCOMPLETE",IF(H21&lt;&gt;"Yes","ADMIN_INVALID",IF(I21="Not feasible","BURDEN_NOT_FEASIBLE",IF(AI21&lt;&gt;"OK","UNRECOGNISED_VALUE","CLEAR")))))))</f>
        <v/>
      </c>
      <c r="AF21" s="276">
        <f>IF(AND(Q21="",R21=""),"",IF(IF(Q21&lt;&gt;"",Q21,R21)="Stage-A admissible - scoped","stage_a_admissible_scoped",IF(IF(Q21&lt;&gt;"",Q21,R21)="Stage-A admissible - scoped, control-dependent","stage_a_admissible_scoped_control_dependent",IF(IF(Q21&lt;&gt;"",Q21,R21)="Stage-A non-admissible - patchable","stage_a_non_admissible_patchable",IF(IF(Q21&lt;&gt;"",Q21,R21)="Stage-A non-admissible - unpatchable for stated claim","stage_a_non_admissible_unpatchable_for_stated_claim",IF(IF(Q21&lt;&gt;"",Q21,R21)="Indeterminate - insufficient evidence","indeterminate_insufficient_evidence",IF(IF(Q21&lt;&gt;"",Q21,R21)="Protocol refusal to evaluate","protocol_refusal_to_evaluate",IF(IF(Q21&lt;&gt;"",Q21,R21)="Out of scope","out_of_scope",IF(IF(Q21&lt;&gt;"",Q21,R21)="Withdrawn","withdrawn",IF(IF(Q21&lt;&gt;"",Q21,R21)="Not reviewed","not_reviewed","unknown_status"))))))))))</f>
        <v/>
      </c>
      <c r="AG21" s="277">
        <f>IF(AND(AF21="",T21=""),"",IF(AND(AF21&lt;&gt;"",ISNUMBER(SEARCH("token="&amp;AF21&amp;";",T21)),ISNUMBER(SEARCH(AK21,T21)),ISNUMBER(SEARCH("CL basis="&amp;AL21&amp;";",T21))),"VALID","INVALID_OR_INCOMPLETE"))</f>
        <v/>
      </c>
      <c r="AH21" s="303">
        <f>COUNTIF(K21:P21,"Adequate for scope")</f>
        <v/>
      </c>
      <c r="AI21" s="303">
        <f>IF(COUNTA(K21:P21)=0,"",IF(AA21+AB21+AC21+AD21+AH21=6,"OK","UNRECOGNISED_VALUE"))</f>
        <v/>
      </c>
      <c r="AJ21" s="303" t="n"/>
      <c r="AK21" s="303">
        <f>IF(A21="","",Vocabulary!$B$5)</f>
        <v/>
      </c>
      <c r="AL21" s="303">
        <f>IF(A21="","",Vocabulary!$B$6)</f>
        <v/>
      </c>
      <c r="AM21" s="303">
        <f>IF(AJ21="","OK",IF(COUNTIF(Vocabulary!$O$5:$O$8,AJ21)=1,"OK","UNRECOGNISED_ADMIN_DISPOSITION"))</f>
        <v/>
      </c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02">
        <f>IF(AE22="","",IF(AE22="ADMIN_DISPOSITION",AJ22,IF(OR(AE22="ADMIN_INCOMPLETE",AE22="ADMIN_INVALID",AE22="BURDEN_NOT_FEASIBLE",AE22="UNRECOGNISED_VALUE",AE22="UNRECOGNISED_ADMIN_DISPOSITION"),"Protocol refusal to evaluate",IF(AA22&gt;0,"Stage-A non-admissible - unpatchable for stated claim",IF(AB22&gt;0,"Stage-A non-admissible - patchable",IF(OR(J22="Yes",I22="Indeterminate",AC22&gt;0),"Indeterminate - insufficient evidence",IF(AND(AH22=6,AD22=0),"Stage-A admissible - scoped",IF(AND(AH22+AD22=6,AD22&gt;0),"Stage-A admissible - scoped, control-dependent","Protocol refusal to evaluate"))))))))</f>
        <v/>
      </c>
      <c r="R22" s="356" t="n"/>
      <c r="S22" s="302">
        <f>IF(AND(Q22="",R22=""),"",IF(AND(Q22&lt;&gt;"",R22=""),"UNRECORDED",IF(AND(Q22="",R22&lt;&gt;""),"ORPHAN_RECORDED",IF(Q22=R22,"MATCH","MISMATCH"))))</f>
        <v/>
      </c>
      <c r="T22" s="356" t="n"/>
      <c r="U22" s="356" t="n"/>
      <c r="V22" s="356" t="n"/>
      <c r="W22" s="356" t="n"/>
      <c r="X22" s="356" t="n"/>
      <c r="Y22" s="356" t="n"/>
      <c r="Z22" s="103" t="n"/>
      <c r="AA22" s="195">
        <f>COUNTIF(K22:P22,"Material defect - unpatchable for stated claim")</f>
        <v/>
      </c>
      <c r="AB22" s="302">
        <f>COUNTIF(K22:P22,"Material defect - patchable")</f>
        <v/>
      </c>
      <c r="AC22" s="302">
        <f>COUNTIF(K22:P22,"Indeterminate")+COUNTIF(K22:P22,"Not reviewed")</f>
        <v/>
      </c>
      <c r="AD22" s="302">
        <f>COUNTIF(K22:P22,"Adequate - control-dependent")</f>
        <v/>
      </c>
      <c r="AE22" s="111">
        <f>IF(COUNTA(A22:P22)+COUNTA(AJ22)=0,"",IF(AM22&lt;&gt;"OK","UNRECOGNISED_ADMIN_DISPOSITION",IF(AND(AJ22&lt;&gt;"",AJ22&lt;&gt;"None"),IF(OR(LEN(TRIM(A22))=0,LEN(TRIM(B22))=0,LEN(TRIM(C22))=0,LEN(TRIM(F22))=0),"ADMIN_INCOMPLETE","ADMIN_DISPOSITION"),IF(OR(LEN(TRIM(A22))=0,LEN(TRIM(B22))=0,LEN(TRIM(C22))=0,LEN(TRIM(D22))=0,LEN(TRIM(E22))=0,LEN(TRIM(F22))=0,LEN(TRIM(G22))=0,LEN(TRIM(H22))=0,LEN(TRIM(I22))=0,LEN(TRIM(J22))=0,LEN(TRIM(K22))=0,LEN(TRIM(L22))=0,LEN(TRIM(M22))=0,LEN(TRIM(N22))=0,LEN(TRIM(O22))=0,LEN(TRIM(P22))=0),"ADMIN_INCOMPLETE",IF(H22&lt;&gt;"Yes","ADMIN_INVALID",IF(I22="Not feasible","BURDEN_NOT_FEASIBLE",IF(AI22&lt;&gt;"OK","UNRECOGNISED_VALUE","CLEAR")))))))</f>
        <v/>
      </c>
      <c r="AF22" s="276">
        <f>IF(AND(Q22="",R22=""),"",IF(IF(Q22&lt;&gt;"",Q22,R22)="Stage-A admissible - scoped","stage_a_admissible_scoped",IF(IF(Q22&lt;&gt;"",Q22,R22)="Stage-A admissible - scoped, control-dependent","stage_a_admissible_scoped_control_dependent",IF(IF(Q22&lt;&gt;"",Q22,R22)="Stage-A non-admissible - patchable","stage_a_non_admissible_patchable",IF(IF(Q22&lt;&gt;"",Q22,R22)="Stage-A non-admissible - unpatchable for stated claim","stage_a_non_admissible_unpatchable_for_stated_claim",IF(IF(Q22&lt;&gt;"",Q22,R22)="Indeterminate - insufficient evidence","indeterminate_insufficient_evidence",IF(IF(Q22&lt;&gt;"",Q22,R22)="Protocol refusal to evaluate","protocol_refusal_to_evaluate",IF(IF(Q22&lt;&gt;"",Q22,R22)="Out of scope","out_of_scope",IF(IF(Q22&lt;&gt;"",Q22,R22)="Withdrawn","withdrawn",IF(IF(Q22&lt;&gt;"",Q22,R22)="Not reviewed","not_reviewed","unknown_status"))))))))))</f>
        <v/>
      </c>
      <c r="AG22" s="277">
        <f>IF(AND(AF22="",T22=""),"",IF(AND(AF22&lt;&gt;"",ISNUMBER(SEARCH("token="&amp;AF22&amp;";",T22)),ISNUMBER(SEARCH(AK22,T22)),ISNUMBER(SEARCH("CL basis="&amp;AL22&amp;";",T22))),"VALID","INVALID_OR_INCOMPLETE"))</f>
        <v/>
      </c>
      <c r="AH22" s="303">
        <f>COUNTIF(K22:P22,"Adequate for scope")</f>
        <v/>
      </c>
      <c r="AI22" s="303">
        <f>IF(COUNTA(K22:P22)=0,"",IF(AA22+AB22+AC22+AD22+AH22=6,"OK","UNRECOGNISED_VALUE"))</f>
        <v/>
      </c>
      <c r="AJ22" s="303" t="n"/>
      <c r="AK22" s="303">
        <f>IF(A22="","",Vocabulary!$B$5)</f>
        <v/>
      </c>
      <c r="AL22" s="303">
        <f>IF(A22="","",Vocabulary!$B$6)</f>
        <v/>
      </c>
      <c r="AM22" s="303">
        <f>IF(AJ22="","OK",IF(COUNTIF(Vocabulary!$O$5:$O$8,AJ22)=1,"OK","UNRECOGNISED_ADMIN_DISPOSITION"))</f>
        <v/>
      </c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56" t="n"/>
      <c r="I23" s="356" t="n"/>
      <c r="J23" s="356" t="n"/>
      <c r="K23" s="356" t="n"/>
      <c r="L23" s="356" t="n"/>
      <c r="M23" s="356" t="n"/>
      <c r="N23" s="356" t="n"/>
      <c r="O23" s="356" t="n"/>
      <c r="P23" s="356" t="n"/>
      <c r="Q23" s="302">
        <f>IF(AE23="","",IF(AE23="ADMIN_DISPOSITION",AJ23,IF(OR(AE23="ADMIN_INCOMPLETE",AE23="ADMIN_INVALID",AE23="BURDEN_NOT_FEASIBLE",AE23="UNRECOGNISED_VALUE",AE23="UNRECOGNISED_ADMIN_DISPOSITION"),"Protocol refusal to evaluate",IF(AA23&gt;0,"Stage-A non-admissible - unpatchable for stated claim",IF(AB23&gt;0,"Stage-A non-admissible - patchable",IF(OR(J23="Yes",I23="Indeterminate",AC23&gt;0),"Indeterminate - insufficient evidence",IF(AND(AH23=6,AD23=0),"Stage-A admissible - scoped",IF(AND(AH23+AD23=6,AD23&gt;0),"Stage-A admissible - scoped, control-dependent","Protocol refusal to evaluate"))))))))</f>
        <v/>
      </c>
      <c r="R23" s="356" t="n"/>
      <c r="S23" s="302">
        <f>IF(AND(Q23="",R23=""),"",IF(AND(Q23&lt;&gt;"",R23=""),"UNRECORDED",IF(AND(Q23="",R23&lt;&gt;""),"ORPHAN_RECORDED",IF(Q23=R23,"MATCH","MISMATCH"))))</f>
        <v/>
      </c>
      <c r="T23" s="356" t="n"/>
      <c r="U23" s="356" t="n"/>
      <c r="V23" s="356" t="n"/>
      <c r="W23" s="356" t="n"/>
      <c r="X23" s="356" t="n"/>
      <c r="Y23" s="356" t="n"/>
      <c r="Z23" s="103" t="n"/>
      <c r="AA23" s="195">
        <f>COUNTIF(K23:P23,"Material defect - unpatchable for stated claim")</f>
        <v/>
      </c>
      <c r="AB23" s="302">
        <f>COUNTIF(K23:P23,"Material defect - patchable")</f>
        <v/>
      </c>
      <c r="AC23" s="302">
        <f>COUNTIF(K23:P23,"Indeterminate")+COUNTIF(K23:P23,"Not reviewed")</f>
        <v/>
      </c>
      <c r="AD23" s="302">
        <f>COUNTIF(K23:P23,"Adequate - control-dependent")</f>
        <v/>
      </c>
      <c r="AE23" s="111">
        <f>IF(COUNTA(A23:P23)+COUNTA(AJ23)=0,"",IF(AM23&lt;&gt;"OK","UNRECOGNISED_ADMIN_DISPOSITION",IF(AND(AJ23&lt;&gt;"",AJ23&lt;&gt;"None"),IF(OR(LEN(TRIM(A23))=0,LEN(TRIM(B23))=0,LEN(TRIM(C23))=0,LEN(TRIM(F23))=0),"ADMIN_INCOMPLETE","ADMIN_DISPOSITION"),IF(OR(LEN(TRIM(A23))=0,LEN(TRIM(B23))=0,LEN(TRIM(C23))=0,LEN(TRIM(D23))=0,LEN(TRIM(E23))=0,LEN(TRIM(F23))=0,LEN(TRIM(G23))=0,LEN(TRIM(H23))=0,LEN(TRIM(I23))=0,LEN(TRIM(J23))=0,LEN(TRIM(K23))=0,LEN(TRIM(L23))=0,LEN(TRIM(M23))=0,LEN(TRIM(N23))=0,LEN(TRIM(O23))=0,LEN(TRIM(P23))=0),"ADMIN_INCOMPLETE",IF(H23&lt;&gt;"Yes","ADMIN_INVALID",IF(I23="Not feasible","BURDEN_NOT_FEASIBLE",IF(AI23&lt;&gt;"OK","UNRECOGNISED_VALUE","CLEAR")))))))</f>
        <v/>
      </c>
      <c r="AF23" s="276">
        <f>IF(AND(Q23="",R23=""),"",IF(IF(Q23&lt;&gt;"",Q23,R23)="Stage-A admissible - scoped","stage_a_admissible_scoped",IF(IF(Q23&lt;&gt;"",Q23,R23)="Stage-A admissible - scoped, control-dependent","stage_a_admissible_scoped_control_dependent",IF(IF(Q23&lt;&gt;"",Q23,R23)="Stage-A non-admissible - patchable","stage_a_non_admissible_patchable",IF(IF(Q23&lt;&gt;"",Q23,R23)="Stage-A non-admissible - unpatchable for stated claim","stage_a_non_admissible_unpatchable_for_stated_claim",IF(IF(Q23&lt;&gt;"",Q23,R23)="Indeterminate - insufficient evidence","indeterminate_insufficient_evidence",IF(IF(Q23&lt;&gt;"",Q23,R23)="Protocol refusal to evaluate","protocol_refusal_to_evaluate",IF(IF(Q23&lt;&gt;"",Q23,R23)="Out of scope","out_of_scope",IF(IF(Q23&lt;&gt;"",Q23,R23)="Withdrawn","withdrawn",IF(IF(Q23&lt;&gt;"",Q23,R23)="Not reviewed","not_reviewed","unknown_status"))))))))))</f>
        <v/>
      </c>
      <c r="AG23" s="277">
        <f>IF(AND(AF23="",T23=""),"",IF(AND(AF23&lt;&gt;"",ISNUMBER(SEARCH("token="&amp;AF23&amp;";",T23)),ISNUMBER(SEARCH(AK23,T23)),ISNUMBER(SEARCH("CL basis="&amp;AL23&amp;";",T23))),"VALID","INVALID_OR_INCOMPLETE"))</f>
        <v/>
      </c>
      <c r="AH23" s="303">
        <f>COUNTIF(K23:P23,"Adequate for scope")</f>
        <v/>
      </c>
      <c r="AI23" s="303">
        <f>IF(COUNTA(K23:P23)=0,"",IF(AA23+AB23+AC23+AD23+AH23=6,"OK","UNRECOGNISED_VALUE"))</f>
        <v/>
      </c>
      <c r="AJ23" s="303" t="n"/>
      <c r="AK23" s="303">
        <f>IF(A23="","",Vocabulary!$B$5)</f>
        <v/>
      </c>
      <c r="AL23" s="303">
        <f>IF(A23="","",Vocabulary!$B$6)</f>
        <v/>
      </c>
      <c r="AM23" s="303">
        <f>IF(AJ23="","OK",IF(COUNTIF(Vocabulary!$O$5:$O$8,AJ23)=1,"OK","UNRECOGNISED_ADMIN_DISPOSITION"))</f>
        <v/>
      </c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56" t="n"/>
      <c r="I24" s="356" t="n"/>
      <c r="J24" s="356" t="n"/>
      <c r="K24" s="356" t="n"/>
      <c r="L24" s="356" t="n"/>
      <c r="M24" s="356" t="n"/>
      <c r="N24" s="356" t="n"/>
      <c r="O24" s="356" t="n"/>
      <c r="P24" s="356" t="n"/>
      <c r="Q24" s="302">
        <f>IF(AE24="","",IF(AE24="ADMIN_DISPOSITION",AJ24,IF(OR(AE24="ADMIN_INCOMPLETE",AE24="ADMIN_INVALID",AE24="BURDEN_NOT_FEASIBLE",AE24="UNRECOGNISED_VALUE",AE24="UNRECOGNISED_ADMIN_DISPOSITION"),"Protocol refusal to evaluate",IF(AA24&gt;0,"Stage-A non-admissible - unpatchable for stated claim",IF(AB24&gt;0,"Stage-A non-admissible - patchable",IF(OR(J24="Yes",I24="Indeterminate",AC24&gt;0),"Indeterminate - insufficient evidence",IF(AND(AH24=6,AD24=0),"Stage-A admissible - scoped",IF(AND(AH24+AD24=6,AD24&gt;0),"Stage-A admissible - scoped, control-dependent","Protocol refusal to evaluate"))))))))</f>
        <v/>
      </c>
      <c r="R24" s="356" t="n"/>
      <c r="S24" s="302">
        <f>IF(AND(Q24="",R24=""),"",IF(AND(Q24&lt;&gt;"",R24=""),"UNRECORDED",IF(AND(Q24="",R24&lt;&gt;""),"ORPHAN_RECORDED",IF(Q24=R24,"MATCH","MISMATCH"))))</f>
        <v/>
      </c>
      <c r="T24" s="356" t="n"/>
      <c r="U24" s="356" t="n"/>
      <c r="V24" s="356" t="n"/>
      <c r="W24" s="356" t="n"/>
      <c r="X24" s="356" t="n"/>
      <c r="Y24" s="356" t="n"/>
      <c r="Z24" s="103" t="n"/>
      <c r="AA24" s="195">
        <f>COUNTIF(K24:P24,"Material defect - unpatchable for stated claim")</f>
        <v/>
      </c>
      <c r="AB24" s="302">
        <f>COUNTIF(K24:P24,"Material defect - patchable")</f>
        <v/>
      </c>
      <c r="AC24" s="302">
        <f>COUNTIF(K24:P24,"Indeterminate")+COUNTIF(K24:P24,"Not reviewed")</f>
        <v/>
      </c>
      <c r="AD24" s="302">
        <f>COUNTIF(K24:P24,"Adequate - control-dependent")</f>
        <v/>
      </c>
      <c r="AE24" s="111">
        <f>IF(COUNTA(A24:P24)+COUNTA(AJ24)=0,"",IF(AM24&lt;&gt;"OK","UNRECOGNISED_ADMIN_DISPOSITION",IF(AND(AJ24&lt;&gt;"",AJ24&lt;&gt;"None"),IF(OR(LEN(TRIM(A24))=0,LEN(TRIM(B24))=0,LEN(TRIM(C24))=0,LEN(TRIM(F24))=0),"ADMIN_INCOMPLETE","ADMIN_DISPOSITION"),IF(OR(LEN(TRIM(A24))=0,LEN(TRIM(B24))=0,LEN(TRIM(C24))=0,LEN(TRIM(D24))=0,LEN(TRIM(E24))=0,LEN(TRIM(F24))=0,LEN(TRIM(G24))=0,LEN(TRIM(H24))=0,LEN(TRIM(I24))=0,LEN(TRIM(J24))=0,LEN(TRIM(K24))=0,LEN(TRIM(L24))=0,LEN(TRIM(M24))=0,LEN(TRIM(N24))=0,LEN(TRIM(O24))=0,LEN(TRIM(P24))=0),"ADMIN_INCOMPLETE",IF(H24&lt;&gt;"Yes","ADMIN_INVALID",IF(I24="Not feasible","BURDEN_NOT_FEASIBLE",IF(AI24&lt;&gt;"OK","UNRECOGNISED_VALUE","CLEAR")))))))</f>
        <v/>
      </c>
      <c r="AF24" s="276">
        <f>IF(AND(Q24="",R24=""),"",IF(IF(Q24&lt;&gt;"",Q24,R24)="Stage-A admissible - scoped","stage_a_admissible_scoped",IF(IF(Q24&lt;&gt;"",Q24,R24)="Stage-A admissible - scoped, control-dependent","stage_a_admissible_scoped_control_dependent",IF(IF(Q24&lt;&gt;"",Q24,R24)="Stage-A non-admissible - patchable","stage_a_non_admissible_patchable",IF(IF(Q24&lt;&gt;"",Q24,R24)="Stage-A non-admissible - unpatchable for stated claim","stage_a_non_admissible_unpatchable_for_stated_claim",IF(IF(Q24&lt;&gt;"",Q24,R24)="Indeterminate - insufficient evidence","indeterminate_insufficient_evidence",IF(IF(Q24&lt;&gt;"",Q24,R24)="Protocol refusal to evaluate","protocol_refusal_to_evaluate",IF(IF(Q24&lt;&gt;"",Q24,R24)="Out of scope","out_of_scope",IF(IF(Q24&lt;&gt;"",Q24,R24)="Withdrawn","withdrawn",IF(IF(Q24&lt;&gt;"",Q24,R24)="Not reviewed","not_reviewed","unknown_status"))))))))))</f>
        <v/>
      </c>
      <c r="AG24" s="277">
        <f>IF(AND(AF24="",T24=""),"",IF(AND(AF24&lt;&gt;"",ISNUMBER(SEARCH("token="&amp;AF24&amp;";",T24)),ISNUMBER(SEARCH(AK24,T24)),ISNUMBER(SEARCH("CL basis="&amp;AL24&amp;";",T24))),"VALID","INVALID_OR_INCOMPLETE"))</f>
        <v/>
      </c>
      <c r="AH24" s="303">
        <f>COUNTIF(K24:P24,"Adequate for scope")</f>
        <v/>
      </c>
      <c r="AI24" s="303">
        <f>IF(COUNTA(K24:P24)=0,"",IF(AA24+AB24+AC24+AD24+AH24=6,"OK","UNRECOGNISED_VALUE"))</f>
        <v/>
      </c>
      <c r="AJ24" s="303" t="n"/>
      <c r="AK24" s="303">
        <f>IF(A24="","",Vocabulary!$B$5)</f>
        <v/>
      </c>
      <c r="AL24" s="303">
        <f>IF(A24="","",Vocabulary!$B$6)</f>
        <v/>
      </c>
      <c r="AM24" s="303">
        <f>IF(AJ24="","OK",IF(COUNTIF(Vocabulary!$O$5:$O$8,AJ24)=1,"OK","UNRECOGNISED_ADMIN_DISPOSITION"))</f>
        <v/>
      </c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356" t="n"/>
      <c r="N25" s="356" t="n"/>
      <c r="O25" s="356" t="n"/>
      <c r="P25" s="356" t="n"/>
      <c r="Q25" s="302">
        <f>IF(AE25="","",IF(AE25="ADMIN_DISPOSITION",AJ25,IF(OR(AE25="ADMIN_INCOMPLETE",AE25="ADMIN_INVALID",AE25="BURDEN_NOT_FEASIBLE",AE25="UNRECOGNISED_VALUE",AE25="UNRECOGNISED_ADMIN_DISPOSITION"),"Protocol refusal to evaluate",IF(AA25&gt;0,"Stage-A non-admissible - unpatchable for stated claim",IF(AB25&gt;0,"Stage-A non-admissible - patchable",IF(OR(J25="Yes",I25="Indeterminate",AC25&gt;0),"Indeterminate - insufficient evidence",IF(AND(AH25=6,AD25=0),"Stage-A admissible - scoped",IF(AND(AH25+AD25=6,AD25&gt;0),"Stage-A admissible - scoped, control-dependent","Protocol refusal to evaluate"))))))))</f>
        <v/>
      </c>
      <c r="R25" s="356" t="n"/>
      <c r="S25" s="302">
        <f>IF(AND(Q25="",R25=""),"",IF(AND(Q25&lt;&gt;"",R25=""),"UNRECORDED",IF(AND(Q25="",R25&lt;&gt;""),"ORPHAN_RECORDED",IF(Q25=R25,"MATCH","MISMATCH"))))</f>
        <v/>
      </c>
      <c r="T25" s="356" t="n"/>
      <c r="U25" s="356" t="n"/>
      <c r="V25" s="356" t="n"/>
      <c r="W25" s="356" t="n"/>
      <c r="X25" s="356" t="n"/>
      <c r="Y25" s="356" t="n"/>
      <c r="Z25" s="103" t="n"/>
      <c r="AA25" s="195">
        <f>COUNTIF(K25:P25,"Material defect - unpatchable for stated claim")</f>
        <v/>
      </c>
      <c r="AB25" s="302">
        <f>COUNTIF(K25:P25,"Material defect - patchable")</f>
        <v/>
      </c>
      <c r="AC25" s="302">
        <f>COUNTIF(K25:P25,"Indeterminate")+COUNTIF(K25:P25,"Not reviewed")</f>
        <v/>
      </c>
      <c r="AD25" s="302">
        <f>COUNTIF(K25:P25,"Adequate - control-dependent")</f>
        <v/>
      </c>
      <c r="AE25" s="111">
        <f>IF(COUNTA(A25:P25)+COUNTA(AJ25)=0,"",IF(AM25&lt;&gt;"OK","UNRECOGNISED_ADMIN_DISPOSITION",IF(AND(AJ25&lt;&gt;"",AJ25&lt;&gt;"None"),IF(OR(LEN(TRIM(A25))=0,LEN(TRIM(B25))=0,LEN(TRIM(C25))=0,LEN(TRIM(F25))=0),"ADMIN_INCOMPLETE","ADMIN_DISPOSITION"),IF(OR(LEN(TRIM(A25))=0,LEN(TRIM(B25))=0,LEN(TRIM(C25))=0,LEN(TRIM(D25))=0,LEN(TRIM(E25))=0,LEN(TRIM(F25))=0,LEN(TRIM(G25))=0,LEN(TRIM(H25))=0,LEN(TRIM(I25))=0,LEN(TRIM(J25))=0,LEN(TRIM(K25))=0,LEN(TRIM(L25))=0,LEN(TRIM(M25))=0,LEN(TRIM(N25))=0,LEN(TRIM(O25))=0,LEN(TRIM(P25))=0),"ADMIN_INCOMPLETE",IF(H25&lt;&gt;"Yes","ADMIN_INVALID",IF(I25="Not feasible","BURDEN_NOT_FEASIBLE",IF(AI25&lt;&gt;"OK","UNRECOGNISED_VALUE","CLEAR")))))))</f>
        <v/>
      </c>
      <c r="AF25" s="276">
        <f>IF(AND(Q25="",R25=""),"",IF(IF(Q25&lt;&gt;"",Q25,R25)="Stage-A admissible - scoped","stage_a_admissible_scoped",IF(IF(Q25&lt;&gt;"",Q25,R25)="Stage-A admissible - scoped, control-dependent","stage_a_admissible_scoped_control_dependent",IF(IF(Q25&lt;&gt;"",Q25,R25)="Stage-A non-admissible - patchable","stage_a_non_admissible_patchable",IF(IF(Q25&lt;&gt;"",Q25,R25)="Stage-A non-admissible - unpatchable for stated claim","stage_a_non_admissible_unpatchable_for_stated_claim",IF(IF(Q25&lt;&gt;"",Q25,R25)="Indeterminate - insufficient evidence","indeterminate_insufficient_evidence",IF(IF(Q25&lt;&gt;"",Q25,R25)="Protocol refusal to evaluate","protocol_refusal_to_evaluate",IF(IF(Q25&lt;&gt;"",Q25,R25)="Out of scope","out_of_scope",IF(IF(Q25&lt;&gt;"",Q25,R25)="Withdrawn","withdrawn",IF(IF(Q25&lt;&gt;"",Q25,R25)="Not reviewed","not_reviewed","unknown_status"))))))))))</f>
        <v/>
      </c>
      <c r="AG25" s="277">
        <f>IF(AND(AF25="",T25=""),"",IF(AND(AF25&lt;&gt;"",ISNUMBER(SEARCH("token="&amp;AF25&amp;";",T25)),ISNUMBER(SEARCH(AK25,T25)),ISNUMBER(SEARCH("CL basis="&amp;AL25&amp;";",T25))),"VALID","INVALID_OR_INCOMPLETE"))</f>
        <v/>
      </c>
      <c r="AH25" s="303">
        <f>COUNTIF(K25:P25,"Adequate for scope")</f>
        <v/>
      </c>
      <c r="AI25" s="303">
        <f>IF(COUNTA(K25:P25)=0,"",IF(AA25+AB25+AC25+AD25+AH25=6,"OK","UNRECOGNISED_VALUE"))</f>
        <v/>
      </c>
      <c r="AJ25" s="303" t="n"/>
      <c r="AK25" s="303">
        <f>IF(A25="","",Vocabulary!$B$5)</f>
        <v/>
      </c>
      <c r="AL25" s="303">
        <f>IF(A25="","",Vocabulary!$B$6)</f>
        <v/>
      </c>
      <c r="AM25" s="303">
        <f>IF(AJ25="","OK",IF(COUNTIF(Vocabulary!$O$5:$O$8,AJ25)=1,"OK","UNRECOGNISED_ADMIN_DISPOSITION"))</f>
        <v/>
      </c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56" t="n"/>
      <c r="I26" s="356" t="n"/>
      <c r="J26" s="356" t="n"/>
      <c r="K26" s="356" t="n"/>
      <c r="L26" s="356" t="n"/>
      <c r="M26" s="356" t="n"/>
      <c r="N26" s="356" t="n"/>
      <c r="O26" s="356" t="n"/>
      <c r="P26" s="356" t="n"/>
      <c r="Q26" s="302">
        <f>IF(AE26="","",IF(AE26="ADMIN_DISPOSITION",AJ26,IF(OR(AE26="ADMIN_INCOMPLETE",AE26="ADMIN_INVALID",AE26="BURDEN_NOT_FEASIBLE",AE26="UNRECOGNISED_VALUE",AE26="UNRECOGNISED_ADMIN_DISPOSITION"),"Protocol refusal to evaluate",IF(AA26&gt;0,"Stage-A non-admissible - unpatchable for stated claim",IF(AB26&gt;0,"Stage-A non-admissible - patchable",IF(OR(J26="Yes",I26="Indeterminate",AC26&gt;0),"Indeterminate - insufficient evidence",IF(AND(AH26=6,AD26=0),"Stage-A admissible - scoped",IF(AND(AH26+AD26=6,AD26&gt;0),"Stage-A admissible - scoped, control-dependent","Protocol refusal to evaluate"))))))))</f>
        <v/>
      </c>
      <c r="R26" s="356" t="n"/>
      <c r="S26" s="302">
        <f>IF(AND(Q26="",R26=""),"",IF(AND(Q26&lt;&gt;"",R26=""),"UNRECORDED",IF(AND(Q26="",R26&lt;&gt;""),"ORPHAN_RECORDED",IF(Q26=R26,"MATCH","MISMATCH"))))</f>
        <v/>
      </c>
      <c r="T26" s="356" t="n"/>
      <c r="U26" s="356" t="n"/>
      <c r="V26" s="356" t="n"/>
      <c r="W26" s="356" t="n"/>
      <c r="X26" s="356" t="n"/>
      <c r="Y26" s="356" t="n"/>
      <c r="Z26" s="103" t="n"/>
      <c r="AA26" s="195">
        <f>COUNTIF(K26:P26,"Material defect - unpatchable for stated claim")</f>
        <v/>
      </c>
      <c r="AB26" s="302">
        <f>COUNTIF(K26:P26,"Material defect - patchable")</f>
        <v/>
      </c>
      <c r="AC26" s="302">
        <f>COUNTIF(K26:P26,"Indeterminate")+COUNTIF(K26:P26,"Not reviewed")</f>
        <v/>
      </c>
      <c r="AD26" s="302">
        <f>COUNTIF(K26:P26,"Adequate - control-dependent")</f>
        <v/>
      </c>
      <c r="AE26" s="111">
        <f>IF(COUNTA(A26:P26)+COUNTA(AJ26)=0,"",IF(AM26&lt;&gt;"OK","UNRECOGNISED_ADMIN_DISPOSITION",IF(AND(AJ26&lt;&gt;"",AJ26&lt;&gt;"None"),IF(OR(LEN(TRIM(A26))=0,LEN(TRIM(B26))=0,LEN(TRIM(C26))=0,LEN(TRIM(F26))=0),"ADMIN_INCOMPLETE","ADMIN_DISPOSITION"),IF(OR(LEN(TRIM(A26))=0,LEN(TRIM(B26))=0,LEN(TRIM(C26))=0,LEN(TRIM(D26))=0,LEN(TRIM(E26))=0,LEN(TRIM(F26))=0,LEN(TRIM(G26))=0,LEN(TRIM(H26))=0,LEN(TRIM(I26))=0,LEN(TRIM(J26))=0,LEN(TRIM(K26))=0,LEN(TRIM(L26))=0,LEN(TRIM(M26))=0,LEN(TRIM(N26))=0,LEN(TRIM(O26))=0,LEN(TRIM(P26))=0),"ADMIN_INCOMPLETE",IF(H26&lt;&gt;"Yes","ADMIN_INVALID",IF(I26="Not feasible","BURDEN_NOT_FEASIBLE",IF(AI26&lt;&gt;"OK","UNRECOGNISED_VALUE","CLEAR")))))))</f>
        <v/>
      </c>
      <c r="AF26" s="276">
        <f>IF(AND(Q26="",R26=""),"",IF(IF(Q26&lt;&gt;"",Q26,R26)="Stage-A admissible - scoped","stage_a_admissible_scoped",IF(IF(Q26&lt;&gt;"",Q26,R26)="Stage-A admissible - scoped, control-dependent","stage_a_admissible_scoped_control_dependent",IF(IF(Q26&lt;&gt;"",Q26,R26)="Stage-A non-admissible - patchable","stage_a_non_admissible_patchable",IF(IF(Q26&lt;&gt;"",Q26,R26)="Stage-A non-admissible - unpatchable for stated claim","stage_a_non_admissible_unpatchable_for_stated_claim",IF(IF(Q26&lt;&gt;"",Q26,R26)="Indeterminate - insufficient evidence","indeterminate_insufficient_evidence",IF(IF(Q26&lt;&gt;"",Q26,R26)="Protocol refusal to evaluate","protocol_refusal_to_evaluate",IF(IF(Q26&lt;&gt;"",Q26,R26)="Out of scope","out_of_scope",IF(IF(Q26&lt;&gt;"",Q26,R26)="Withdrawn","withdrawn",IF(IF(Q26&lt;&gt;"",Q26,R26)="Not reviewed","not_reviewed","unknown_status"))))))))))</f>
        <v/>
      </c>
      <c r="AG26" s="277">
        <f>IF(AND(AF26="",T26=""),"",IF(AND(AF26&lt;&gt;"",ISNUMBER(SEARCH("token="&amp;AF26&amp;";",T26)),ISNUMBER(SEARCH(AK26,T26)),ISNUMBER(SEARCH("CL basis="&amp;AL26&amp;";",T26))),"VALID","INVALID_OR_INCOMPLETE"))</f>
        <v/>
      </c>
      <c r="AH26" s="303">
        <f>COUNTIF(K26:P26,"Adequate for scope")</f>
        <v/>
      </c>
      <c r="AI26" s="303">
        <f>IF(COUNTA(K26:P26)=0,"",IF(AA26+AB26+AC26+AD26+AH26=6,"OK","UNRECOGNISED_VALUE"))</f>
        <v/>
      </c>
      <c r="AJ26" s="303" t="n"/>
      <c r="AK26" s="303">
        <f>IF(A26="","",Vocabulary!$B$5)</f>
        <v/>
      </c>
      <c r="AL26" s="303">
        <f>IF(A26="","",Vocabulary!$B$6)</f>
        <v/>
      </c>
      <c r="AM26" s="303">
        <f>IF(AJ26="","OK",IF(COUNTIF(Vocabulary!$O$5:$O$8,AJ26)=1,"OK","UNRECOGNISED_ADMIN_DISPOSITION"))</f>
        <v/>
      </c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56" t="n"/>
      <c r="I27" s="356" t="n"/>
      <c r="J27" s="356" t="n"/>
      <c r="K27" s="356" t="n"/>
      <c r="L27" s="356" t="n"/>
      <c r="M27" s="356" t="n"/>
      <c r="N27" s="356" t="n"/>
      <c r="O27" s="356" t="n"/>
      <c r="P27" s="356" t="n"/>
      <c r="Q27" s="302">
        <f>IF(AE27="","",IF(AE27="ADMIN_DISPOSITION",AJ27,IF(OR(AE27="ADMIN_INCOMPLETE",AE27="ADMIN_INVALID",AE27="BURDEN_NOT_FEASIBLE",AE27="UNRECOGNISED_VALUE",AE27="UNRECOGNISED_ADMIN_DISPOSITION"),"Protocol refusal to evaluate",IF(AA27&gt;0,"Stage-A non-admissible - unpatchable for stated claim",IF(AB27&gt;0,"Stage-A non-admissible - patchable",IF(OR(J27="Yes",I27="Indeterminate",AC27&gt;0),"Indeterminate - insufficient evidence",IF(AND(AH27=6,AD27=0),"Stage-A admissible - scoped",IF(AND(AH27+AD27=6,AD27&gt;0),"Stage-A admissible - scoped, control-dependent","Protocol refusal to evaluate"))))))))</f>
        <v/>
      </c>
      <c r="R27" s="356" t="n"/>
      <c r="S27" s="302">
        <f>IF(AND(Q27="",R27=""),"",IF(AND(Q27&lt;&gt;"",R27=""),"UNRECORDED",IF(AND(Q27="",R27&lt;&gt;""),"ORPHAN_RECORDED",IF(Q27=R27,"MATCH","MISMATCH"))))</f>
        <v/>
      </c>
      <c r="T27" s="356" t="n"/>
      <c r="U27" s="356" t="n"/>
      <c r="V27" s="356" t="n"/>
      <c r="W27" s="356" t="n"/>
      <c r="X27" s="356" t="n"/>
      <c r="Y27" s="356" t="n"/>
      <c r="Z27" s="103" t="n"/>
      <c r="AA27" s="195">
        <f>COUNTIF(K27:P27,"Material defect - unpatchable for stated claim")</f>
        <v/>
      </c>
      <c r="AB27" s="302">
        <f>COUNTIF(K27:P27,"Material defect - patchable")</f>
        <v/>
      </c>
      <c r="AC27" s="302">
        <f>COUNTIF(K27:P27,"Indeterminate")+COUNTIF(K27:P27,"Not reviewed")</f>
        <v/>
      </c>
      <c r="AD27" s="302">
        <f>COUNTIF(K27:P27,"Adequate - control-dependent")</f>
        <v/>
      </c>
      <c r="AE27" s="111">
        <f>IF(COUNTA(A27:P27)+COUNTA(AJ27)=0,"",IF(AM27&lt;&gt;"OK","UNRECOGNISED_ADMIN_DISPOSITION",IF(AND(AJ27&lt;&gt;"",AJ27&lt;&gt;"None"),IF(OR(LEN(TRIM(A27))=0,LEN(TRIM(B27))=0,LEN(TRIM(C27))=0,LEN(TRIM(F27))=0),"ADMIN_INCOMPLETE","ADMIN_DISPOSITION"),IF(OR(LEN(TRIM(A27))=0,LEN(TRIM(B27))=0,LEN(TRIM(C27))=0,LEN(TRIM(D27))=0,LEN(TRIM(E27))=0,LEN(TRIM(F27))=0,LEN(TRIM(G27))=0,LEN(TRIM(H27))=0,LEN(TRIM(I27))=0,LEN(TRIM(J27))=0,LEN(TRIM(K27))=0,LEN(TRIM(L27))=0,LEN(TRIM(M27))=0,LEN(TRIM(N27))=0,LEN(TRIM(O27))=0,LEN(TRIM(P27))=0),"ADMIN_INCOMPLETE",IF(H27&lt;&gt;"Yes","ADMIN_INVALID",IF(I27="Not feasible","BURDEN_NOT_FEASIBLE",IF(AI27&lt;&gt;"OK","UNRECOGNISED_VALUE","CLEAR")))))))</f>
        <v/>
      </c>
      <c r="AF27" s="276">
        <f>IF(AND(Q27="",R27=""),"",IF(IF(Q27&lt;&gt;"",Q27,R27)="Stage-A admissible - scoped","stage_a_admissible_scoped",IF(IF(Q27&lt;&gt;"",Q27,R27)="Stage-A admissible - scoped, control-dependent","stage_a_admissible_scoped_control_dependent",IF(IF(Q27&lt;&gt;"",Q27,R27)="Stage-A non-admissible - patchable","stage_a_non_admissible_patchable",IF(IF(Q27&lt;&gt;"",Q27,R27)="Stage-A non-admissible - unpatchable for stated claim","stage_a_non_admissible_unpatchable_for_stated_claim",IF(IF(Q27&lt;&gt;"",Q27,R27)="Indeterminate - insufficient evidence","indeterminate_insufficient_evidence",IF(IF(Q27&lt;&gt;"",Q27,R27)="Protocol refusal to evaluate","protocol_refusal_to_evaluate",IF(IF(Q27&lt;&gt;"",Q27,R27)="Out of scope","out_of_scope",IF(IF(Q27&lt;&gt;"",Q27,R27)="Withdrawn","withdrawn",IF(IF(Q27&lt;&gt;"",Q27,R27)="Not reviewed","not_reviewed","unknown_status"))))))))))</f>
        <v/>
      </c>
      <c r="AG27" s="277">
        <f>IF(AND(AF27="",T27=""),"",IF(AND(AF27&lt;&gt;"",ISNUMBER(SEARCH("token="&amp;AF27&amp;";",T27)),ISNUMBER(SEARCH(AK27,T27)),ISNUMBER(SEARCH("CL basis="&amp;AL27&amp;";",T27))),"VALID","INVALID_OR_INCOMPLETE"))</f>
        <v/>
      </c>
      <c r="AH27" s="303">
        <f>COUNTIF(K27:P27,"Adequate for scope")</f>
        <v/>
      </c>
      <c r="AI27" s="303">
        <f>IF(COUNTA(K27:P27)=0,"",IF(AA27+AB27+AC27+AD27+AH27=6,"OK","UNRECOGNISED_VALUE"))</f>
        <v/>
      </c>
      <c r="AJ27" s="303" t="n"/>
      <c r="AK27" s="303">
        <f>IF(A27="","",Vocabulary!$B$5)</f>
        <v/>
      </c>
      <c r="AL27" s="303">
        <f>IF(A27="","",Vocabulary!$B$6)</f>
        <v/>
      </c>
      <c r="AM27" s="303">
        <f>IF(AJ27="","OK",IF(COUNTIF(Vocabulary!$O$5:$O$8,AJ27)=1,"OK","UNRECOGNISED_ADMIN_DISPOSITION"))</f>
        <v/>
      </c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56" t="n"/>
      <c r="I28" s="356" t="n"/>
      <c r="J28" s="356" t="n"/>
      <c r="K28" s="356" t="n"/>
      <c r="L28" s="356" t="n"/>
      <c r="M28" s="356" t="n"/>
      <c r="N28" s="356" t="n"/>
      <c r="O28" s="356" t="n"/>
      <c r="P28" s="356" t="n"/>
      <c r="Q28" s="302">
        <f>IF(AE28="","",IF(AE28="ADMIN_DISPOSITION",AJ28,IF(OR(AE28="ADMIN_INCOMPLETE",AE28="ADMIN_INVALID",AE28="BURDEN_NOT_FEASIBLE",AE28="UNRECOGNISED_VALUE",AE28="UNRECOGNISED_ADMIN_DISPOSITION"),"Protocol refusal to evaluate",IF(AA28&gt;0,"Stage-A non-admissible - unpatchable for stated claim",IF(AB28&gt;0,"Stage-A non-admissible - patchable",IF(OR(J28="Yes",I28="Indeterminate",AC28&gt;0),"Indeterminate - insufficient evidence",IF(AND(AH28=6,AD28=0),"Stage-A admissible - scoped",IF(AND(AH28+AD28=6,AD28&gt;0),"Stage-A admissible - scoped, control-dependent","Protocol refusal to evaluate"))))))))</f>
        <v/>
      </c>
      <c r="R28" s="356" t="n"/>
      <c r="S28" s="302">
        <f>IF(AND(Q28="",R28=""),"",IF(AND(Q28&lt;&gt;"",R28=""),"UNRECORDED",IF(AND(Q28="",R28&lt;&gt;""),"ORPHAN_RECORDED",IF(Q28=R28,"MATCH","MISMATCH"))))</f>
        <v/>
      </c>
      <c r="T28" s="356" t="n"/>
      <c r="U28" s="356" t="n"/>
      <c r="V28" s="356" t="n"/>
      <c r="W28" s="356" t="n"/>
      <c r="X28" s="356" t="n"/>
      <c r="Y28" s="356" t="n"/>
      <c r="Z28" s="103" t="n"/>
      <c r="AA28" s="195">
        <f>COUNTIF(K28:P28,"Material defect - unpatchable for stated claim")</f>
        <v/>
      </c>
      <c r="AB28" s="302">
        <f>COUNTIF(K28:P28,"Material defect - patchable")</f>
        <v/>
      </c>
      <c r="AC28" s="302">
        <f>COUNTIF(K28:P28,"Indeterminate")+COUNTIF(K28:P28,"Not reviewed")</f>
        <v/>
      </c>
      <c r="AD28" s="302">
        <f>COUNTIF(K28:P28,"Adequate - control-dependent")</f>
        <v/>
      </c>
      <c r="AE28" s="111">
        <f>IF(COUNTA(A28:P28)+COUNTA(AJ28)=0,"",IF(AM28&lt;&gt;"OK","UNRECOGNISED_ADMIN_DISPOSITION",IF(AND(AJ28&lt;&gt;"",AJ28&lt;&gt;"None"),IF(OR(LEN(TRIM(A28))=0,LEN(TRIM(B28))=0,LEN(TRIM(C28))=0,LEN(TRIM(F28))=0),"ADMIN_INCOMPLETE","ADMIN_DISPOSITION"),IF(OR(LEN(TRIM(A28))=0,LEN(TRIM(B28))=0,LEN(TRIM(C28))=0,LEN(TRIM(D28))=0,LEN(TRIM(E28))=0,LEN(TRIM(F28))=0,LEN(TRIM(G28))=0,LEN(TRIM(H28))=0,LEN(TRIM(I28))=0,LEN(TRIM(J28))=0,LEN(TRIM(K28))=0,LEN(TRIM(L28))=0,LEN(TRIM(M28))=0,LEN(TRIM(N28))=0,LEN(TRIM(O28))=0,LEN(TRIM(P28))=0),"ADMIN_INCOMPLETE",IF(H28&lt;&gt;"Yes","ADMIN_INVALID",IF(I28="Not feasible","BURDEN_NOT_FEASIBLE",IF(AI28&lt;&gt;"OK","UNRECOGNISED_VALUE","CLEAR")))))))</f>
        <v/>
      </c>
      <c r="AF28" s="276">
        <f>IF(AND(Q28="",R28=""),"",IF(IF(Q28&lt;&gt;"",Q28,R28)="Stage-A admissible - scoped","stage_a_admissible_scoped",IF(IF(Q28&lt;&gt;"",Q28,R28)="Stage-A admissible - scoped, control-dependent","stage_a_admissible_scoped_control_dependent",IF(IF(Q28&lt;&gt;"",Q28,R28)="Stage-A non-admissible - patchable","stage_a_non_admissible_patchable",IF(IF(Q28&lt;&gt;"",Q28,R28)="Stage-A non-admissible - unpatchable for stated claim","stage_a_non_admissible_unpatchable_for_stated_claim",IF(IF(Q28&lt;&gt;"",Q28,R28)="Indeterminate - insufficient evidence","indeterminate_insufficient_evidence",IF(IF(Q28&lt;&gt;"",Q28,R28)="Protocol refusal to evaluate","protocol_refusal_to_evaluate",IF(IF(Q28&lt;&gt;"",Q28,R28)="Out of scope","out_of_scope",IF(IF(Q28&lt;&gt;"",Q28,R28)="Withdrawn","withdrawn",IF(IF(Q28&lt;&gt;"",Q28,R28)="Not reviewed","not_reviewed","unknown_status"))))))))))</f>
        <v/>
      </c>
      <c r="AG28" s="277">
        <f>IF(AND(AF28="",T28=""),"",IF(AND(AF28&lt;&gt;"",ISNUMBER(SEARCH("token="&amp;AF28&amp;";",T28)),ISNUMBER(SEARCH(AK28,T28)),ISNUMBER(SEARCH("CL basis="&amp;AL28&amp;";",T28))),"VALID","INVALID_OR_INCOMPLETE"))</f>
        <v/>
      </c>
      <c r="AH28" s="303">
        <f>COUNTIF(K28:P28,"Adequate for scope")</f>
        <v/>
      </c>
      <c r="AI28" s="303">
        <f>IF(COUNTA(K28:P28)=0,"",IF(AA28+AB28+AC28+AD28+AH28=6,"OK","UNRECOGNISED_VALUE"))</f>
        <v/>
      </c>
      <c r="AJ28" s="303" t="n"/>
      <c r="AK28" s="303">
        <f>IF(A28="","",Vocabulary!$B$5)</f>
        <v/>
      </c>
      <c r="AL28" s="303">
        <f>IF(A28="","",Vocabulary!$B$6)</f>
        <v/>
      </c>
      <c r="AM28" s="303">
        <f>IF(AJ28="","OK",IF(COUNTIF(Vocabulary!$O$5:$O$8,AJ28)=1,"OK","UNRECOGNISED_ADMIN_DISPOSITION"))</f>
        <v/>
      </c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56" t="n"/>
      <c r="I29" s="356" t="n"/>
      <c r="J29" s="356" t="n"/>
      <c r="K29" s="356" t="n"/>
      <c r="L29" s="356" t="n"/>
      <c r="M29" s="356" t="n"/>
      <c r="N29" s="356" t="n"/>
      <c r="O29" s="356" t="n"/>
      <c r="P29" s="356" t="n"/>
      <c r="Q29" s="302">
        <f>IF(AE29="","",IF(AE29="ADMIN_DISPOSITION",AJ29,IF(OR(AE29="ADMIN_INCOMPLETE",AE29="ADMIN_INVALID",AE29="BURDEN_NOT_FEASIBLE",AE29="UNRECOGNISED_VALUE",AE29="UNRECOGNISED_ADMIN_DISPOSITION"),"Protocol refusal to evaluate",IF(AA29&gt;0,"Stage-A non-admissible - unpatchable for stated claim",IF(AB29&gt;0,"Stage-A non-admissible - patchable",IF(OR(J29="Yes",I29="Indeterminate",AC29&gt;0),"Indeterminate - insufficient evidence",IF(AND(AH29=6,AD29=0),"Stage-A admissible - scoped",IF(AND(AH29+AD29=6,AD29&gt;0),"Stage-A admissible - scoped, control-dependent","Protocol refusal to evaluate"))))))))</f>
        <v/>
      </c>
      <c r="R29" s="356" t="n"/>
      <c r="S29" s="302">
        <f>IF(AND(Q29="",R29=""),"",IF(AND(Q29&lt;&gt;"",R29=""),"UNRECORDED",IF(AND(Q29="",R29&lt;&gt;""),"ORPHAN_RECORDED",IF(Q29=R29,"MATCH","MISMATCH"))))</f>
        <v/>
      </c>
      <c r="T29" s="356" t="n"/>
      <c r="U29" s="356" t="n"/>
      <c r="V29" s="356" t="n"/>
      <c r="W29" s="356" t="n"/>
      <c r="X29" s="356" t="n"/>
      <c r="Y29" s="356" t="n"/>
      <c r="Z29" s="103" t="n"/>
      <c r="AA29" s="195">
        <f>COUNTIF(K29:P29,"Material defect - unpatchable for stated claim")</f>
        <v/>
      </c>
      <c r="AB29" s="302">
        <f>COUNTIF(K29:P29,"Material defect - patchable")</f>
        <v/>
      </c>
      <c r="AC29" s="302">
        <f>COUNTIF(K29:P29,"Indeterminate")+COUNTIF(K29:P29,"Not reviewed")</f>
        <v/>
      </c>
      <c r="AD29" s="302">
        <f>COUNTIF(K29:P29,"Adequate - control-dependent")</f>
        <v/>
      </c>
      <c r="AE29" s="111">
        <f>IF(COUNTA(A29:P29)+COUNTA(AJ29)=0,"",IF(AM29&lt;&gt;"OK","UNRECOGNISED_ADMIN_DISPOSITION",IF(AND(AJ29&lt;&gt;"",AJ29&lt;&gt;"None"),IF(OR(LEN(TRIM(A29))=0,LEN(TRIM(B29))=0,LEN(TRIM(C29))=0,LEN(TRIM(F29))=0),"ADMIN_INCOMPLETE","ADMIN_DISPOSITION"),IF(OR(LEN(TRIM(A29))=0,LEN(TRIM(B29))=0,LEN(TRIM(C29))=0,LEN(TRIM(D29))=0,LEN(TRIM(E29))=0,LEN(TRIM(F29))=0,LEN(TRIM(G29))=0,LEN(TRIM(H29))=0,LEN(TRIM(I29))=0,LEN(TRIM(J29))=0,LEN(TRIM(K29))=0,LEN(TRIM(L29))=0,LEN(TRIM(M29))=0,LEN(TRIM(N29))=0,LEN(TRIM(O29))=0,LEN(TRIM(P29))=0),"ADMIN_INCOMPLETE",IF(H29&lt;&gt;"Yes","ADMIN_INVALID",IF(I29="Not feasible","BURDEN_NOT_FEASIBLE",IF(AI29&lt;&gt;"OK","UNRECOGNISED_VALUE","CLEAR")))))))</f>
        <v/>
      </c>
      <c r="AF29" s="276">
        <f>IF(AND(Q29="",R29=""),"",IF(IF(Q29&lt;&gt;"",Q29,R29)="Stage-A admissible - scoped","stage_a_admissible_scoped",IF(IF(Q29&lt;&gt;"",Q29,R29)="Stage-A admissible - scoped, control-dependent","stage_a_admissible_scoped_control_dependent",IF(IF(Q29&lt;&gt;"",Q29,R29)="Stage-A non-admissible - patchable","stage_a_non_admissible_patchable",IF(IF(Q29&lt;&gt;"",Q29,R29)="Stage-A non-admissible - unpatchable for stated claim","stage_a_non_admissible_unpatchable_for_stated_claim",IF(IF(Q29&lt;&gt;"",Q29,R29)="Indeterminate - insufficient evidence","indeterminate_insufficient_evidence",IF(IF(Q29&lt;&gt;"",Q29,R29)="Protocol refusal to evaluate","protocol_refusal_to_evaluate",IF(IF(Q29&lt;&gt;"",Q29,R29)="Out of scope","out_of_scope",IF(IF(Q29&lt;&gt;"",Q29,R29)="Withdrawn","withdrawn",IF(IF(Q29&lt;&gt;"",Q29,R29)="Not reviewed","not_reviewed","unknown_status"))))))))))</f>
        <v/>
      </c>
      <c r="AG29" s="277">
        <f>IF(AND(AF29="",T29=""),"",IF(AND(AF29&lt;&gt;"",ISNUMBER(SEARCH("token="&amp;AF29&amp;";",T29)),ISNUMBER(SEARCH(AK29,T29)),ISNUMBER(SEARCH("CL basis="&amp;AL29&amp;";",T29))),"VALID","INVALID_OR_INCOMPLETE"))</f>
        <v/>
      </c>
      <c r="AH29" s="303">
        <f>COUNTIF(K29:P29,"Adequate for scope")</f>
        <v/>
      </c>
      <c r="AI29" s="303">
        <f>IF(COUNTA(K29:P29)=0,"",IF(AA29+AB29+AC29+AD29+AH29=6,"OK","UNRECOGNISED_VALUE"))</f>
        <v/>
      </c>
      <c r="AJ29" s="303" t="n"/>
      <c r="AK29" s="303">
        <f>IF(A29="","",Vocabulary!$B$5)</f>
        <v/>
      </c>
      <c r="AL29" s="303">
        <f>IF(A29="","",Vocabulary!$B$6)</f>
        <v/>
      </c>
      <c r="AM29" s="303">
        <f>IF(AJ29="","OK",IF(COUNTIF(Vocabulary!$O$5:$O$8,AJ29)=1,"OK","UNRECOGNISED_ADMIN_DISPOSITION"))</f>
        <v/>
      </c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  <c r="O30" s="356" t="n"/>
      <c r="P30" s="356" t="n"/>
      <c r="Q30" s="302">
        <f>IF(AE30="","",IF(AE30="ADMIN_DISPOSITION",AJ30,IF(OR(AE30="ADMIN_INCOMPLETE",AE30="ADMIN_INVALID",AE30="BURDEN_NOT_FEASIBLE",AE30="UNRECOGNISED_VALUE",AE30="UNRECOGNISED_ADMIN_DISPOSITION"),"Protocol refusal to evaluate",IF(AA30&gt;0,"Stage-A non-admissible - unpatchable for stated claim",IF(AB30&gt;0,"Stage-A non-admissible - patchable",IF(OR(J30="Yes",I30="Indeterminate",AC30&gt;0),"Indeterminate - insufficient evidence",IF(AND(AH30=6,AD30=0),"Stage-A admissible - scoped",IF(AND(AH30+AD30=6,AD30&gt;0),"Stage-A admissible - scoped, control-dependent","Protocol refusal to evaluate"))))))))</f>
        <v/>
      </c>
      <c r="R30" s="356" t="n"/>
      <c r="S30" s="302">
        <f>IF(AND(Q30="",R30=""),"",IF(AND(Q30&lt;&gt;"",R30=""),"UNRECORDED",IF(AND(Q30="",R30&lt;&gt;""),"ORPHAN_RECORDED",IF(Q30=R30,"MATCH","MISMATCH"))))</f>
        <v/>
      </c>
      <c r="T30" s="356" t="n"/>
      <c r="U30" s="356" t="n"/>
      <c r="V30" s="356" t="n"/>
      <c r="W30" s="356" t="n"/>
      <c r="X30" s="356" t="n"/>
      <c r="Y30" s="356" t="n"/>
      <c r="Z30" s="103" t="n"/>
      <c r="AA30" s="195">
        <f>COUNTIF(K30:P30,"Material defect - unpatchable for stated claim")</f>
        <v/>
      </c>
      <c r="AB30" s="302">
        <f>COUNTIF(K30:P30,"Material defect - patchable")</f>
        <v/>
      </c>
      <c r="AC30" s="302">
        <f>COUNTIF(K30:P30,"Indeterminate")+COUNTIF(K30:P30,"Not reviewed")</f>
        <v/>
      </c>
      <c r="AD30" s="302">
        <f>COUNTIF(K30:P30,"Adequate - control-dependent")</f>
        <v/>
      </c>
      <c r="AE30" s="111">
        <f>IF(COUNTA(A30:P30)+COUNTA(AJ30)=0,"",IF(AM30&lt;&gt;"OK","UNRECOGNISED_ADMIN_DISPOSITION",IF(AND(AJ30&lt;&gt;"",AJ30&lt;&gt;"None"),IF(OR(LEN(TRIM(A30))=0,LEN(TRIM(B30))=0,LEN(TRIM(C30))=0,LEN(TRIM(F30))=0),"ADMIN_INCOMPLETE","ADMIN_DISPOSITION"),IF(OR(LEN(TRIM(A30))=0,LEN(TRIM(B30))=0,LEN(TRIM(C30))=0,LEN(TRIM(D30))=0,LEN(TRIM(E30))=0,LEN(TRIM(F30))=0,LEN(TRIM(G30))=0,LEN(TRIM(H30))=0,LEN(TRIM(I30))=0,LEN(TRIM(J30))=0,LEN(TRIM(K30))=0,LEN(TRIM(L30))=0,LEN(TRIM(M30))=0,LEN(TRIM(N30))=0,LEN(TRIM(O30))=0,LEN(TRIM(P30))=0),"ADMIN_INCOMPLETE",IF(H30&lt;&gt;"Yes","ADMIN_INVALID",IF(I30="Not feasible","BURDEN_NOT_FEASIBLE",IF(AI30&lt;&gt;"OK","UNRECOGNISED_VALUE","CLEAR")))))))</f>
        <v/>
      </c>
      <c r="AF30" s="276">
        <f>IF(AND(Q30="",R30=""),"",IF(IF(Q30&lt;&gt;"",Q30,R30)="Stage-A admissible - scoped","stage_a_admissible_scoped",IF(IF(Q30&lt;&gt;"",Q30,R30)="Stage-A admissible - scoped, control-dependent","stage_a_admissible_scoped_control_dependent",IF(IF(Q30&lt;&gt;"",Q30,R30)="Stage-A non-admissible - patchable","stage_a_non_admissible_patchable",IF(IF(Q30&lt;&gt;"",Q30,R30)="Stage-A non-admissible - unpatchable for stated claim","stage_a_non_admissible_unpatchable_for_stated_claim",IF(IF(Q30&lt;&gt;"",Q30,R30)="Indeterminate - insufficient evidence","indeterminate_insufficient_evidence",IF(IF(Q30&lt;&gt;"",Q30,R30)="Protocol refusal to evaluate","protocol_refusal_to_evaluate",IF(IF(Q30&lt;&gt;"",Q30,R30)="Out of scope","out_of_scope",IF(IF(Q30&lt;&gt;"",Q30,R30)="Withdrawn","withdrawn",IF(IF(Q30&lt;&gt;"",Q30,R30)="Not reviewed","not_reviewed","unknown_status"))))))))))</f>
        <v/>
      </c>
      <c r="AG30" s="277">
        <f>IF(AND(AF30="",T30=""),"",IF(AND(AF30&lt;&gt;"",ISNUMBER(SEARCH("token="&amp;AF30&amp;";",T30)),ISNUMBER(SEARCH(AK30,T30)),ISNUMBER(SEARCH("CL basis="&amp;AL30&amp;";",T30))),"VALID","INVALID_OR_INCOMPLETE"))</f>
        <v/>
      </c>
      <c r="AH30" s="303">
        <f>COUNTIF(K30:P30,"Adequate for scope")</f>
        <v/>
      </c>
      <c r="AI30" s="303">
        <f>IF(COUNTA(K30:P30)=0,"",IF(AA30+AB30+AC30+AD30+AH30=6,"OK","UNRECOGNISED_VALUE"))</f>
        <v/>
      </c>
      <c r="AJ30" s="303" t="n"/>
      <c r="AK30" s="303">
        <f>IF(A30="","",Vocabulary!$B$5)</f>
        <v/>
      </c>
      <c r="AL30" s="303">
        <f>IF(A30="","",Vocabulary!$B$6)</f>
        <v/>
      </c>
      <c r="AM30" s="303">
        <f>IF(AJ30="","OK",IF(COUNTIF(Vocabulary!$O$5:$O$8,AJ30)=1,"OK","UNRECOGNISED_ADMIN_DISPOSITION"))</f>
        <v/>
      </c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56" t="n"/>
      <c r="I31" s="356" t="n"/>
      <c r="J31" s="356" t="n"/>
      <c r="K31" s="356" t="n"/>
      <c r="L31" s="356" t="n"/>
      <c r="M31" s="356" t="n"/>
      <c r="N31" s="356" t="n"/>
      <c r="O31" s="356" t="n"/>
      <c r="P31" s="356" t="n"/>
      <c r="Q31" s="302">
        <f>IF(AE31="","",IF(AE31="ADMIN_DISPOSITION",AJ31,IF(OR(AE31="ADMIN_INCOMPLETE",AE31="ADMIN_INVALID",AE31="BURDEN_NOT_FEASIBLE",AE31="UNRECOGNISED_VALUE",AE31="UNRECOGNISED_ADMIN_DISPOSITION"),"Protocol refusal to evaluate",IF(AA31&gt;0,"Stage-A non-admissible - unpatchable for stated claim",IF(AB31&gt;0,"Stage-A non-admissible - patchable",IF(OR(J31="Yes",I31="Indeterminate",AC31&gt;0),"Indeterminate - insufficient evidence",IF(AND(AH31=6,AD31=0),"Stage-A admissible - scoped",IF(AND(AH31+AD31=6,AD31&gt;0),"Stage-A admissible - scoped, control-dependent","Protocol refusal to evaluate"))))))))</f>
        <v/>
      </c>
      <c r="R31" s="356" t="n"/>
      <c r="S31" s="302">
        <f>IF(AND(Q31="",R31=""),"",IF(AND(Q31&lt;&gt;"",R31=""),"UNRECORDED",IF(AND(Q31="",R31&lt;&gt;""),"ORPHAN_RECORDED",IF(Q31=R31,"MATCH","MISMATCH"))))</f>
        <v/>
      </c>
      <c r="T31" s="356" t="n"/>
      <c r="U31" s="356" t="n"/>
      <c r="V31" s="356" t="n"/>
      <c r="W31" s="356" t="n"/>
      <c r="X31" s="356" t="n"/>
      <c r="Y31" s="356" t="n"/>
      <c r="Z31" s="103" t="n"/>
      <c r="AA31" s="195">
        <f>COUNTIF(K31:P31,"Material defect - unpatchable for stated claim")</f>
        <v/>
      </c>
      <c r="AB31" s="302">
        <f>COUNTIF(K31:P31,"Material defect - patchable")</f>
        <v/>
      </c>
      <c r="AC31" s="302">
        <f>COUNTIF(K31:P31,"Indeterminate")+COUNTIF(K31:P31,"Not reviewed")</f>
        <v/>
      </c>
      <c r="AD31" s="302">
        <f>COUNTIF(K31:P31,"Adequate - control-dependent")</f>
        <v/>
      </c>
      <c r="AE31" s="111">
        <f>IF(COUNTA(A31:P31)+COUNTA(AJ31)=0,"",IF(AM31&lt;&gt;"OK","UNRECOGNISED_ADMIN_DISPOSITION",IF(AND(AJ31&lt;&gt;"",AJ31&lt;&gt;"None"),IF(OR(LEN(TRIM(A31))=0,LEN(TRIM(B31))=0,LEN(TRIM(C31))=0,LEN(TRIM(F31))=0),"ADMIN_INCOMPLETE","ADMIN_DISPOSITION"),IF(OR(LEN(TRIM(A31))=0,LEN(TRIM(B31))=0,LEN(TRIM(C31))=0,LEN(TRIM(D31))=0,LEN(TRIM(E31))=0,LEN(TRIM(F31))=0,LEN(TRIM(G31))=0,LEN(TRIM(H31))=0,LEN(TRIM(I31))=0,LEN(TRIM(J31))=0,LEN(TRIM(K31))=0,LEN(TRIM(L31))=0,LEN(TRIM(M31))=0,LEN(TRIM(N31))=0,LEN(TRIM(O31))=0,LEN(TRIM(P31))=0),"ADMIN_INCOMPLETE",IF(H31&lt;&gt;"Yes","ADMIN_INVALID",IF(I31="Not feasible","BURDEN_NOT_FEASIBLE",IF(AI31&lt;&gt;"OK","UNRECOGNISED_VALUE","CLEAR")))))))</f>
        <v/>
      </c>
      <c r="AF31" s="276">
        <f>IF(AND(Q31="",R31=""),"",IF(IF(Q31&lt;&gt;"",Q31,R31)="Stage-A admissible - scoped","stage_a_admissible_scoped",IF(IF(Q31&lt;&gt;"",Q31,R31)="Stage-A admissible - scoped, control-dependent","stage_a_admissible_scoped_control_dependent",IF(IF(Q31&lt;&gt;"",Q31,R31)="Stage-A non-admissible - patchable","stage_a_non_admissible_patchable",IF(IF(Q31&lt;&gt;"",Q31,R31)="Stage-A non-admissible - unpatchable for stated claim","stage_a_non_admissible_unpatchable_for_stated_claim",IF(IF(Q31&lt;&gt;"",Q31,R31)="Indeterminate - insufficient evidence","indeterminate_insufficient_evidence",IF(IF(Q31&lt;&gt;"",Q31,R31)="Protocol refusal to evaluate","protocol_refusal_to_evaluate",IF(IF(Q31&lt;&gt;"",Q31,R31)="Out of scope","out_of_scope",IF(IF(Q31&lt;&gt;"",Q31,R31)="Withdrawn","withdrawn",IF(IF(Q31&lt;&gt;"",Q31,R31)="Not reviewed","not_reviewed","unknown_status"))))))))))</f>
        <v/>
      </c>
      <c r="AG31" s="277">
        <f>IF(AND(AF31="",T31=""),"",IF(AND(AF31&lt;&gt;"",ISNUMBER(SEARCH("token="&amp;AF31&amp;";",T31)),ISNUMBER(SEARCH(AK31,T31)),ISNUMBER(SEARCH("CL basis="&amp;AL31&amp;";",T31))),"VALID","INVALID_OR_INCOMPLETE"))</f>
        <v/>
      </c>
      <c r="AH31" s="303">
        <f>COUNTIF(K31:P31,"Adequate for scope")</f>
        <v/>
      </c>
      <c r="AI31" s="303">
        <f>IF(COUNTA(K31:P31)=0,"",IF(AA31+AB31+AC31+AD31+AH31=6,"OK","UNRECOGNISED_VALUE"))</f>
        <v/>
      </c>
      <c r="AJ31" s="303" t="n"/>
      <c r="AK31" s="303">
        <f>IF(A31="","",Vocabulary!$B$5)</f>
        <v/>
      </c>
      <c r="AL31" s="303">
        <f>IF(A31="","",Vocabulary!$B$6)</f>
        <v/>
      </c>
      <c r="AM31" s="303">
        <f>IF(AJ31="","OK",IF(COUNTIF(Vocabulary!$O$5:$O$8,AJ31)=1,"OK","UNRECOGNISED_ADMIN_DISPOSITION"))</f>
        <v/>
      </c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56" t="n"/>
      <c r="I32" s="356" t="n"/>
      <c r="J32" s="356" t="n"/>
      <c r="K32" s="356" t="n"/>
      <c r="L32" s="356" t="n"/>
      <c r="M32" s="356" t="n"/>
      <c r="N32" s="356" t="n"/>
      <c r="O32" s="356" t="n"/>
      <c r="P32" s="356" t="n"/>
      <c r="Q32" s="302">
        <f>IF(AE32="","",IF(AE32="ADMIN_DISPOSITION",AJ32,IF(OR(AE32="ADMIN_INCOMPLETE",AE32="ADMIN_INVALID",AE32="BURDEN_NOT_FEASIBLE",AE32="UNRECOGNISED_VALUE",AE32="UNRECOGNISED_ADMIN_DISPOSITION"),"Protocol refusal to evaluate",IF(AA32&gt;0,"Stage-A non-admissible - unpatchable for stated claim",IF(AB32&gt;0,"Stage-A non-admissible - patchable",IF(OR(J32="Yes",I32="Indeterminate",AC32&gt;0),"Indeterminate - insufficient evidence",IF(AND(AH32=6,AD32=0),"Stage-A admissible - scoped",IF(AND(AH32+AD32=6,AD32&gt;0),"Stage-A admissible - scoped, control-dependent","Protocol refusal to evaluate"))))))))</f>
        <v/>
      </c>
      <c r="R32" s="356" t="n"/>
      <c r="S32" s="302">
        <f>IF(AND(Q32="",R32=""),"",IF(AND(Q32&lt;&gt;"",R32=""),"UNRECORDED",IF(AND(Q32="",R32&lt;&gt;""),"ORPHAN_RECORDED",IF(Q32=R32,"MATCH","MISMATCH"))))</f>
        <v/>
      </c>
      <c r="T32" s="356" t="n"/>
      <c r="U32" s="356" t="n"/>
      <c r="V32" s="356" t="n"/>
      <c r="W32" s="356" t="n"/>
      <c r="X32" s="356" t="n"/>
      <c r="Y32" s="356" t="n"/>
      <c r="Z32" s="103" t="n"/>
      <c r="AA32" s="195">
        <f>COUNTIF(K32:P32,"Material defect - unpatchable for stated claim")</f>
        <v/>
      </c>
      <c r="AB32" s="302">
        <f>COUNTIF(K32:P32,"Material defect - patchable")</f>
        <v/>
      </c>
      <c r="AC32" s="302">
        <f>COUNTIF(K32:P32,"Indeterminate")+COUNTIF(K32:P32,"Not reviewed")</f>
        <v/>
      </c>
      <c r="AD32" s="302">
        <f>COUNTIF(K32:P32,"Adequate - control-dependent")</f>
        <v/>
      </c>
      <c r="AE32" s="111">
        <f>IF(COUNTA(A32:P32)+COUNTA(AJ32)=0,"",IF(AM32&lt;&gt;"OK","UNRECOGNISED_ADMIN_DISPOSITION",IF(AND(AJ32&lt;&gt;"",AJ32&lt;&gt;"None"),IF(OR(LEN(TRIM(A32))=0,LEN(TRIM(B32))=0,LEN(TRIM(C32))=0,LEN(TRIM(F32))=0),"ADMIN_INCOMPLETE","ADMIN_DISPOSITION"),IF(OR(LEN(TRIM(A32))=0,LEN(TRIM(B32))=0,LEN(TRIM(C32))=0,LEN(TRIM(D32))=0,LEN(TRIM(E32))=0,LEN(TRIM(F32))=0,LEN(TRIM(G32))=0,LEN(TRIM(H32))=0,LEN(TRIM(I32))=0,LEN(TRIM(J32))=0,LEN(TRIM(K32))=0,LEN(TRIM(L32))=0,LEN(TRIM(M32))=0,LEN(TRIM(N32))=0,LEN(TRIM(O32))=0,LEN(TRIM(P32))=0),"ADMIN_INCOMPLETE",IF(H32&lt;&gt;"Yes","ADMIN_INVALID",IF(I32="Not feasible","BURDEN_NOT_FEASIBLE",IF(AI32&lt;&gt;"OK","UNRECOGNISED_VALUE","CLEAR")))))))</f>
        <v/>
      </c>
      <c r="AF32" s="276">
        <f>IF(AND(Q32="",R32=""),"",IF(IF(Q32&lt;&gt;"",Q32,R32)="Stage-A admissible - scoped","stage_a_admissible_scoped",IF(IF(Q32&lt;&gt;"",Q32,R32)="Stage-A admissible - scoped, control-dependent","stage_a_admissible_scoped_control_dependent",IF(IF(Q32&lt;&gt;"",Q32,R32)="Stage-A non-admissible - patchable","stage_a_non_admissible_patchable",IF(IF(Q32&lt;&gt;"",Q32,R32)="Stage-A non-admissible - unpatchable for stated claim","stage_a_non_admissible_unpatchable_for_stated_claim",IF(IF(Q32&lt;&gt;"",Q32,R32)="Indeterminate - insufficient evidence","indeterminate_insufficient_evidence",IF(IF(Q32&lt;&gt;"",Q32,R32)="Protocol refusal to evaluate","protocol_refusal_to_evaluate",IF(IF(Q32&lt;&gt;"",Q32,R32)="Out of scope","out_of_scope",IF(IF(Q32&lt;&gt;"",Q32,R32)="Withdrawn","withdrawn",IF(IF(Q32&lt;&gt;"",Q32,R32)="Not reviewed","not_reviewed","unknown_status"))))))))))</f>
        <v/>
      </c>
      <c r="AG32" s="277">
        <f>IF(AND(AF32="",T32=""),"",IF(AND(AF32&lt;&gt;"",ISNUMBER(SEARCH("token="&amp;AF32&amp;";",T32)),ISNUMBER(SEARCH(AK32,T32)),ISNUMBER(SEARCH("CL basis="&amp;AL32&amp;";",T32))),"VALID","INVALID_OR_INCOMPLETE"))</f>
        <v/>
      </c>
      <c r="AH32" s="303">
        <f>COUNTIF(K32:P32,"Adequate for scope")</f>
        <v/>
      </c>
      <c r="AI32" s="303">
        <f>IF(COUNTA(K32:P32)=0,"",IF(AA32+AB32+AC32+AD32+AH32=6,"OK","UNRECOGNISED_VALUE"))</f>
        <v/>
      </c>
      <c r="AJ32" s="303" t="n"/>
      <c r="AK32" s="303">
        <f>IF(A32="","",Vocabulary!$B$5)</f>
        <v/>
      </c>
      <c r="AL32" s="303">
        <f>IF(A32="","",Vocabulary!$B$6)</f>
        <v/>
      </c>
      <c r="AM32" s="303">
        <f>IF(AJ32="","OK",IF(COUNTIF(Vocabulary!$O$5:$O$8,AJ32)=1,"OK","UNRECOGNISED_ADMIN_DISPOSITION"))</f>
        <v/>
      </c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302">
        <f>IF(AE33="","",IF(AE33="ADMIN_DISPOSITION",AJ33,IF(OR(AE33="ADMIN_INCOMPLETE",AE33="ADMIN_INVALID",AE33="BURDEN_NOT_FEASIBLE",AE33="UNRECOGNISED_VALUE",AE33="UNRECOGNISED_ADMIN_DISPOSITION"),"Protocol refusal to evaluate",IF(AA33&gt;0,"Stage-A non-admissible - unpatchable for stated claim",IF(AB33&gt;0,"Stage-A non-admissible - patchable",IF(OR(J33="Yes",I33="Indeterminate",AC33&gt;0),"Indeterminate - insufficient evidence",IF(AND(AH33=6,AD33=0),"Stage-A admissible - scoped",IF(AND(AH33+AD33=6,AD33&gt;0),"Stage-A admissible - scoped, control-dependent","Protocol refusal to evaluate"))))))))</f>
        <v/>
      </c>
      <c r="R33" s="356" t="n"/>
      <c r="S33" s="302">
        <f>IF(AND(Q33="",R33=""),"",IF(AND(Q33&lt;&gt;"",R33=""),"UNRECORDED",IF(AND(Q33="",R33&lt;&gt;""),"ORPHAN_RECORDED",IF(Q33=R33,"MATCH","MISMATCH"))))</f>
        <v/>
      </c>
      <c r="T33" s="356" t="n"/>
      <c r="U33" s="356" t="n"/>
      <c r="V33" s="356" t="n"/>
      <c r="W33" s="356" t="n"/>
      <c r="X33" s="356" t="n"/>
      <c r="Y33" s="356" t="n"/>
      <c r="Z33" s="103" t="n"/>
      <c r="AA33" s="195">
        <f>COUNTIF(K33:P33,"Material defect - unpatchable for stated claim")</f>
        <v/>
      </c>
      <c r="AB33" s="302">
        <f>COUNTIF(K33:P33,"Material defect - patchable")</f>
        <v/>
      </c>
      <c r="AC33" s="302">
        <f>COUNTIF(K33:P33,"Indeterminate")+COUNTIF(K33:P33,"Not reviewed")</f>
        <v/>
      </c>
      <c r="AD33" s="302">
        <f>COUNTIF(K33:P33,"Adequate - control-dependent")</f>
        <v/>
      </c>
      <c r="AE33" s="111">
        <f>IF(COUNTA(A33:P33)+COUNTA(AJ33)=0,"",IF(AM33&lt;&gt;"OK","UNRECOGNISED_ADMIN_DISPOSITION",IF(AND(AJ33&lt;&gt;"",AJ33&lt;&gt;"None"),IF(OR(LEN(TRIM(A33))=0,LEN(TRIM(B33))=0,LEN(TRIM(C33))=0,LEN(TRIM(F33))=0),"ADMIN_INCOMPLETE","ADMIN_DISPOSITION"),IF(OR(LEN(TRIM(A33))=0,LEN(TRIM(B33))=0,LEN(TRIM(C33))=0,LEN(TRIM(D33))=0,LEN(TRIM(E33))=0,LEN(TRIM(F33))=0,LEN(TRIM(G33))=0,LEN(TRIM(H33))=0,LEN(TRIM(I33))=0,LEN(TRIM(J33))=0,LEN(TRIM(K33))=0,LEN(TRIM(L33))=0,LEN(TRIM(M33))=0,LEN(TRIM(N33))=0,LEN(TRIM(O33))=0,LEN(TRIM(P33))=0),"ADMIN_INCOMPLETE",IF(H33&lt;&gt;"Yes","ADMIN_INVALID",IF(I33="Not feasible","BURDEN_NOT_FEASIBLE",IF(AI33&lt;&gt;"OK","UNRECOGNISED_VALUE","CLEAR")))))))</f>
        <v/>
      </c>
      <c r="AF33" s="276">
        <f>IF(AND(Q33="",R33=""),"",IF(IF(Q33&lt;&gt;"",Q33,R33)="Stage-A admissible - scoped","stage_a_admissible_scoped",IF(IF(Q33&lt;&gt;"",Q33,R33)="Stage-A admissible - scoped, control-dependent","stage_a_admissible_scoped_control_dependent",IF(IF(Q33&lt;&gt;"",Q33,R33)="Stage-A non-admissible - patchable","stage_a_non_admissible_patchable",IF(IF(Q33&lt;&gt;"",Q33,R33)="Stage-A non-admissible - unpatchable for stated claim","stage_a_non_admissible_unpatchable_for_stated_claim",IF(IF(Q33&lt;&gt;"",Q33,R33)="Indeterminate - insufficient evidence","indeterminate_insufficient_evidence",IF(IF(Q33&lt;&gt;"",Q33,R33)="Protocol refusal to evaluate","protocol_refusal_to_evaluate",IF(IF(Q33&lt;&gt;"",Q33,R33)="Out of scope","out_of_scope",IF(IF(Q33&lt;&gt;"",Q33,R33)="Withdrawn","withdrawn",IF(IF(Q33&lt;&gt;"",Q33,R33)="Not reviewed","not_reviewed","unknown_status"))))))))))</f>
        <v/>
      </c>
      <c r="AG33" s="277">
        <f>IF(AND(AF33="",T33=""),"",IF(AND(AF33&lt;&gt;"",ISNUMBER(SEARCH("token="&amp;AF33&amp;";",T33)),ISNUMBER(SEARCH(AK33,T33)),ISNUMBER(SEARCH("CL basis="&amp;AL33&amp;";",T33))),"VALID","INVALID_OR_INCOMPLETE"))</f>
        <v/>
      </c>
      <c r="AH33" s="303">
        <f>COUNTIF(K33:P33,"Adequate for scope")</f>
        <v/>
      </c>
      <c r="AI33" s="303">
        <f>IF(COUNTA(K33:P33)=0,"",IF(AA33+AB33+AC33+AD33+AH33=6,"OK","UNRECOGNISED_VALUE"))</f>
        <v/>
      </c>
      <c r="AJ33" s="303" t="n"/>
      <c r="AK33" s="303">
        <f>IF(A33="","",Vocabulary!$B$5)</f>
        <v/>
      </c>
      <c r="AL33" s="303">
        <f>IF(A33="","",Vocabulary!$B$6)</f>
        <v/>
      </c>
      <c r="AM33" s="303">
        <f>IF(AJ33="","OK",IF(COUNTIF(Vocabulary!$O$5:$O$8,AJ33)=1,"OK","UNRECOGNISED_ADMIN_DISPOSITION"))</f>
        <v/>
      </c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356" t="n"/>
      <c r="N34" s="356" t="n"/>
      <c r="O34" s="356" t="n"/>
      <c r="P34" s="356" t="n"/>
      <c r="Q34" s="302">
        <f>IF(AE34="","",IF(AE34="ADMIN_DISPOSITION",AJ34,IF(OR(AE34="ADMIN_INCOMPLETE",AE34="ADMIN_INVALID",AE34="BURDEN_NOT_FEASIBLE",AE34="UNRECOGNISED_VALUE",AE34="UNRECOGNISED_ADMIN_DISPOSITION"),"Protocol refusal to evaluate",IF(AA34&gt;0,"Stage-A non-admissible - unpatchable for stated claim",IF(AB34&gt;0,"Stage-A non-admissible - patchable",IF(OR(J34="Yes",I34="Indeterminate",AC34&gt;0),"Indeterminate - insufficient evidence",IF(AND(AH34=6,AD34=0),"Stage-A admissible - scoped",IF(AND(AH34+AD34=6,AD34&gt;0),"Stage-A admissible - scoped, control-dependent","Protocol refusal to evaluate"))))))))</f>
        <v/>
      </c>
      <c r="R34" s="356" t="n"/>
      <c r="S34" s="302">
        <f>IF(AND(Q34="",R34=""),"",IF(AND(Q34&lt;&gt;"",R34=""),"UNRECORDED",IF(AND(Q34="",R34&lt;&gt;""),"ORPHAN_RECORDED",IF(Q34=R34,"MATCH","MISMATCH"))))</f>
        <v/>
      </c>
      <c r="T34" s="356" t="n"/>
      <c r="U34" s="356" t="n"/>
      <c r="V34" s="356" t="n"/>
      <c r="W34" s="356" t="n"/>
      <c r="X34" s="356" t="n"/>
      <c r="Y34" s="356" t="n"/>
      <c r="Z34" s="103" t="n"/>
      <c r="AA34" s="195">
        <f>COUNTIF(K34:P34,"Material defect - unpatchable for stated claim")</f>
        <v/>
      </c>
      <c r="AB34" s="302">
        <f>COUNTIF(K34:P34,"Material defect - patchable")</f>
        <v/>
      </c>
      <c r="AC34" s="302">
        <f>COUNTIF(K34:P34,"Indeterminate")+COUNTIF(K34:P34,"Not reviewed")</f>
        <v/>
      </c>
      <c r="AD34" s="302">
        <f>COUNTIF(K34:P34,"Adequate - control-dependent")</f>
        <v/>
      </c>
      <c r="AE34" s="111">
        <f>IF(COUNTA(A34:P34)+COUNTA(AJ34)=0,"",IF(AM34&lt;&gt;"OK","UNRECOGNISED_ADMIN_DISPOSITION",IF(AND(AJ34&lt;&gt;"",AJ34&lt;&gt;"None"),IF(OR(LEN(TRIM(A34))=0,LEN(TRIM(B34))=0,LEN(TRIM(C34))=0,LEN(TRIM(F34))=0),"ADMIN_INCOMPLETE","ADMIN_DISPOSITION"),IF(OR(LEN(TRIM(A34))=0,LEN(TRIM(B34))=0,LEN(TRIM(C34))=0,LEN(TRIM(D34))=0,LEN(TRIM(E34))=0,LEN(TRIM(F34))=0,LEN(TRIM(G34))=0,LEN(TRIM(H34))=0,LEN(TRIM(I34))=0,LEN(TRIM(J34))=0,LEN(TRIM(K34))=0,LEN(TRIM(L34))=0,LEN(TRIM(M34))=0,LEN(TRIM(N34))=0,LEN(TRIM(O34))=0,LEN(TRIM(P34))=0),"ADMIN_INCOMPLETE",IF(H34&lt;&gt;"Yes","ADMIN_INVALID",IF(I34="Not feasible","BURDEN_NOT_FEASIBLE",IF(AI34&lt;&gt;"OK","UNRECOGNISED_VALUE","CLEAR")))))))</f>
        <v/>
      </c>
      <c r="AF34" s="276">
        <f>IF(AND(Q34="",R34=""),"",IF(IF(Q34&lt;&gt;"",Q34,R34)="Stage-A admissible - scoped","stage_a_admissible_scoped",IF(IF(Q34&lt;&gt;"",Q34,R34)="Stage-A admissible - scoped, control-dependent","stage_a_admissible_scoped_control_dependent",IF(IF(Q34&lt;&gt;"",Q34,R34)="Stage-A non-admissible - patchable","stage_a_non_admissible_patchable",IF(IF(Q34&lt;&gt;"",Q34,R34)="Stage-A non-admissible - unpatchable for stated claim","stage_a_non_admissible_unpatchable_for_stated_claim",IF(IF(Q34&lt;&gt;"",Q34,R34)="Indeterminate - insufficient evidence","indeterminate_insufficient_evidence",IF(IF(Q34&lt;&gt;"",Q34,R34)="Protocol refusal to evaluate","protocol_refusal_to_evaluate",IF(IF(Q34&lt;&gt;"",Q34,R34)="Out of scope","out_of_scope",IF(IF(Q34&lt;&gt;"",Q34,R34)="Withdrawn","withdrawn",IF(IF(Q34&lt;&gt;"",Q34,R34)="Not reviewed","not_reviewed","unknown_status"))))))))))</f>
        <v/>
      </c>
      <c r="AG34" s="277">
        <f>IF(AND(AF34="",T34=""),"",IF(AND(AF34&lt;&gt;"",ISNUMBER(SEARCH("token="&amp;AF34&amp;";",T34)),ISNUMBER(SEARCH(AK34,T34)),ISNUMBER(SEARCH("CL basis="&amp;AL34&amp;";",T34))),"VALID","INVALID_OR_INCOMPLETE"))</f>
        <v/>
      </c>
      <c r="AH34" s="303">
        <f>COUNTIF(K34:P34,"Adequate for scope")</f>
        <v/>
      </c>
      <c r="AI34" s="303">
        <f>IF(COUNTA(K34:P34)=0,"",IF(AA34+AB34+AC34+AD34+AH34=6,"OK","UNRECOGNISED_VALUE"))</f>
        <v/>
      </c>
      <c r="AJ34" s="303" t="n"/>
      <c r="AK34" s="303">
        <f>IF(A34="","",Vocabulary!$B$5)</f>
        <v/>
      </c>
      <c r="AL34" s="303">
        <f>IF(A34="","",Vocabulary!$B$6)</f>
        <v/>
      </c>
      <c r="AM34" s="303">
        <f>IF(AJ34="","OK",IF(COUNTIF(Vocabulary!$O$5:$O$8,AJ34)=1,"OK","UNRECOGNISED_ADMIN_DISPOSITION"))</f>
        <v/>
      </c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6" t="n"/>
      <c r="L35" s="356" t="n"/>
      <c r="M35" s="356" t="n"/>
      <c r="N35" s="356" t="n"/>
      <c r="O35" s="356" t="n"/>
      <c r="P35" s="356" t="n"/>
      <c r="Q35" s="302">
        <f>IF(AE35="","",IF(AE35="ADMIN_DISPOSITION",AJ35,IF(OR(AE35="ADMIN_INCOMPLETE",AE35="ADMIN_INVALID",AE35="BURDEN_NOT_FEASIBLE",AE35="UNRECOGNISED_VALUE",AE35="UNRECOGNISED_ADMIN_DISPOSITION"),"Protocol refusal to evaluate",IF(AA35&gt;0,"Stage-A non-admissible - unpatchable for stated claim",IF(AB35&gt;0,"Stage-A non-admissible - patchable",IF(OR(J35="Yes",I35="Indeterminate",AC35&gt;0),"Indeterminate - insufficient evidence",IF(AND(AH35=6,AD35=0),"Stage-A admissible - scoped",IF(AND(AH35+AD35=6,AD35&gt;0),"Stage-A admissible - scoped, control-dependent","Protocol refusal to evaluate"))))))))</f>
        <v/>
      </c>
      <c r="R35" s="356" t="n"/>
      <c r="S35" s="302">
        <f>IF(AND(Q35="",R35=""),"",IF(AND(Q35&lt;&gt;"",R35=""),"UNRECORDED",IF(AND(Q35="",R35&lt;&gt;""),"ORPHAN_RECORDED",IF(Q35=R35,"MATCH","MISMATCH"))))</f>
        <v/>
      </c>
      <c r="T35" s="356" t="n"/>
      <c r="U35" s="356" t="n"/>
      <c r="V35" s="356" t="n"/>
      <c r="W35" s="356" t="n"/>
      <c r="X35" s="356" t="n"/>
      <c r="Y35" s="356" t="n"/>
      <c r="Z35" s="103" t="n"/>
      <c r="AA35" s="195">
        <f>COUNTIF(K35:P35,"Material defect - unpatchable for stated claim")</f>
        <v/>
      </c>
      <c r="AB35" s="302">
        <f>COUNTIF(K35:P35,"Material defect - patchable")</f>
        <v/>
      </c>
      <c r="AC35" s="302">
        <f>COUNTIF(K35:P35,"Indeterminate")+COUNTIF(K35:P35,"Not reviewed")</f>
        <v/>
      </c>
      <c r="AD35" s="302">
        <f>COUNTIF(K35:P35,"Adequate - control-dependent")</f>
        <v/>
      </c>
      <c r="AE35" s="111">
        <f>IF(COUNTA(A35:P35)+COUNTA(AJ35)=0,"",IF(AM35&lt;&gt;"OK","UNRECOGNISED_ADMIN_DISPOSITION",IF(AND(AJ35&lt;&gt;"",AJ35&lt;&gt;"None"),IF(OR(LEN(TRIM(A35))=0,LEN(TRIM(B35))=0,LEN(TRIM(C35))=0,LEN(TRIM(F35))=0),"ADMIN_INCOMPLETE","ADMIN_DISPOSITION"),IF(OR(LEN(TRIM(A35))=0,LEN(TRIM(B35))=0,LEN(TRIM(C35))=0,LEN(TRIM(D35))=0,LEN(TRIM(E35))=0,LEN(TRIM(F35))=0,LEN(TRIM(G35))=0,LEN(TRIM(H35))=0,LEN(TRIM(I35))=0,LEN(TRIM(J35))=0,LEN(TRIM(K35))=0,LEN(TRIM(L35))=0,LEN(TRIM(M35))=0,LEN(TRIM(N35))=0,LEN(TRIM(O35))=0,LEN(TRIM(P35))=0),"ADMIN_INCOMPLETE",IF(H35&lt;&gt;"Yes","ADMIN_INVALID",IF(I35="Not feasible","BURDEN_NOT_FEASIBLE",IF(AI35&lt;&gt;"OK","UNRECOGNISED_VALUE","CLEAR")))))))</f>
        <v/>
      </c>
      <c r="AF35" s="276">
        <f>IF(AND(Q35="",R35=""),"",IF(IF(Q35&lt;&gt;"",Q35,R35)="Stage-A admissible - scoped","stage_a_admissible_scoped",IF(IF(Q35&lt;&gt;"",Q35,R35)="Stage-A admissible - scoped, control-dependent","stage_a_admissible_scoped_control_dependent",IF(IF(Q35&lt;&gt;"",Q35,R35)="Stage-A non-admissible - patchable","stage_a_non_admissible_patchable",IF(IF(Q35&lt;&gt;"",Q35,R35)="Stage-A non-admissible - unpatchable for stated claim","stage_a_non_admissible_unpatchable_for_stated_claim",IF(IF(Q35&lt;&gt;"",Q35,R35)="Indeterminate - insufficient evidence","indeterminate_insufficient_evidence",IF(IF(Q35&lt;&gt;"",Q35,R35)="Protocol refusal to evaluate","protocol_refusal_to_evaluate",IF(IF(Q35&lt;&gt;"",Q35,R35)="Out of scope","out_of_scope",IF(IF(Q35&lt;&gt;"",Q35,R35)="Withdrawn","withdrawn",IF(IF(Q35&lt;&gt;"",Q35,R35)="Not reviewed","not_reviewed","unknown_status"))))))))))</f>
        <v/>
      </c>
      <c r="AG35" s="277">
        <f>IF(AND(AF35="",T35=""),"",IF(AND(AF35&lt;&gt;"",ISNUMBER(SEARCH("token="&amp;AF35&amp;";",T35)),ISNUMBER(SEARCH(AK35,T35)),ISNUMBER(SEARCH("CL basis="&amp;AL35&amp;";",T35))),"VALID","INVALID_OR_INCOMPLETE"))</f>
        <v/>
      </c>
      <c r="AH35" s="303">
        <f>COUNTIF(K35:P35,"Adequate for scope")</f>
        <v/>
      </c>
      <c r="AI35" s="303">
        <f>IF(COUNTA(K35:P35)=0,"",IF(AA35+AB35+AC35+AD35+AH35=6,"OK","UNRECOGNISED_VALUE"))</f>
        <v/>
      </c>
      <c r="AJ35" s="303" t="n"/>
      <c r="AK35" s="303">
        <f>IF(A35="","",Vocabulary!$B$5)</f>
        <v/>
      </c>
      <c r="AL35" s="303">
        <f>IF(A35="","",Vocabulary!$B$6)</f>
        <v/>
      </c>
      <c r="AM35" s="303">
        <f>IF(AJ35="","OK",IF(COUNTIF(Vocabulary!$O$5:$O$8,AJ35)=1,"OK","UNRECOGNISED_ADMIN_DISPOSITION"))</f>
        <v/>
      </c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56" t="n"/>
      <c r="I36" s="356" t="n"/>
      <c r="J36" s="356" t="n"/>
      <c r="K36" s="356" t="n"/>
      <c r="L36" s="356" t="n"/>
      <c r="M36" s="356" t="n"/>
      <c r="N36" s="356" t="n"/>
      <c r="O36" s="356" t="n"/>
      <c r="P36" s="356" t="n"/>
      <c r="Q36" s="302">
        <f>IF(AE36="","",IF(AE36="ADMIN_DISPOSITION",AJ36,IF(OR(AE36="ADMIN_INCOMPLETE",AE36="ADMIN_INVALID",AE36="BURDEN_NOT_FEASIBLE",AE36="UNRECOGNISED_VALUE",AE36="UNRECOGNISED_ADMIN_DISPOSITION"),"Protocol refusal to evaluate",IF(AA36&gt;0,"Stage-A non-admissible - unpatchable for stated claim",IF(AB36&gt;0,"Stage-A non-admissible - patchable",IF(OR(J36="Yes",I36="Indeterminate",AC36&gt;0),"Indeterminate - insufficient evidence",IF(AND(AH36=6,AD36=0),"Stage-A admissible - scoped",IF(AND(AH36+AD36=6,AD36&gt;0),"Stage-A admissible - scoped, control-dependent","Protocol refusal to evaluate"))))))))</f>
        <v/>
      </c>
      <c r="R36" s="356" t="n"/>
      <c r="S36" s="302">
        <f>IF(AND(Q36="",R36=""),"",IF(AND(Q36&lt;&gt;"",R36=""),"UNRECORDED",IF(AND(Q36="",R36&lt;&gt;""),"ORPHAN_RECORDED",IF(Q36=R36,"MATCH","MISMATCH"))))</f>
        <v/>
      </c>
      <c r="T36" s="356" t="n"/>
      <c r="U36" s="356" t="n"/>
      <c r="V36" s="356" t="n"/>
      <c r="W36" s="356" t="n"/>
      <c r="X36" s="356" t="n"/>
      <c r="Y36" s="356" t="n"/>
      <c r="Z36" s="103" t="n"/>
      <c r="AA36" s="195">
        <f>COUNTIF(K36:P36,"Material defect - unpatchable for stated claim")</f>
        <v/>
      </c>
      <c r="AB36" s="302">
        <f>COUNTIF(K36:P36,"Material defect - patchable")</f>
        <v/>
      </c>
      <c r="AC36" s="302">
        <f>COUNTIF(K36:P36,"Indeterminate")+COUNTIF(K36:P36,"Not reviewed")</f>
        <v/>
      </c>
      <c r="AD36" s="302">
        <f>COUNTIF(K36:P36,"Adequate - control-dependent")</f>
        <v/>
      </c>
      <c r="AE36" s="111">
        <f>IF(COUNTA(A36:P36)+COUNTA(AJ36)=0,"",IF(AM36&lt;&gt;"OK","UNRECOGNISED_ADMIN_DISPOSITION",IF(AND(AJ36&lt;&gt;"",AJ36&lt;&gt;"None"),IF(OR(LEN(TRIM(A36))=0,LEN(TRIM(B36))=0,LEN(TRIM(C36))=0,LEN(TRIM(F36))=0),"ADMIN_INCOMPLETE","ADMIN_DISPOSITION"),IF(OR(LEN(TRIM(A36))=0,LEN(TRIM(B36))=0,LEN(TRIM(C36))=0,LEN(TRIM(D36))=0,LEN(TRIM(E36))=0,LEN(TRIM(F36))=0,LEN(TRIM(G36))=0,LEN(TRIM(H36))=0,LEN(TRIM(I36))=0,LEN(TRIM(J36))=0,LEN(TRIM(K36))=0,LEN(TRIM(L36))=0,LEN(TRIM(M36))=0,LEN(TRIM(N36))=0,LEN(TRIM(O36))=0,LEN(TRIM(P36))=0),"ADMIN_INCOMPLETE",IF(H36&lt;&gt;"Yes","ADMIN_INVALID",IF(I36="Not feasible","BURDEN_NOT_FEASIBLE",IF(AI36&lt;&gt;"OK","UNRECOGNISED_VALUE","CLEAR")))))))</f>
        <v/>
      </c>
      <c r="AF36" s="276">
        <f>IF(AND(Q36="",R36=""),"",IF(IF(Q36&lt;&gt;"",Q36,R36)="Stage-A admissible - scoped","stage_a_admissible_scoped",IF(IF(Q36&lt;&gt;"",Q36,R36)="Stage-A admissible - scoped, control-dependent","stage_a_admissible_scoped_control_dependent",IF(IF(Q36&lt;&gt;"",Q36,R36)="Stage-A non-admissible - patchable","stage_a_non_admissible_patchable",IF(IF(Q36&lt;&gt;"",Q36,R36)="Stage-A non-admissible - unpatchable for stated claim","stage_a_non_admissible_unpatchable_for_stated_claim",IF(IF(Q36&lt;&gt;"",Q36,R36)="Indeterminate - insufficient evidence","indeterminate_insufficient_evidence",IF(IF(Q36&lt;&gt;"",Q36,R36)="Protocol refusal to evaluate","protocol_refusal_to_evaluate",IF(IF(Q36&lt;&gt;"",Q36,R36)="Out of scope","out_of_scope",IF(IF(Q36&lt;&gt;"",Q36,R36)="Withdrawn","withdrawn",IF(IF(Q36&lt;&gt;"",Q36,R36)="Not reviewed","not_reviewed","unknown_status"))))))))))</f>
        <v/>
      </c>
      <c r="AG36" s="277">
        <f>IF(AND(AF36="",T36=""),"",IF(AND(AF36&lt;&gt;"",ISNUMBER(SEARCH("token="&amp;AF36&amp;";",T36)),ISNUMBER(SEARCH(AK36,T36)),ISNUMBER(SEARCH("CL basis="&amp;AL36&amp;";",T36))),"VALID","INVALID_OR_INCOMPLETE"))</f>
        <v/>
      </c>
      <c r="AH36" s="303">
        <f>COUNTIF(K36:P36,"Adequate for scope")</f>
        <v/>
      </c>
      <c r="AI36" s="303">
        <f>IF(COUNTA(K36:P36)=0,"",IF(AA36+AB36+AC36+AD36+AH36=6,"OK","UNRECOGNISED_VALUE"))</f>
        <v/>
      </c>
      <c r="AJ36" s="303" t="n"/>
      <c r="AK36" s="303">
        <f>IF(A36="","",Vocabulary!$B$5)</f>
        <v/>
      </c>
      <c r="AL36" s="303">
        <f>IF(A36="","",Vocabulary!$B$6)</f>
        <v/>
      </c>
      <c r="AM36" s="303">
        <f>IF(AJ36="","OK",IF(COUNTIF(Vocabulary!$O$5:$O$8,AJ36)=1,"OK","UNRECOGNISED_ADMIN_DISPOSITION"))</f>
        <v/>
      </c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6" t="n"/>
      <c r="L37" s="356" t="n"/>
      <c r="M37" s="356" t="n"/>
      <c r="N37" s="356" t="n"/>
      <c r="O37" s="356" t="n"/>
      <c r="P37" s="356" t="n"/>
      <c r="Q37" s="302">
        <f>IF(AE37="","",IF(AE37="ADMIN_DISPOSITION",AJ37,IF(OR(AE37="ADMIN_INCOMPLETE",AE37="ADMIN_INVALID",AE37="BURDEN_NOT_FEASIBLE",AE37="UNRECOGNISED_VALUE",AE37="UNRECOGNISED_ADMIN_DISPOSITION"),"Protocol refusal to evaluate",IF(AA37&gt;0,"Stage-A non-admissible - unpatchable for stated claim",IF(AB37&gt;0,"Stage-A non-admissible - patchable",IF(OR(J37="Yes",I37="Indeterminate",AC37&gt;0),"Indeterminate - insufficient evidence",IF(AND(AH37=6,AD37=0),"Stage-A admissible - scoped",IF(AND(AH37+AD37=6,AD37&gt;0),"Stage-A admissible - scoped, control-dependent","Protocol refusal to evaluate"))))))))</f>
        <v/>
      </c>
      <c r="R37" s="356" t="n"/>
      <c r="S37" s="302">
        <f>IF(AND(Q37="",R37=""),"",IF(AND(Q37&lt;&gt;"",R37=""),"UNRECORDED",IF(AND(Q37="",R37&lt;&gt;""),"ORPHAN_RECORDED",IF(Q37=R37,"MATCH","MISMATCH"))))</f>
        <v/>
      </c>
      <c r="T37" s="356" t="n"/>
      <c r="U37" s="356" t="n"/>
      <c r="V37" s="356" t="n"/>
      <c r="W37" s="356" t="n"/>
      <c r="X37" s="356" t="n"/>
      <c r="Y37" s="356" t="n"/>
      <c r="Z37" s="103" t="n"/>
      <c r="AA37" s="195">
        <f>COUNTIF(K37:P37,"Material defect - unpatchable for stated claim")</f>
        <v/>
      </c>
      <c r="AB37" s="302">
        <f>COUNTIF(K37:P37,"Material defect - patchable")</f>
        <v/>
      </c>
      <c r="AC37" s="302">
        <f>COUNTIF(K37:P37,"Indeterminate")+COUNTIF(K37:P37,"Not reviewed")</f>
        <v/>
      </c>
      <c r="AD37" s="302">
        <f>COUNTIF(K37:P37,"Adequate - control-dependent")</f>
        <v/>
      </c>
      <c r="AE37" s="111">
        <f>IF(COUNTA(A37:P37)+COUNTA(AJ37)=0,"",IF(AM37&lt;&gt;"OK","UNRECOGNISED_ADMIN_DISPOSITION",IF(AND(AJ37&lt;&gt;"",AJ37&lt;&gt;"None"),IF(OR(LEN(TRIM(A37))=0,LEN(TRIM(B37))=0,LEN(TRIM(C37))=0,LEN(TRIM(F37))=0),"ADMIN_INCOMPLETE","ADMIN_DISPOSITION"),IF(OR(LEN(TRIM(A37))=0,LEN(TRIM(B37))=0,LEN(TRIM(C37))=0,LEN(TRIM(D37))=0,LEN(TRIM(E37))=0,LEN(TRIM(F37))=0,LEN(TRIM(G37))=0,LEN(TRIM(H37))=0,LEN(TRIM(I37))=0,LEN(TRIM(J37))=0,LEN(TRIM(K37))=0,LEN(TRIM(L37))=0,LEN(TRIM(M37))=0,LEN(TRIM(N37))=0,LEN(TRIM(O37))=0,LEN(TRIM(P37))=0),"ADMIN_INCOMPLETE",IF(H37&lt;&gt;"Yes","ADMIN_INVALID",IF(I37="Not feasible","BURDEN_NOT_FEASIBLE",IF(AI37&lt;&gt;"OK","UNRECOGNISED_VALUE","CLEAR")))))))</f>
        <v/>
      </c>
      <c r="AF37" s="276">
        <f>IF(AND(Q37="",R37=""),"",IF(IF(Q37&lt;&gt;"",Q37,R37)="Stage-A admissible - scoped","stage_a_admissible_scoped",IF(IF(Q37&lt;&gt;"",Q37,R37)="Stage-A admissible - scoped, control-dependent","stage_a_admissible_scoped_control_dependent",IF(IF(Q37&lt;&gt;"",Q37,R37)="Stage-A non-admissible - patchable","stage_a_non_admissible_patchable",IF(IF(Q37&lt;&gt;"",Q37,R37)="Stage-A non-admissible - unpatchable for stated claim","stage_a_non_admissible_unpatchable_for_stated_claim",IF(IF(Q37&lt;&gt;"",Q37,R37)="Indeterminate - insufficient evidence","indeterminate_insufficient_evidence",IF(IF(Q37&lt;&gt;"",Q37,R37)="Protocol refusal to evaluate","protocol_refusal_to_evaluate",IF(IF(Q37&lt;&gt;"",Q37,R37)="Out of scope","out_of_scope",IF(IF(Q37&lt;&gt;"",Q37,R37)="Withdrawn","withdrawn",IF(IF(Q37&lt;&gt;"",Q37,R37)="Not reviewed","not_reviewed","unknown_status"))))))))))</f>
        <v/>
      </c>
      <c r="AG37" s="277">
        <f>IF(AND(AF37="",T37=""),"",IF(AND(AF37&lt;&gt;"",ISNUMBER(SEARCH("token="&amp;AF37&amp;";",T37)),ISNUMBER(SEARCH(AK37,T37)),ISNUMBER(SEARCH("CL basis="&amp;AL37&amp;";",T37))),"VALID","INVALID_OR_INCOMPLETE"))</f>
        <v/>
      </c>
      <c r="AH37" s="303">
        <f>COUNTIF(K37:P37,"Adequate for scope")</f>
        <v/>
      </c>
      <c r="AI37" s="303">
        <f>IF(COUNTA(K37:P37)=0,"",IF(AA37+AB37+AC37+AD37+AH37=6,"OK","UNRECOGNISED_VALUE"))</f>
        <v/>
      </c>
      <c r="AJ37" s="303" t="n"/>
      <c r="AK37" s="303">
        <f>IF(A37="","",Vocabulary!$B$5)</f>
        <v/>
      </c>
      <c r="AL37" s="303">
        <f>IF(A37="","",Vocabulary!$B$6)</f>
        <v/>
      </c>
      <c r="AM37" s="303">
        <f>IF(AJ37="","OK",IF(COUNTIF(Vocabulary!$O$5:$O$8,AJ37)=1,"OK","UNRECOGNISED_ADMIN_DISPOSITION"))</f>
        <v/>
      </c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56" t="n"/>
      <c r="I38" s="356" t="n"/>
      <c r="J38" s="356" t="n"/>
      <c r="K38" s="356" t="n"/>
      <c r="L38" s="356" t="n"/>
      <c r="M38" s="356" t="n"/>
      <c r="N38" s="356" t="n"/>
      <c r="O38" s="356" t="n"/>
      <c r="P38" s="356" t="n"/>
      <c r="Q38" s="302">
        <f>IF(AE38="","",IF(AE38="ADMIN_DISPOSITION",AJ38,IF(OR(AE38="ADMIN_INCOMPLETE",AE38="ADMIN_INVALID",AE38="BURDEN_NOT_FEASIBLE",AE38="UNRECOGNISED_VALUE",AE38="UNRECOGNISED_ADMIN_DISPOSITION"),"Protocol refusal to evaluate",IF(AA38&gt;0,"Stage-A non-admissible - unpatchable for stated claim",IF(AB38&gt;0,"Stage-A non-admissible - patchable",IF(OR(J38="Yes",I38="Indeterminate",AC38&gt;0),"Indeterminate - insufficient evidence",IF(AND(AH38=6,AD38=0),"Stage-A admissible - scoped",IF(AND(AH38+AD38=6,AD38&gt;0),"Stage-A admissible - scoped, control-dependent","Protocol refusal to evaluate"))))))))</f>
        <v/>
      </c>
      <c r="R38" s="356" t="n"/>
      <c r="S38" s="302">
        <f>IF(AND(Q38="",R38=""),"",IF(AND(Q38&lt;&gt;"",R38=""),"UNRECORDED",IF(AND(Q38="",R38&lt;&gt;""),"ORPHAN_RECORDED",IF(Q38=R38,"MATCH","MISMATCH"))))</f>
        <v/>
      </c>
      <c r="T38" s="356" t="n"/>
      <c r="U38" s="356" t="n"/>
      <c r="V38" s="356" t="n"/>
      <c r="W38" s="356" t="n"/>
      <c r="X38" s="356" t="n"/>
      <c r="Y38" s="356" t="n"/>
      <c r="Z38" s="103" t="n"/>
      <c r="AA38" s="195">
        <f>COUNTIF(K38:P38,"Material defect - unpatchable for stated claim")</f>
        <v/>
      </c>
      <c r="AB38" s="302">
        <f>COUNTIF(K38:P38,"Material defect - patchable")</f>
        <v/>
      </c>
      <c r="AC38" s="302">
        <f>COUNTIF(K38:P38,"Indeterminate")+COUNTIF(K38:P38,"Not reviewed")</f>
        <v/>
      </c>
      <c r="AD38" s="302">
        <f>COUNTIF(K38:P38,"Adequate - control-dependent")</f>
        <v/>
      </c>
      <c r="AE38" s="111">
        <f>IF(COUNTA(A38:P38)+COUNTA(AJ38)=0,"",IF(AM38&lt;&gt;"OK","UNRECOGNISED_ADMIN_DISPOSITION",IF(AND(AJ38&lt;&gt;"",AJ38&lt;&gt;"None"),IF(OR(LEN(TRIM(A38))=0,LEN(TRIM(B38))=0,LEN(TRIM(C38))=0,LEN(TRIM(F38))=0),"ADMIN_INCOMPLETE","ADMIN_DISPOSITION"),IF(OR(LEN(TRIM(A38))=0,LEN(TRIM(B38))=0,LEN(TRIM(C38))=0,LEN(TRIM(D38))=0,LEN(TRIM(E38))=0,LEN(TRIM(F38))=0,LEN(TRIM(G38))=0,LEN(TRIM(H38))=0,LEN(TRIM(I38))=0,LEN(TRIM(J38))=0,LEN(TRIM(K38))=0,LEN(TRIM(L38))=0,LEN(TRIM(M38))=0,LEN(TRIM(N38))=0,LEN(TRIM(O38))=0,LEN(TRIM(P38))=0),"ADMIN_INCOMPLETE",IF(H38&lt;&gt;"Yes","ADMIN_INVALID",IF(I38="Not feasible","BURDEN_NOT_FEASIBLE",IF(AI38&lt;&gt;"OK","UNRECOGNISED_VALUE","CLEAR")))))))</f>
        <v/>
      </c>
      <c r="AF38" s="276">
        <f>IF(AND(Q38="",R38=""),"",IF(IF(Q38&lt;&gt;"",Q38,R38)="Stage-A admissible - scoped","stage_a_admissible_scoped",IF(IF(Q38&lt;&gt;"",Q38,R38)="Stage-A admissible - scoped, control-dependent","stage_a_admissible_scoped_control_dependent",IF(IF(Q38&lt;&gt;"",Q38,R38)="Stage-A non-admissible - patchable","stage_a_non_admissible_patchable",IF(IF(Q38&lt;&gt;"",Q38,R38)="Stage-A non-admissible - unpatchable for stated claim","stage_a_non_admissible_unpatchable_for_stated_claim",IF(IF(Q38&lt;&gt;"",Q38,R38)="Indeterminate - insufficient evidence","indeterminate_insufficient_evidence",IF(IF(Q38&lt;&gt;"",Q38,R38)="Protocol refusal to evaluate","protocol_refusal_to_evaluate",IF(IF(Q38&lt;&gt;"",Q38,R38)="Out of scope","out_of_scope",IF(IF(Q38&lt;&gt;"",Q38,R38)="Withdrawn","withdrawn",IF(IF(Q38&lt;&gt;"",Q38,R38)="Not reviewed","not_reviewed","unknown_status"))))))))))</f>
        <v/>
      </c>
      <c r="AG38" s="277">
        <f>IF(AND(AF38="",T38=""),"",IF(AND(AF38&lt;&gt;"",ISNUMBER(SEARCH("token="&amp;AF38&amp;";",T38)),ISNUMBER(SEARCH(AK38,T38)),ISNUMBER(SEARCH("CL basis="&amp;AL38&amp;";",T38))),"VALID","INVALID_OR_INCOMPLETE"))</f>
        <v/>
      </c>
      <c r="AH38" s="303">
        <f>COUNTIF(K38:P38,"Adequate for scope")</f>
        <v/>
      </c>
      <c r="AI38" s="303">
        <f>IF(COUNTA(K38:P38)=0,"",IF(AA38+AB38+AC38+AD38+AH38=6,"OK","UNRECOGNISED_VALUE"))</f>
        <v/>
      </c>
      <c r="AJ38" s="303" t="n"/>
      <c r="AK38" s="303">
        <f>IF(A38="","",Vocabulary!$B$5)</f>
        <v/>
      </c>
      <c r="AL38" s="303">
        <f>IF(A38="","",Vocabulary!$B$6)</f>
        <v/>
      </c>
      <c r="AM38" s="303">
        <f>IF(AJ38="","OK",IF(COUNTIF(Vocabulary!$O$5:$O$8,AJ38)=1,"OK","UNRECOGNISED_ADMIN_DISPOSITION"))</f>
        <v/>
      </c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56" t="n"/>
      <c r="I39" s="356" t="n"/>
      <c r="J39" s="356" t="n"/>
      <c r="K39" s="356" t="n"/>
      <c r="L39" s="356" t="n"/>
      <c r="M39" s="356" t="n"/>
      <c r="N39" s="356" t="n"/>
      <c r="O39" s="356" t="n"/>
      <c r="P39" s="356" t="n"/>
      <c r="Q39" s="302">
        <f>IF(AE39="","",IF(AE39="ADMIN_DISPOSITION",AJ39,IF(OR(AE39="ADMIN_INCOMPLETE",AE39="ADMIN_INVALID",AE39="BURDEN_NOT_FEASIBLE",AE39="UNRECOGNISED_VALUE",AE39="UNRECOGNISED_ADMIN_DISPOSITION"),"Protocol refusal to evaluate",IF(AA39&gt;0,"Stage-A non-admissible - unpatchable for stated claim",IF(AB39&gt;0,"Stage-A non-admissible - patchable",IF(OR(J39="Yes",I39="Indeterminate",AC39&gt;0),"Indeterminate - insufficient evidence",IF(AND(AH39=6,AD39=0),"Stage-A admissible - scoped",IF(AND(AH39+AD39=6,AD39&gt;0),"Stage-A admissible - scoped, control-dependent","Protocol refusal to evaluate"))))))))</f>
        <v/>
      </c>
      <c r="R39" s="356" t="n"/>
      <c r="S39" s="302">
        <f>IF(AND(Q39="",R39=""),"",IF(AND(Q39&lt;&gt;"",R39=""),"UNRECORDED",IF(AND(Q39="",R39&lt;&gt;""),"ORPHAN_RECORDED",IF(Q39=R39,"MATCH","MISMATCH"))))</f>
        <v/>
      </c>
      <c r="T39" s="356" t="n"/>
      <c r="U39" s="356" t="n"/>
      <c r="V39" s="356" t="n"/>
      <c r="W39" s="356" t="n"/>
      <c r="X39" s="356" t="n"/>
      <c r="Y39" s="356" t="n"/>
      <c r="Z39" s="103" t="n"/>
      <c r="AA39" s="195">
        <f>COUNTIF(K39:P39,"Material defect - unpatchable for stated claim")</f>
        <v/>
      </c>
      <c r="AB39" s="302">
        <f>COUNTIF(K39:P39,"Material defect - patchable")</f>
        <v/>
      </c>
      <c r="AC39" s="302">
        <f>COUNTIF(K39:P39,"Indeterminate")+COUNTIF(K39:P39,"Not reviewed")</f>
        <v/>
      </c>
      <c r="AD39" s="302">
        <f>COUNTIF(K39:P39,"Adequate - control-dependent")</f>
        <v/>
      </c>
      <c r="AE39" s="111">
        <f>IF(COUNTA(A39:P39)+COUNTA(AJ39)=0,"",IF(AM39&lt;&gt;"OK","UNRECOGNISED_ADMIN_DISPOSITION",IF(AND(AJ39&lt;&gt;"",AJ39&lt;&gt;"None"),IF(OR(LEN(TRIM(A39))=0,LEN(TRIM(B39))=0,LEN(TRIM(C39))=0,LEN(TRIM(F39))=0),"ADMIN_INCOMPLETE","ADMIN_DISPOSITION"),IF(OR(LEN(TRIM(A39))=0,LEN(TRIM(B39))=0,LEN(TRIM(C39))=0,LEN(TRIM(D39))=0,LEN(TRIM(E39))=0,LEN(TRIM(F39))=0,LEN(TRIM(G39))=0,LEN(TRIM(H39))=0,LEN(TRIM(I39))=0,LEN(TRIM(J39))=0,LEN(TRIM(K39))=0,LEN(TRIM(L39))=0,LEN(TRIM(M39))=0,LEN(TRIM(N39))=0,LEN(TRIM(O39))=0,LEN(TRIM(P39))=0),"ADMIN_INCOMPLETE",IF(H39&lt;&gt;"Yes","ADMIN_INVALID",IF(I39="Not feasible","BURDEN_NOT_FEASIBLE",IF(AI39&lt;&gt;"OK","UNRECOGNISED_VALUE","CLEAR")))))))</f>
        <v/>
      </c>
      <c r="AF39" s="276">
        <f>IF(AND(Q39="",R39=""),"",IF(IF(Q39&lt;&gt;"",Q39,R39)="Stage-A admissible - scoped","stage_a_admissible_scoped",IF(IF(Q39&lt;&gt;"",Q39,R39)="Stage-A admissible - scoped, control-dependent","stage_a_admissible_scoped_control_dependent",IF(IF(Q39&lt;&gt;"",Q39,R39)="Stage-A non-admissible - patchable","stage_a_non_admissible_patchable",IF(IF(Q39&lt;&gt;"",Q39,R39)="Stage-A non-admissible - unpatchable for stated claim","stage_a_non_admissible_unpatchable_for_stated_claim",IF(IF(Q39&lt;&gt;"",Q39,R39)="Indeterminate - insufficient evidence","indeterminate_insufficient_evidence",IF(IF(Q39&lt;&gt;"",Q39,R39)="Protocol refusal to evaluate","protocol_refusal_to_evaluate",IF(IF(Q39&lt;&gt;"",Q39,R39)="Out of scope","out_of_scope",IF(IF(Q39&lt;&gt;"",Q39,R39)="Withdrawn","withdrawn",IF(IF(Q39&lt;&gt;"",Q39,R39)="Not reviewed","not_reviewed","unknown_status"))))))))))</f>
        <v/>
      </c>
      <c r="AG39" s="277">
        <f>IF(AND(AF39="",T39=""),"",IF(AND(AF39&lt;&gt;"",ISNUMBER(SEARCH("token="&amp;AF39&amp;";",T39)),ISNUMBER(SEARCH(AK39,T39)),ISNUMBER(SEARCH("CL basis="&amp;AL39&amp;";",T39))),"VALID","INVALID_OR_INCOMPLETE"))</f>
        <v/>
      </c>
      <c r="AH39" s="303">
        <f>COUNTIF(K39:P39,"Adequate for scope")</f>
        <v/>
      </c>
      <c r="AI39" s="303">
        <f>IF(COUNTA(K39:P39)=0,"",IF(AA39+AB39+AC39+AD39+AH39=6,"OK","UNRECOGNISED_VALUE"))</f>
        <v/>
      </c>
      <c r="AJ39" s="303" t="n"/>
      <c r="AK39" s="303">
        <f>IF(A39="","",Vocabulary!$B$5)</f>
        <v/>
      </c>
      <c r="AL39" s="303">
        <f>IF(A39="","",Vocabulary!$B$6)</f>
        <v/>
      </c>
      <c r="AM39" s="303">
        <f>IF(AJ39="","OK",IF(COUNTIF(Vocabulary!$O$5:$O$8,AJ39)=1,"OK","UNRECOGNISED_ADMIN_DISPOSITION"))</f>
        <v/>
      </c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56" t="n"/>
      <c r="I40" s="356" t="n"/>
      <c r="J40" s="356" t="n"/>
      <c r="K40" s="356" t="n"/>
      <c r="L40" s="356" t="n"/>
      <c r="M40" s="356" t="n"/>
      <c r="N40" s="356" t="n"/>
      <c r="O40" s="356" t="n"/>
      <c r="P40" s="356" t="n"/>
      <c r="Q40" s="302">
        <f>IF(AE40="","",IF(AE40="ADMIN_DISPOSITION",AJ40,IF(OR(AE40="ADMIN_INCOMPLETE",AE40="ADMIN_INVALID",AE40="BURDEN_NOT_FEASIBLE",AE40="UNRECOGNISED_VALUE",AE40="UNRECOGNISED_ADMIN_DISPOSITION"),"Protocol refusal to evaluate",IF(AA40&gt;0,"Stage-A non-admissible - unpatchable for stated claim",IF(AB40&gt;0,"Stage-A non-admissible - patchable",IF(OR(J40="Yes",I40="Indeterminate",AC40&gt;0),"Indeterminate - insufficient evidence",IF(AND(AH40=6,AD40=0),"Stage-A admissible - scoped",IF(AND(AH40+AD40=6,AD40&gt;0),"Stage-A admissible - scoped, control-dependent","Protocol refusal to evaluate"))))))))</f>
        <v/>
      </c>
      <c r="R40" s="356" t="n"/>
      <c r="S40" s="302">
        <f>IF(AND(Q40="",R40=""),"",IF(AND(Q40&lt;&gt;"",R40=""),"UNRECORDED",IF(AND(Q40="",R40&lt;&gt;""),"ORPHAN_RECORDED",IF(Q40=R40,"MATCH","MISMATCH"))))</f>
        <v/>
      </c>
      <c r="T40" s="356" t="n"/>
      <c r="U40" s="356" t="n"/>
      <c r="V40" s="356" t="n"/>
      <c r="W40" s="356" t="n"/>
      <c r="X40" s="356" t="n"/>
      <c r="Y40" s="356" t="n"/>
      <c r="Z40" s="103" t="n"/>
      <c r="AA40" s="195">
        <f>COUNTIF(K40:P40,"Material defect - unpatchable for stated claim")</f>
        <v/>
      </c>
      <c r="AB40" s="302">
        <f>COUNTIF(K40:P40,"Material defect - patchable")</f>
        <v/>
      </c>
      <c r="AC40" s="302">
        <f>COUNTIF(K40:P40,"Indeterminate")+COUNTIF(K40:P40,"Not reviewed")</f>
        <v/>
      </c>
      <c r="AD40" s="302">
        <f>COUNTIF(K40:P40,"Adequate - control-dependent")</f>
        <v/>
      </c>
      <c r="AE40" s="111">
        <f>IF(COUNTA(A40:P40)+COUNTA(AJ40)=0,"",IF(AM40&lt;&gt;"OK","UNRECOGNISED_ADMIN_DISPOSITION",IF(AND(AJ40&lt;&gt;"",AJ40&lt;&gt;"None"),IF(OR(LEN(TRIM(A40))=0,LEN(TRIM(B40))=0,LEN(TRIM(C40))=0,LEN(TRIM(F40))=0),"ADMIN_INCOMPLETE","ADMIN_DISPOSITION"),IF(OR(LEN(TRIM(A40))=0,LEN(TRIM(B40))=0,LEN(TRIM(C40))=0,LEN(TRIM(D40))=0,LEN(TRIM(E40))=0,LEN(TRIM(F40))=0,LEN(TRIM(G40))=0,LEN(TRIM(H40))=0,LEN(TRIM(I40))=0,LEN(TRIM(J40))=0,LEN(TRIM(K40))=0,LEN(TRIM(L40))=0,LEN(TRIM(M40))=0,LEN(TRIM(N40))=0,LEN(TRIM(O40))=0,LEN(TRIM(P40))=0),"ADMIN_INCOMPLETE",IF(H40&lt;&gt;"Yes","ADMIN_INVALID",IF(I40="Not feasible","BURDEN_NOT_FEASIBLE",IF(AI40&lt;&gt;"OK","UNRECOGNISED_VALUE","CLEAR")))))))</f>
        <v/>
      </c>
      <c r="AF40" s="276">
        <f>IF(AND(Q40="",R40=""),"",IF(IF(Q40&lt;&gt;"",Q40,R40)="Stage-A admissible - scoped","stage_a_admissible_scoped",IF(IF(Q40&lt;&gt;"",Q40,R40)="Stage-A admissible - scoped, control-dependent","stage_a_admissible_scoped_control_dependent",IF(IF(Q40&lt;&gt;"",Q40,R40)="Stage-A non-admissible - patchable","stage_a_non_admissible_patchable",IF(IF(Q40&lt;&gt;"",Q40,R40)="Stage-A non-admissible - unpatchable for stated claim","stage_a_non_admissible_unpatchable_for_stated_claim",IF(IF(Q40&lt;&gt;"",Q40,R40)="Indeterminate - insufficient evidence","indeterminate_insufficient_evidence",IF(IF(Q40&lt;&gt;"",Q40,R40)="Protocol refusal to evaluate","protocol_refusal_to_evaluate",IF(IF(Q40&lt;&gt;"",Q40,R40)="Out of scope","out_of_scope",IF(IF(Q40&lt;&gt;"",Q40,R40)="Withdrawn","withdrawn",IF(IF(Q40&lt;&gt;"",Q40,R40)="Not reviewed","not_reviewed","unknown_status"))))))))))</f>
        <v/>
      </c>
      <c r="AG40" s="277">
        <f>IF(AND(AF40="",T40=""),"",IF(AND(AF40&lt;&gt;"",ISNUMBER(SEARCH("token="&amp;AF40&amp;";",T40)),ISNUMBER(SEARCH(AK40,T40)),ISNUMBER(SEARCH("CL basis="&amp;AL40&amp;";",T40))),"VALID","INVALID_OR_INCOMPLETE"))</f>
        <v/>
      </c>
      <c r="AH40" s="303">
        <f>COUNTIF(K40:P40,"Adequate for scope")</f>
        <v/>
      </c>
      <c r="AI40" s="303">
        <f>IF(COUNTA(K40:P40)=0,"",IF(AA40+AB40+AC40+AD40+AH40=6,"OK","UNRECOGNISED_VALUE"))</f>
        <v/>
      </c>
      <c r="AJ40" s="303" t="n"/>
      <c r="AK40" s="303">
        <f>IF(A40="","",Vocabulary!$B$5)</f>
        <v/>
      </c>
      <c r="AL40" s="303">
        <f>IF(A40="","",Vocabulary!$B$6)</f>
        <v/>
      </c>
      <c r="AM40" s="303">
        <f>IF(AJ40="","OK",IF(COUNTIF(Vocabulary!$O$5:$O$8,AJ40)=1,"OK","UNRECOGNISED_ADMIN_DISPOSITION"))</f>
        <v/>
      </c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302">
        <f>IF(AE41="","",IF(AE41="ADMIN_DISPOSITION",AJ41,IF(OR(AE41="ADMIN_INCOMPLETE",AE41="ADMIN_INVALID",AE41="BURDEN_NOT_FEASIBLE",AE41="UNRECOGNISED_VALUE",AE41="UNRECOGNISED_ADMIN_DISPOSITION"),"Protocol refusal to evaluate",IF(AA41&gt;0,"Stage-A non-admissible - unpatchable for stated claim",IF(AB41&gt;0,"Stage-A non-admissible - patchable",IF(OR(J41="Yes",I41="Indeterminate",AC41&gt;0),"Indeterminate - insufficient evidence",IF(AND(AH41=6,AD41=0),"Stage-A admissible - scoped",IF(AND(AH41+AD41=6,AD41&gt;0),"Stage-A admissible - scoped, control-dependent","Protocol refusal to evaluate"))))))))</f>
        <v/>
      </c>
      <c r="R41" s="356" t="n"/>
      <c r="S41" s="302">
        <f>IF(AND(Q41="",R41=""),"",IF(AND(Q41&lt;&gt;"",R41=""),"UNRECORDED",IF(AND(Q41="",R41&lt;&gt;""),"ORPHAN_RECORDED",IF(Q41=R41,"MATCH","MISMATCH"))))</f>
        <v/>
      </c>
      <c r="T41" s="356" t="n"/>
      <c r="U41" s="356" t="n"/>
      <c r="V41" s="356" t="n"/>
      <c r="W41" s="356" t="n"/>
      <c r="X41" s="356" t="n"/>
      <c r="Y41" s="356" t="n"/>
      <c r="Z41" s="103" t="n"/>
      <c r="AA41" s="195">
        <f>COUNTIF(K41:P41,"Material defect - unpatchable for stated claim")</f>
        <v/>
      </c>
      <c r="AB41" s="302">
        <f>COUNTIF(K41:P41,"Material defect - patchable")</f>
        <v/>
      </c>
      <c r="AC41" s="302">
        <f>COUNTIF(K41:P41,"Indeterminate")+COUNTIF(K41:P41,"Not reviewed")</f>
        <v/>
      </c>
      <c r="AD41" s="302">
        <f>COUNTIF(K41:P41,"Adequate - control-dependent")</f>
        <v/>
      </c>
      <c r="AE41" s="111">
        <f>IF(COUNTA(A41:P41)+COUNTA(AJ41)=0,"",IF(AM41&lt;&gt;"OK","UNRECOGNISED_ADMIN_DISPOSITION",IF(AND(AJ41&lt;&gt;"",AJ41&lt;&gt;"None"),IF(OR(LEN(TRIM(A41))=0,LEN(TRIM(B41))=0,LEN(TRIM(C41))=0,LEN(TRIM(F41))=0),"ADMIN_INCOMPLETE","ADMIN_DISPOSITION"),IF(OR(LEN(TRIM(A41))=0,LEN(TRIM(B41))=0,LEN(TRIM(C41))=0,LEN(TRIM(D41))=0,LEN(TRIM(E41))=0,LEN(TRIM(F41))=0,LEN(TRIM(G41))=0,LEN(TRIM(H41))=0,LEN(TRIM(I41))=0,LEN(TRIM(J41))=0,LEN(TRIM(K41))=0,LEN(TRIM(L41))=0,LEN(TRIM(M41))=0,LEN(TRIM(N41))=0,LEN(TRIM(O41))=0,LEN(TRIM(P41))=0),"ADMIN_INCOMPLETE",IF(H41&lt;&gt;"Yes","ADMIN_INVALID",IF(I41="Not feasible","BURDEN_NOT_FEASIBLE",IF(AI41&lt;&gt;"OK","UNRECOGNISED_VALUE","CLEAR")))))))</f>
        <v/>
      </c>
      <c r="AF41" s="276">
        <f>IF(AND(Q41="",R41=""),"",IF(IF(Q41&lt;&gt;"",Q41,R41)="Stage-A admissible - scoped","stage_a_admissible_scoped",IF(IF(Q41&lt;&gt;"",Q41,R41)="Stage-A admissible - scoped, control-dependent","stage_a_admissible_scoped_control_dependent",IF(IF(Q41&lt;&gt;"",Q41,R41)="Stage-A non-admissible - patchable","stage_a_non_admissible_patchable",IF(IF(Q41&lt;&gt;"",Q41,R41)="Stage-A non-admissible - unpatchable for stated claim","stage_a_non_admissible_unpatchable_for_stated_claim",IF(IF(Q41&lt;&gt;"",Q41,R41)="Indeterminate - insufficient evidence","indeterminate_insufficient_evidence",IF(IF(Q41&lt;&gt;"",Q41,R41)="Protocol refusal to evaluate","protocol_refusal_to_evaluate",IF(IF(Q41&lt;&gt;"",Q41,R41)="Out of scope","out_of_scope",IF(IF(Q41&lt;&gt;"",Q41,R41)="Withdrawn","withdrawn",IF(IF(Q41&lt;&gt;"",Q41,R41)="Not reviewed","not_reviewed","unknown_status"))))))))))</f>
        <v/>
      </c>
      <c r="AG41" s="277">
        <f>IF(AND(AF41="",T41=""),"",IF(AND(AF41&lt;&gt;"",ISNUMBER(SEARCH("token="&amp;AF41&amp;";",T41)),ISNUMBER(SEARCH(AK41,T41)),ISNUMBER(SEARCH("CL basis="&amp;AL41&amp;";",T41))),"VALID","INVALID_OR_INCOMPLETE"))</f>
        <v/>
      </c>
      <c r="AH41" s="303">
        <f>COUNTIF(K41:P41,"Adequate for scope")</f>
        <v/>
      </c>
      <c r="AI41" s="303">
        <f>IF(COUNTA(K41:P41)=0,"",IF(AA41+AB41+AC41+AD41+AH41=6,"OK","UNRECOGNISED_VALUE"))</f>
        <v/>
      </c>
      <c r="AJ41" s="303" t="n"/>
      <c r="AK41" s="303">
        <f>IF(A41="","",Vocabulary!$B$5)</f>
        <v/>
      </c>
      <c r="AL41" s="303">
        <f>IF(A41="","",Vocabulary!$B$6)</f>
        <v/>
      </c>
      <c r="AM41" s="303">
        <f>IF(AJ41="","OK",IF(COUNTIF(Vocabulary!$O$5:$O$8,AJ41)=1,"OK","UNRECOGNISED_ADMIN_DISPOSITION"))</f>
        <v/>
      </c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302">
        <f>IF(AE42="","",IF(AE42="ADMIN_DISPOSITION",AJ42,IF(OR(AE42="ADMIN_INCOMPLETE",AE42="ADMIN_INVALID",AE42="BURDEN_NOT_FEASIBLE",AE42="UNRECOGNISED_VALUE",AE42="UNRECOGNISED_ADMIN_DISPOSITION"),"Protocol refusal to evaluate",IF(AA42&gt;0,"Stage-A non-admissible - unpatchable for stated claim",IF(AB42&gt;0,"Stage-A non-admissible - patchable",IF(OR(J42="Yes",I42="Indeterminate",AC42&gt;0),"Indeterminate - insufficient evidence",IF(AND(AH42=6,AD42=0),"Stage-A admissible - scoped",IF(AND(AH42+AD42=6,AD42&gt;0),"Stage-A admissible - scoped, control-dependent","Protocol refusal to evaluate"))))))))</f>
        <v/>
      </c>
      <c r="R42" s="356" t="n"/>
      <c r="S42" s="302">
        <f>IF(AND(Q42="",R42=""),"",IF(AND(Q42&lt;&gt;"",R42=""),"UNRECORDED",IF(AND(Q42="",R42&lt;&gt;""),"ORPHAN_RECORDED",IF(Q42=R42,"MATCH","MISMATCH"))))</f>
        <v/>
      </c>
      <c r="T42" s="356" t="n"/>
      <c r="U42" s="356" t="n"/>
      <c r="V42" s="356" t="n"/>
      <c r="W42" s="356" t="n"/>
      <c r="X42" s="356" t="n"/>
      <c r="Y42" s="356" t="n"/>
      <c r="Z42" s="103" t="n"/>
      <c r="AA42" s="195">
        <f>COUNTIF(K42:P42,"Material defect - unpatchable for stated claim")</f>
        <v/>
      </c>
      <c r="AB42" s="302">
        <f>COUNTIF(K42:P42,"Material defect - patchable")</f>
        <v/>
      </c>
      <c r="AC42" s="302">
        <f>COUNTIF(K42:P42,"Indeterminate")+COUNTIF(K42:P42,"Not reviewed")</f>
        <v/>
      </c>
      <c r="AD42" s="302">
        <f>COUNTIF(K42:P42,"Adequate - control-dependent")</f>
        <v/>
      </c>
      <c r="AE42" s="111">
        <f>IF(COUNTA(A42:P42)+COUNTA(AJ42)=0,"",IF(AM42&lt;&gt;"OK","UNRECOGNISED_ADMIN_DISPOSITION",IF(AND(AJ42&lt;&gt;"",AJ42&lt;&gt;"None"),IF(OR(LEN(TRIM(A42))=0,LEN(TRIM(B42))=0,LEN(TRIM(C42))=0,LEN(TRIM(F42))=0),"ADMIN_INCOMPLETE","ADMIN_DISPOSITION"),IF(OR(LEN(TRIM(A42))=0,LEN(TRIM(B42))=0,LEN(TRIM(C42))=0,LEN(TRIM(D42))=0,LEN(TRIM(E42))=0,LEN(TRIM(F42))=0,LEN(TRIM(G42))=0,LEN(TRIM(H42))=0,LEN(TRIM(I42))=0,LEN(TRIM(J42))=0,LEN(TRIM(K42))=0,LEN(TRIM(L42))=0,LEN(TRIM(M42))=0,LEN(TRIM(N42))=0,LEN(TRIM(O42))=0,LEN(TRIM(P42))=0),"ADMIN_INCOMPLETE",IF(H42&lt;&gt;"Yes","ADMIN_INVALID",IF(I42="Not feasible","BURDEN_NOT_FEASIBLE",IF(AI42&lt;&gt;"OK","UNRECOGNISED_VALUE","CLEAR")))))))</f>
        <v/>
      </c>
      <c r="AF42" s="276">
        <f>IF(AND(Q42="",R42=""),"",IF(IF(Q42&lt;&gt;"",Q42,R42)="Stage-A admissible - scoped","stage_a_admissible_scoped",IF(IF(Q42&lt;&gt;"",Q42,R42)="Stage-A admissible - scoped, control-dependent","stage_a_admissible_scoped_control_dependent",IF(IF(Q42&lt;&gt;"",Q42,R42)="Stage-A non-admissible - patchable","stage_a_non_admissible_patchable",IF(IF(Q42&lt;&gt;"",Q42,R42)="Stage-A non-admissible - unpatchable for stated claim","stage_a_non_admissible_unpatchable_for_stated_claim",IF(IF(Q42&lt;&gt;"",Q42,R42)="Indeterminate - insufficient evidence","indeterminate_insufficient_evidence",IF(IF(Q42&lt;&gt;"",Q42,R42)="Protocol refusal to evaluate","protocol_refusal_to_evaluate",IF(IF(Q42&lt;&gt;"",Q42,R42)="Out of scope","out_of_scope",IF(IF(Q42&lt;&gt;"",Q42,R42)="Withdrawn","withdrawn",IF(IF(Q42&lt;&gt;"",Q42,R42)="Not reviewed","not_reviewed","unknown_status"))))))))))</f>
        <v/>
      </c>
      <c r="AG42" s="277">
        <f>IF(AND(AF42="",T42=""),"",IF(AND(AF42&lt;&gt;"",ISNUMBER(SEARCH("token="&amp;AF42&amp;";",T42)),ISNUMBER(SEARCH(AK42,T42)),ISNUMBER(SEARCH("CL basis="&amp;AL42&amp;";",T42))),"VALID","INVALID_OR_INCOMPLETE"))</f>
        <v/>
      </c>
      <c r="AH42" s="303">
        <f>COUNTIF(K42:P42,"Adequate for scope")</f>
        <v/>
      </c>
      <c r="AI42" s="303">
        <f>IF(COUNTA(K42:P42)=0,"",IF(AA42+AB42+AC42+AD42+AH42=6,"OK","UNRECOGNISED_VALUE"))</f>
        <v/>
      </c>
      <c r="AJ42" s="303" t="n"/>
      <c r="AK42" s="303">
        <f>IF(A42="","",Vocabulary!$B$5)</f>
        <v/>
      </c>
      <c r="AL42" s="303">
        <f>IF(A42="","",Vocabulary!$B$6)</f>
        <v/>
      </c>
      <c r="AM42" s="303">
        <f>IF(AJ42="","OK",IF(COUNTIF(Vocabulary!$O$5:$O$8,AJ42)=1,"OK","UNRECOGNISED_ADMIN_DISPOSITION"))</f>
        <v/>
      </c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56" t="n"/>
      <c r="I43" s="356" t="n"/>
      <c r="J43" s="356" t="n"/>
      <c r="K43" s="356" t="n"/>
      <c r="L43" s="356" t="n"/>
      <c r="M43" s="356" t="n"/>
      <c r="N43" s="356" t="n"/>
      <c r="O43" s="356" t="n"/>
      <c r="P43" s="356" t="n"/>
      <c r="Q43" s="302">
        <f>IF(AE43="","",IF(AE43="ADMIN_DISPOSITION",AJ43,IF(OR(AE43="ADMIN_INCOMPLETE",AE43="ADMIN_INVALID",AE43="BURDEN_NOT_FEASIBLE",AE43="UNRECOGNISED_VALUE",AE43="UNRECOGNISED_ADMIN_DISPOSITION"),"Protocol refusal to evaluate",IF(AA43&gt;0,"Stage-A non-admissible - unpatchable for stated claim",IF(AB43&gt;0,"Stage-A non-admissible - patchable",IF(OR(J43="Yes",I43="Indeterminate",AC43&gt;0),"Indeterminate - insufficient evidence",IF(AND(AH43=6,AD43=0),"Stage-A admissible - scoped",IF(AND(AH43+AD43=6,AD43&gt;0),"Stage-A admissible - scoped, control-dependent","Protocol refusal to evaluate"))))))))</f>
        <v/>
      </c>
      <c r="R43" s="356" t="n"/>
      <c r="S43" s="302">
        <f>IF(AND(Q43="",R43=""),"",IF(AND(Q43&lt;&gt;"",R43=""),"UNRECORDED",IF(AND(Q43="",R43&lt;&gt;""),"ORPHAN_RECORDED",IF(Q43=R43,"MATCH","MISMATCH"))))</f>
        <v/>
      </c>
      <c r="T43" s="356" t="n"/>
      <c r="U43" s="356" t="n"/>
      <c r="V43" s="356" t="n"/>
      <c r="W43" s="356" t="n"/>
      <c r="X43" s="356" t="n"/>
      <c r="Y43" s="356" t="n"/>
      <c r="Z43" s="103" t="n"/>
      <c r="AA43" s="195">
        <f>COUNTIF(K43:P43,"Material defect - unpatchable for stated claim")</f>
        <v/>
      </c>
      <c r="AB43" s="302">
        <f>COUNTIF(K43:P43,"Material defect - patchable")</f>
        <v/>
      </c>
      <c r="AC43" s="302">
        <f>COUNTIF(K43:P43,"Indeterminate")+COUNTIF(K43:P43,"Not reviewed")</f>
        <v/>
      </c>
      <c r="AD43" s="302">
        <f>COUNTIF(K43:P43,"Adequate - control-dependent")</f>
        <v/>
      </c>
      <c r="AE43" s="111">
        <f>IF(COUNTA(A43:P43)+COUNTA(AJ43)=0,"",IF(AM43&lt;&gt;"OK","UNRECOGNISED_ADMIN_DISPOSITION",IF(AND(AJ43&lt;&gt;"",AJ43&lt;&gt;"None"),IF(OR(LEN(TRIM(A43))=0,LEN(TRIM(B43))=0,LEN(TRIM(C43))=0,LEN(TRIM(F43))=0),"ADMIN_INCOMPLETE","ADMIN_DISPOSITION"),IF(OR(LEN(TRIM(A43))=0,LEN(TRIM(B43))=0,LEN(TRIM(C43))=0,LEN(TRIM(D43))=0,LEN(TRIM(E43))=0,LEN(TRIM(F43))=0,LEN(TRIM(G43))=0,LEN(TRIM(H43))=0,LEN(TRIM(I43))=0,LEN(TRIM(J43))=0,LEN(TRIM(K43))=0,LEN(TRIM(L43))=0,LEN(TRIM(M43))=0,LEN(TRIM(N43))=0,LEN(TRIM(O43))=0,LEN(TRIM(P43))=0),"ADMIN_INCOMPLETE",IF(H43&lt;&gt;"Yes","ADMIN_INVALID",IF(I43="Not feasible","BURDEN_NOT_FEASIBLE",IF(AI43&lt;&gt;"OK","UNRECOGNISED_VALUE","CLEAR")))))))</f>
        <v/>
      </c>
      <c r="AF43" s="276">
        <f>IF(AND(Q43="",R43=""),"",IF(IF(Q43&lt;&gt;"",Q43,R43)="Stage-A admissible - scoped","stage_a_admissible_scoped",IF(IF(Q43&lt;&gt;"",Q43,R43)="Stage-A admissible - scoped, control-dependent","stage_a_admissible_scoped_control_dependent",IF(IF(Q43&lt;&gt;"",Q43,R43)="Stage-A non-admissible - patchable","stage_a_non_admissible_patchable",IF(IF(Q43&lt;&gt;"",Q43,R43)="Stage-A non-admissible - unpatchable for stated claim","stage_a_non_admissible_unpatchable_for_stated_claim",IF(IF(Q43&lt;&gt;"",Q43,R43)="Indeterminate - insufficient evidence","indeterminate_insufficient_evidence",IF(IF(Q43&lt;&gt;"",Q43,R43)="Protocol refusal to evaluate","protocol_refusal_to_evaluate",IF(IF(Q43&lt;&gt;"",Q43,R43)="Out of scope","out_of_scope",IF(IF(Q43&lt;&gt;"",Q43,R43)="Withdrawn","withdrawn",IF(IF(Q43&lt;&gt;"",Q43,R43)="Not reviewed","not_reviewed","unknown_status"))))))))))</f>
        <v/>
      </c>
      <c r="AG43" s="277">
        <f>IF(AND(AF43="",T43=""),"",IF(AND(AF43&lt;&gt;"",ISNUMBER(SEARCH("token="&amp;AF43&amp;";",T43)),ISNUMBER(SEARCH(AK43,T43)),ISNUMBER(SEARCH("CL basis="&amp;AL43&amp;";",T43))),"VALID","INVALID_OR_INCOMPLETE"))</f>
        <v/>
      </c>
      <c r="AH43" s="303">
        <f>COUNTIF(K43:P43,"Adequate for scope")</f>
        <v/>
      </c>
      <c r="AI43" s="303">
        <f>IF(COUNTA(K43:P43)=0,"",IF(AA43+AB43+AC43+AD43+AH43=6,"OK","UNRECOGNISED_VALUE"))</f>
        <v/>
      </c>
      <c r="AJ43" s="303" t="n"/>
      <c r="AK43" s="303">
        <f>IF(A43="","",Vocabulary!$B$5)</f>
        <v/>
      </c>
      <c r="AL43" s="303">
        <f>IF(A43="","",Vocabulary!$B$6)</f>
        <v/>
      </c>
      <c r="AM43" s="303">
        <f>IF(AJ43="","OK",IF(COUNTIF(Vocabulary!$O$5:$O$8,AJ43)=1,"OK","UNRECOGNISED_ADMIN_DISPOSITION"))</f>
        <v/>
      </c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56" t="n"/>
      <c r="I44" s="356" t="n"/>
      <c r="J44" s="356" t="n"/>
      <c r="K44" s="356" t="n"/>
      <c r="L44" s="356" t="n"/>
      <c r="M44" s="356" t="n"/>
      <c r="N44" s="356" t="n"/>
      <c r="O44" s="356" t="n"/>
      <c r="P44" s="356" t="n"/>
      <c r="Q44" s="302">
        <f>IF(AE44="","",IF(AE44="ADMIN_DISPOSITION",AJ44,IF(OR(AE44="ADMIN_INCOMPLETE",AE44="ADMIN_INVALID",AE44="BURDEN_NOT_FEASIBLE",AE44="UNRECOGNISED_VALUE",AE44="UNRECOGNISED_ADMIN_DISPOSITION"),"Protocol refusal to evaluate",IF(AA44&gt;0,"Stage-A non-admissible - unpatchable for stated claim",IF(AB44&gt;0,"Stage-A non-admissible - patchable",IF(OR(J44="Yes",I44="Indeterminate",AC44&gt;0),"Indeterminate - insufficient evidence",IF(AND(AH44=6,AD44=0),"Stage-A admissible - scoped",IF(AND(AH44+AD44=6,AD44&gt;0),"Stage-A admissible - scoped, control-dependent","Protocol refusal to evaluate"))))))))</f>
        <v/>
      </c>
      <c r="R44" s="356" t="n"/>
      <c r="S44" s="302">
        <f>IF(AND(Q44="",R44=""),"",IF(AND(Q44&lt;&gt;"",R44=""),"UNRECORDED",IF(AND(Q44="",R44&lt;&gt;""),"ORPHAN_RECORDED",IF(Q44=R44,"MATCH","MISMATCH"))))</f>
        <v/>
      </c>
      <c r="T44" s="356" t="n"/>
      <c r="U44" s="356" t="n"/>
      <c r="V44" s="356" t="n"/>
      <c r="W44" s="356" t="n"/>
      <c r="X44" s="356" t="n"/>
      <c r="Y44" s="356" t="n"/>
      <c r="Z44" s="103" t="n"/>
      <c r="AA44" s="195">
        <f>COUNTIF(K44:P44,"Material defect - unpatchable for stated claim")</f>
        <v/>
      </c>
      <c r="AB44" s="302">
        <f>COUNTIF(K44:P44,"Material defect - patchable")</f>
        <v/>
      </c>
      <c r="AC44" s="302">
        <f>COUNTIF(K44:P44,"Indeterminate")+COUNTIF(K44:P44,"Not reviewed")</f>
        <v/>
      </c>
      <c r="AD44" s="302">
        <f>COUNTIF(K44:P44,"Adequate - control-dependent")</f>
        <v/>
      </c>
      <c r="AE44" s="111">
        <f>IF(COUNTA(A44:P44)+COUNTA(AJ44)=0,"",IF(AM44&lt;&gt;"OK","UNRECOGNISED_ADMIN_DISPOSITION",IF(AND(AJ44&lt;&gt;"",AJ44&lt;&gt;"None"),IF(OR(LEN(TRIM(A44))=0,LEN(TRIM(B44))=0,LEN(TRIM(C44))=0,LEN(TRIM(F44))=0),"ADMIN_INCOMPLETE","ADMIN_DISPOSITION"),IF(OR(LEN(TRIM(A44))=0,LEN(TRIM(B44))=0,LEN(TRIM(C44))=0,LEN(TRIM(D44))=0,LEN(TRIM(E44))=0,LEN(TRIM(F44))=0,LEN(TRIM(G44))=0,LEN(TRIM(H44))=0,LEN(TRIM(I44))=0,LEN(TRIM(J44))=0,LEN(TRIM(K44))=0,LEN(TRIM(L44))=0,LEN(TRIM(M44))=0,LEN(TRIM(N44))=0,LEN(TRIM(O44))=0,LEN(TRIM(P44))=0),"ADMIN_INCOMPLETE",IF(H44&lt;&gt;"Yes","ADMIN_INVALID",IF(I44="Not feasible","BURDEN_NOT_FEASIBLE",IF(AI44&lt;&gt;"OK","UNRECOGNISED_VALUE","CLEAR")))))))</f>
        <v/>
      </c>
      <c r="AF44" s="276">
        <f>IF(AND(Q44="",R44=""),"",IF(IF(Q44&lt;&gt;"",Q44,R44)="Stage-A admissible - scoped","stage_a_admissible_scoped",IF(IF(Q44&lt;&gt;"",Q44,R44)="Stage-A admissible - scoped, control-dependent","stage_a_admissible_scoped_control_dependent",IF(IF(Q44&lt;&gt;"",Q44,R44)="Stage-A non-admissible - patchable","stage_a_non_admissible_patchable",IF(IF(Q44&lt;&gt;"",Q44,R44)="Stage-A non-admissible - unpatchable for stated claim","stage_a_non_admissible_unpatchable_for_stated_claim",IF(IF(Q44&lt;&gt;"",Q44,R44)="Indeterminate - insufficient evidence","indeterminate_insufficient_evidence",IF(IF(Q44&lt;&gt;"",Q44,R44)="Protocol refusal to evaluate","protocol_refusal_to_evaluate",IF(IF(Q44&lt;&gt;"",Q44,R44)="Out of scope","out_of_scope",IF(IF(Q44&lt;&gt;"",Q44,R44)="Withdrawn","withdrawn",IF(IF(Q44&lt;&gt;"",Q44,R44)="Not reviewed","not_reviewed","unknown_status"))))))))))</f>
        <v/>
      </c>
      <c r="AG44" s="277">
        <f>IF(AND(AF44="",T44=""),"",IF(AND(AF44&lt;&gt;"",ISNUMBER(SEARCH("token="&amp;AF44&amp;";",T44)),ISNUMBER(SEARCH(AK44,T44)),ISNUMBER(SEARCH("CL basis="&amp;AL44&amp;";",T44))),"VALID","INVALID_OR_INCOMPLETE"))</f>
        <v/>
      </c>
      <c r="AH44" s="303">
        <f>COUNTIF(K44:P44,"Adequate for scope")</f>
        <v/>
      </c>
      <c r="AI44" s="303">
        <f>IF(COUNTA(K44:P44)=0,"",IF(AA44+AB44+AC44+AD44+AH44=6,"OK","UNRECOGNISED_VALUE"))</f>
        <v/>
      </c>
      <c r="AJ44" s="303" t="n"/>
      <c r="AK44" s="303">
        <f>IF(A44="","",Vocabulary!$B$5)</f>
        <v/>
      </c>
      <c r="AL44" s="303">
        <f>IF(A44="","",Vocabulary!$B$6)</f>
        <v/>
      </c>
      <c r="AM44" s="303">
        <f>IF(AJ44="","OK",IF(COUNTIF(Vocabulary!$O$5:$O$8,AJ44)=1,"OK","UNRECOGNISED_ADMIN_DISPOSITION"))</f>
        <v/>
      </c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56" t="n"/>
      <c r="I45" s="356" t="n"/>
      <c r="J45" s="356" t="n"/>
      <c r="K45" s="356" t="n"/>
      <c r="L45" s="356" t="n"/>
      <c r="M45" s="356" t="n"/>
      <c r="N45" s="356" t="n"/>
      <c r="O45" s="356" t="n"/>
      <c r="P45" s="356" t="n"/>
      <c r="Q45" s="302">
        <f>IF(AE45="","",IF(AE45="ADMIN_DISPOSITION",AJ45,IF(OR(AE45="ADMIN_INCOMPLETE",AE45="ADMIN_INVALID",AE45="BURDEN_NOT_FEASIBLE",AE45="UNRECOGNISED_VALUE",AE45="UNRECOGNISED_ADMIN_DISPOSITION"),"Protocol refusal to evaluate",IF(AA45&gt;0,"Stage-A non-admissible - unpatchable for stated claim",IF(AB45&gt;0,"Stage-A non-admissible - patchable",IF(OR(J45="Yes",I45="Indeterminate",AC45&gt;0),"Indeterminate - insufficient evidence",IF(AND(AH45=6,AD45=0),"Stage-A admissible - scoped",IF(AND(AH45+AD45=6,AD45&gt;0),"Stage-A admissible - scoped, control-dependent","Protocol refusal to evaluate"))))))))</f>
        <v/>
      </c>
      <c r="R45" s="356" t="n"/>
      <c r="S45" s="302">
        <f>IF(AND(Q45="",R45=""),"",IF(AND(Q45&lt;&gt;"",R45=""),"UNRECORDED",IF(AND(Q45="",R45&lt;&gt;""),"ORPHAN_RECORDED",IF(Q45=R45,"MATCH","MISMATCH"))))</f>
        <v/>
      </c>
      <c r="T45" s="356" t="n"/>
      <c r="U45" s="356" t="n"/>
      <c r="V45" s="356" t="n"/>
      <c r="W45" s="356" t="n"/>
      <c r="X45" s="356" t="n"/>
      <c r="Y45" s="356" t="n"/>
      <c r="Z45" s="103" t="n"/>
      <c r="AA45" s="195">
        <f>COUNTIF(K45:P45,"Material defect - unpatchable for stated claim")</f>
        <v/>
      </c>
      <c r="AB45" s="302">
        <f>COUNTIF(K45:P45,"Material defect - patchable")</f>
        <v/>
      </c>
      <c r="AC45" s="302">
        <f>COUNTIF(K45:P45,"Indeterminate")+COUNTIF(K45:P45,"Not reviewed")</f>
        <v/>
      </c>
      <c r="AD45" s="302">
        <f>COUNTIF(K45:P45,"Adequate - control-dependent")</f>
        <v/>
      </c>
      <c r="AE45" s="111">
        <f>IF(COUNTA(A45:P45)+COUNTA(AJ45)=0,"",IF(AM45&lt;&gt;"OK","UNRECOGNISED_ADMIN_DISPOSITION",IF(AND(AJ45&lt;&gt;"",AJ45&lt;&gt;"None"),IF(OR(LEN(TRIM(A45))=0,LEN(TRIM(B45))=0,LEN(TRIM(C45))=0,LEN(TRIM(F45))=0),"ADMIN_INCOMPLETE","ADMIN_DISPOSITION"),IF(OR(LEN(TRIM(A45))=0,LEN(TRIM(B45))=0,LEN(TRIM(C45))=0,LEN(TRIM(D45))=0,LEN(TRIM(E45))=0,LEN(TRIM(F45))=0,LEN(TRIM(G45))=0,LEN(TRIM(H45))=0,LEN(TRIM(I45))=0,LEN(TRIM(J45))=0,LEN(TRIM(K45))=0,LEN(TRIM(L45))=0,LEN(TRIM(M45))=0,LEN(TRIM(N45))=0,LEN(TRIM(O45))=0,LEN(TRIM(P45))=0),"ADMIN_INCOMPLETE",IF(H45&lt;&gt;"Yes","ADMIN_INVALID",IF(I45="Not feasible","BURDEN_NOT_FEASIBLE",IF(AI45&lt;&gt;"OK","UNRECOGNISED_VALUE","CLEAR")))))))</f>
        <v/>
      </c>
      <c r="AF45" s="276">
        <f>IF(AND(Q45="",R45=""),"",IF(IF(Q45&lt;&gt;"",Q45,R45)="Stage-A admissible - scoped","stage_a_admissible_scoped",IF(IF(Q45&lt;&gt;"",Q45,R45)="Stage-A admissible - scoped, control-dependent","stage_a_admissible_scoped_control_dependent",IF(IF(Q45&lt;&gt;"",Q45,R45)="Stage-A non-admissible - patchable","stage_a_non_admissible_patchable",IF(IF(Q45&lt;&gt;"",Q45,R45)="Stage-A non-admissible - unpatchable for stated claim","stage_a_non_admissible_unpatchable_for_stated_claim",IF(IF(Q45&lt;&gt;"",Q45,R45)="Indeterminate - insufficient evidence","indeterminate_insufficient_evidence",IF(IF(Q45&lt;&gt;"",Q45,R45)="Protocol refusal to evaluate","protocol_refusal_to_evaluate",IF(IF(Q45&lt;&gt;"",Q45,R45)="Out of scope","out_of_scope",IF(IF(Q45&lt;&gt;"",Q45,R45)="Withdrawn","withdrawn",IF(IF(Q45&lt;&gt;"",Q45,R45)="Not reviewed","not_reviewed","unknown_status"))))))))))</f>
        <v/>
      </c>
      <c r="AG45" s="277">
        <f>IF(AND(AF45="",T45=""),"",IF(AND(AF45&lt;&gt;"",ISNUMBER(SEARCH("token="&amp;AF45&amp;";",T45)),ISNUMBER(SEARCH(AK45,T45)),ISNUMBER(SEARCH("CL basis="&amp;AL45&amp;";",T45))),"VALID","INVALID_OR_INCOMPLETE"))</f>
        <v/>
      </c>
      <c r="AH45" s="303">
        <f>COUNTIF(K45:P45,"Adequate for scope")</f>
        <v/>
      </c>
      <c r="AI45" s="303">
        <f>IF(COUNTA(K45:P45)=0,"",IF(AA45+AB45+AC45+AD45+AH45=6,"OK","UNRECOGNISED_VALUE"))</f>
        <v/>
      </c>
      <c r="AJ45" s="303" t="n"/>
      <c r="AK45" s="303">
        <f>IF(A45="","",Vocabulary!$B$5)</f>
        <v/>
      </c>
      <c r="AL45" s="303">
        <f>IF(A45="","",Vocabulary!$B$6)</f>
        <v/>
      </c>
      <c r="AM45" s="303">
        <f>IF(AJ45="","OK",IF(COUNTIF(Vocabulary!$O$5:$O$8,AJ45)=1,"OK","UNRECOGNISED_ADMIN_DISPOSITION"))</f>
        <v/>
      </c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356" t="n"/>
      <c r="N46" s="356" t="n"/>
      <c r="O46" s="356" t="n"/>
      <c r="P46" s="356" t="n"/>
      <c r="Q46" s="302">
        <f>IF(AE46="","",IF(AE46="ADMIN_DISPOSITION",AJ46,IF(OR(AE46="ADMIN_INCOMPLETE",AE46="ADMIN_INVALID",AE46="BURDEN_NOT_FEASIBLE",AE46="UNRECOGNISED_VALUE",AE46="UNRECOGNISED_ADMIN_DISPOSITION"),"Protocol refusal to evaluate",IF(AA46&gt;0,"Stage-A non-admissible - unpatchable for stated claim",IF(AB46&gt;0,"Stage-A non-admissible - patchable",IF(OR(J46="Yes",I46="Indeterminate",AC46&gt;0),"Indeterminate - insufficient evidence",IF(AND(AH46=6,AD46=0),"Stage-A admissible - scoped",IF(AND(AH46+AD46=6,AD46&gt;0),"Stage-A admissible - scoped, control-dependent","Protocol refusal to evaluate"))))))))</f>
        <v/>
      </c>
      <c r="R46" s="356" t="n"/>
      <c r="S46" s="302">
        <f>IF(AND(Q46="",R46=""),"",IF(AND(Q46&lt;&gt;"",R46=""),"UNRECORDED",IF(AND(Q46="",R46&lt;&gt;""),"ORPHAN_RECORDED",IF(Q46=R46,"MATCH","MISMATCH"))))</f>
        <v/>
      </c>
      <c r="T46" s="356" t="n"/>
      <c r="U46" s="356" t="n"/>
      <c r="V46" s="356" t="n"/>
      <c r="W46" s="356" t="n"/>
      <c r="X46" s="356" t="n"/>
      <c r="Y46" s="356" t="n"/>
      <c r="Z46" s="103" t="n"/>
      <c r="AA46" s="195">
        <f>COUNTIF(K46:P46,"Material defect - unpatchable for stated claim")</f>
        <v/>
      </c>
      <c r="AB46" s="302">
        <f>COUNTIF(K46:P46,"Material defect - patchable")</f>
        <v/>
      </c>
      <c r="AC46" s="302">
        <f>COUNTIF(K46:P46,"Indeterminate")+COUNTIF(K46:P46,"Not reviewed")</f>
        <v/>
      </c>
      <c r="AD46" s="302">
        <f>COUNTIF(K46:P46,"Adequate - control-dependent")</f>
        <v/>
      </c>
      <c r="AE46" s="111">
        <f>IF(COUNTA(A46:P46)+COUNTA(AJ46)=0,"",IF(AM46&lt;&gt;"OK","UNRECOGNISED_ADMIN_DISPOSITION",IF(AND(AJ46&lt;&gt;"",AJ46&lt;&gt;"None"),IF(OR(LEN(TRIM(A46))=0,LEN(TRIM(B46))=0,LEN(TRIM(C46))=0,LEN(TRIM(F46))=0),"ADMIN_INCOMPLETE","ADMIN_DISPOSITION"),IF(OR(LEN(TRIM(A46))=0,LEN(TRIM(B46))=0,LEN(TRIM(C46))=0,LEN(TRIM(D46))=0,LEN(TRIM(E46))=0,LEN(TRIM(F46))=0,LEN(TRIM(G46))=0,LEN(TRIM(H46))=0,LEN(TRIM(I46))=0,LEN(TRIM(J46))=0,LEN(TRIM(K46))=0,LEN(TRIM(L46))=0,LEN(TRIM(M46))=0,LEN(TRIM(N46))=0,LEN(TRIM(O46))=0,LEN(TRIM(P46))=0),"ADMIN_INCOMPLETE",IF(H46&lt;&gt;"Yes","ADMIN_INVALID",IF(I46="Not feasible","BURDEN_NOT_FEASIBLE",IF(AI46&lt;&gt;"OK","UNRECOGNISED_VALUE","CLEAR")))))))</f>
        <v/>
      </c>
      <c r="AF46" s="276">
        <f>IF(AND(Q46="",R46=""),"",IF(IF(Q46&lt;&gt;"",Q46,R46)="Stage-A admissible - scoped","stage_a_admissible_scoped",IF(IF(Q46&lt;&gt;"",Q46,R46)="Stage-A admissible - scoped, control-dependent","stage_a_admissible_scoped_control_dependent",IF(IF(Q46&lt;&gt;"",Q46,R46)="Stage-A non-admissible - patchable","stage_a_non_admissible_patchable",IF(IF(Q46&lt;&gt;"",Q46,R46)="Stage-A non-admissible - unpatchable for stated claim","stage_a_non_admissible_unpatchable_for_stated_claim",IF(IF(Q46&lt;&gt;"",Q46,R46)="Indeterminate - insufficient evidence","indeterminate_insufficient_evidence",IF(IF(Q46&lt;&gt;"",Q46,R46)="Protocol refusal to evaluate","protocol_refusal_to_evaluate",IF(IF(Q46&lt;&gt;"",Q46,R46)="Out of scope","out_of_scope",IF(IF(Q46&lt;&gt;"",Q46,R46)="Withdrawn","withdrawn",IF(IF(Q46&lt;&gt;"",Q46,R46)="Not reviewed","not_reviewed","unknown_status"))))))))))</f>
        <v/>
      </c>
      <c r="AG46" s="277">
        <f>IF(AND(AF46="",T46=""),"",IF(AND(AF46&lt;&gt;"",ISNUMBER(SEARCH("token="&amp;AF46&amp;";",T46)),ISNUMBER(SEARCH(AK46,T46)),ISNUMBER(SEARCH("CL basis="&amp;AL46&amp;";",T46))),"VALID","INVALID_OR_INCOMPLETE"))</f>
        <v/>
      </c>
      <c r="AH46" s="303">
        <f>COUNTIF(K46:P46,"Adequate for scope")</f>
        <v/>
      </c>
      <c r="AI46" s="303">
        <f>IF(COUNTA(K46:P46)=0,"",IF(AA46+AB46+AC46+AD46+AH46=6,"OK","UNRECOGNISED_VALUE"))</f>
        <v/>
      </c>
      <c r="AJ46" s="303" t="n"/>
      <c r="AK46" s="303">
        <f>IF(A46="","",Vocabulary!$B$5)</f>
        <v/>
      </c>
      <c r="AL46" s="303">
        <f>IF(A46="","",Vocabulary!$B$6)</f>
        <v/>
      </c>
      <c r="AM46" s="303">
        <f>IF(AJ46="","OK",IF(COUNTIF(Vocabulary!$O$5:$O$8,AJ46)=1,"OK","UNRECOGNISED_ADMIN_DISPOSITION"))</f>
        <v/>
      </c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56" t="n"/>
      <c r="I47" s="356" t="n"/>
      <c r="J47" s="356" t="n"/>
      <c r="K47" s="356" t="n"/>
      <c r="L47" s="356" t="n"/>
      <c r="M47" s="356" t="n"/>
      <c r="N47" s="356" t="n"/>
      <c r="O47" s="356" t="n"/>
      <c r="P47" s="356" t="n"/>
      <c r="Q47" s="302">
        <f>IF(AE47="","",IF(AE47="ADMIN_DISPOSITION",AJ47,IF(OR(AE47="ADMIN_INCOMPLETE",AE47="ADMIN_INVALID",AE47="BURDEN_NOT_FEASIBLE",AE47="UNRECOGNISED_VALUE",AE47="UNRECOGNISED_ADMIN_DISPOSITION"),"Protocol refusal to evaluate",IF(AA47&gt;0,"Stage-A non-admissible - unpatchable for stated claim",IF(AB47&gt;0,"Stage-A non-admissible - patchable",IF(OR(J47="Yes",I47="Indeterminate",AC47&gt;0),"Indeterminate - insufficient evidence",IF(AND(AH47=6,AD47=0),"Stage-A admissible - scoped",IF(AND(AH47+AD47=6,AD47&gt;0),"Stage-A admissible - scoped, control-dependent","Protocol refusal to evaluate"))))))))</f>
        <v/>
      </c>
      <c r="R47" s="356" t="n"/>
      <c r="S47" s="302">
        <f>IF(AND(Q47="",R47=""),"",IF(AND(Q47&lt;&gt;"",R47=""),"UNRECORDED",IF(AND(Q47="",R47&lt;&gt;""),"ORPHAN_RECORDED",IF(Q47=R47,"MATCH","MISMATCH"))))</f>
        <v/>
      </c>
      <c r="T47" s="356" t="n"/>
      <c r="U47" s="356" t="n"/>
      <c r="V47" s="356" t="n"/>
      <c r="W47" s="356" t="n"/>
      <c r="X47" s="356" t="n"/>
      <c r="Y47" s="356" t="n"/>
      <c r="Z47" s="103" t="n"/>
      <c r="AA47" s="195">
        <f>COUNTIF(K47:P47,"Material defect - unpatchable for stated claim")</f>
        <v/>
      </c>
      <c r="AB47" s="302">
        <f>COUNTIF(K47:P47,"Material defect - patchable")</f>
        <v/>
      </c>
      <c r="AC47" s="302">
        <f>COUNTIF(K47:P47,"Indeterminate")+COUNTIF(K47:P47,"Not reviewed")</f>
        <v/>
      </c>
      <c r="AD47" s="302">
        <f>COUNTIF(K47:P47,"Adequate - control-dependent")</f>
        <v/>
      </c>
      <c r="AE47" s="111">
        <f>IF(COUNTA(A47:P47)+COUNTA(AJ47)=0,"",IF(AM47&lt;&gt;"OK","UNRECOGNISED_ADMIN_DISPOSITION",IF(AND(AJ47&lt;&gt;"",AJ47&lt;&gt;"None"),IF(OR(LEN(TRIM(A47))=0,LEN(TRIM(B47))=0,LEN(TRIM(C47))=0,LEN(TRIM(F47))=0),"ADMIN_INCOMPLETE","ADMIN_DISPOSITION"),IF(OR(LEN(TRIM(A47))=0,LEN(TRIM(B47))=0,LEN(TRIM(C47))=0,LEN(TRIM(D47))=0,LEN(TRIM(E47))=0,LEN(TRIM(F47))=0,LEN(TRIM(G47))=0,LEN(TRIM(H47))=0,LEN(TRIM(I47))=0,LEN(TRIM(J47))=0,LEN(TRIM(K47))=0,LEN(TRIM(L47))=0,LEN(TRIM(M47))=0,LEN(TRIM(N47))=0,LEN(TRIM(O47))=0,LEN(TRIM(P47))=0),"ADMIN_INCOMPLETE",IF(H47&lt;&gt;"Yes","ADMIN_INVALID",IF(I47="Not feasible","BURDEN_NOT_FEASIBLE",IF(AI47&lt;&gt;"OK","UNRECOGNISED_VALUE","CLEAR")))))))</f>
        <v/>
      </c>
      <c r="AF47" s="276">
        <f>IF(AND(Q47="",R47=""),"",IF(IF(Q47&lt;&gt;"",Q47,R47)="Stage-A admissible - scoped","stage_a_admissible_scoped",IF(IF(Q47&lt;&gt;"",Q47,R47)="Stage-A admissible - scoped, control-dependent","stage_a_admissible_scoped_control_dependent",IF(IF(Q47&lt;&gt;"",Q47,R47)="Stage-A non-admissible - patchable","stage_a_non_admissible_patchable",IF(IF(Q47&lt;&gt;"",Q47,R47)="Stage-A non-admissible - unpatchable for stated claim","stage_a_non_admissible_unpatchable_for_stated_claim",IF(IF(Q47&lt;&gt;"",Q47,R47)="Indeterminate - insufficient evidence","indeterminate_insufficient_evidence",IF(IF(Q47&lt;&gt;"",Q47,R47)="Protocol refusal to evaluate","protocol_refusal_to_evaluate",IF(IF(Q47&lt;&gt;"",Q47,R47)="Out of scope","out_of_scope",IF(IF(Q47&lt;&gt;"",Q47,R47)="Withdrawn","withdrawn",IF(IF(Q47&lt;&gt;"",Q47,R47)="Not reviewed","not_reviewed","unknown_status"))))))))))</f>
        <v/>
      </c>
      <c r="AG47" s="277">
        <f>IF(AND(AF47="",T47=""),"",IF(AND(AF47&lt;&gt;"",ISNUMBER(SEARCH("token="&amp;AF47&amp;";",T47)),ISNUMBER(SEARCH(AK47,T47)),ISNUMBER(SEARCH("CL basis="&amp;AL47&amp;";",T47))),"VALID","INVALID_OR_INCOMPLETE"))</f>
        <v/>
      </c>
      <c r="AH47" s="303">
        <f>COUNTIF(K47:P47,"Adequate for scope")</f>
        <v/>
      </c>
      <c r="AI47" s="303">
        <f>IF(COUNTA(K47:P47)=0,"",IF(AA47+AB47+AC47+AD47+AH47=6,"OK","UNRECOGNISED_VALUE"))</f>
        <v/>
      </c>
      <c r="AJ47" s="303" t="n"/>
      <c r="AK47" s="303">
        <f>IF(A47="","",Vocabulary!$B$5)</f>
        <v/>
      </c>
      <c r="AL47" s="303">
        <f>IF(A47="","",Vocabulary!$B$6)</f>
        <v/>
      </c>
      <c r="AM47" s="303">
        <f>IF(AJ47="","OK",IF(COUNTIF(Vocabulary!$O$5:$O$8,AJ47)=1,"OK","UNRECOGNISED_ADMIN_DISPOSITION"))</f>
        <v/>
      </c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356" t="n"/>
      <c r="N48" s="356" t="n"/>
      <c r="O48" s="356" t="n"/>
      <c r="P48" s="356" t="n"/>
      <c r="Q48" s="302">
        <f>IF(AE48="","",IF(AE48="ADMIN_DISPOSITION",AJ48,IF(OR(AE48="ADMIN_INCOMPLETE",AE48="ADMIN_INVALID",AE48="BURDEN_NOT_FEASIBLE",AE48="UNRECOGNISED_VALUE",AE48="UNRECOGNISED_ADMIN_DISPOSITION"),"Protocol refusal to evaluate",IF(AA48&gt;0,"Stage-A non-admissible - unpatchable for stated claim",IF(AB48&gt;0,"Stage-A non-admissible - patchable",IF(OR(J48="Yes",I48="Indeterminate",AC48&gt;0),"Indeterminate - insufficient evidence",IF(AND(AH48=6,AD48=0),"Stage-A admissible - scoped",IF(AND(AH48+AD48=6,AD48&gt;0),"Stage-A admissible - scoped, control-dependent","Protocol refusal to evaluate"))))))))</f>
        <v/>
      </c>
      <c r="R48" s="356" t="n"/>
      <c r="S48" s="302">
        <f>IF(AND(Q48="",R48=""),"",IF(AND(Q48&lt;&gt;"",R48=""),"UNRECORDED",IF(AND(Q48="",R48&lt;&gt;""),"ORPHAN_RECORDED",IF(Q48=R48,"MATCH","MISMATCH"))))</f>
        <v/>
      </c>
      <c r="T48" s="356" t="n"/>
      <c r="U48" s="356" t="n"/>
      <c r="V48" s="356" t="n"/>
      <c r="W48" s="356" t="n"/>
      <c r="X48" s="356" t="n"/>
      <c r="Y48" s="356" t="n"/>
      <c r="Z48" s="103" t="n"/>
      <c r="AA48" s="195">
        <f>COUNTIF(K48:P48,"Material defect - unpatchable for stated claim")</f>
        <v/>
      </c>
      <c r="AB48" s="302">
        <f>COUNTIF(K48:P48,"Material defect - patchable")</f>
        <v/>
      </c>
      <c r="AC48" s="302">
        <f>COUNTIF(K48:P48,"Indeterminate")+COUNTIF(K48:P48,"Not reviewed")</f>
        <v/>
      </c>
      <c r="AD48" s="302">
        <f>COUNTIF(K48:P48,"Adequate - control-dependent")</f>
        <v/>
      </c>
      <c r="AE48" s="111">
        <f>IF(COUNTA(A48:P48)+COUNTA(AJ48)=0,"",IF(AM48&lt;&gt;"OK","UNRECOGNISED_ADMIN_DISPOSITION",IF(AND(AJ48&lt;&gt;"",AJ48&lt;&gt;"None"),IF(OR(LEN(TRIM(A48))=0,LEN(TRIM(B48))=0,LEN(TRIM(C48))=0,LEN(TRIM(F48))=0),"ADMIN_INCOMPLETE","ADMIN_DISPOSITION"),IF(OR(LEN(TRIM(A48))=0,LEN(TRIM(B48))=0,LEN(TRIM(C48))=0,LEN(TRIM(D48))=0,LEN(TRIM(E48))=0,LEN(TRIM(F48))=0,LEN(TRIM(G48))=0,LEN(TRIM(H48))=0,LEN(TRIM(I48))=0,LEN(TRIM(J48))=0,LEN(TRIM(K48))=0,LEN(TRIM(L48))=0,LEN(TRIM(M48))=0,LEN(TRIM(N48))=0,LEN(TRIM(O48))=0,LEN(TRIM(P48))=0),"ADMIN_INCOMPLETE",IF(H48&lt;&gt;"Yes","ADMIN_INVALID",IF(I48="Not feasible","BURDEN_NOT_FEASIBLE",IF(AI48&lt;&gt;"OK","UNRECOGNISED_VALUE","CLEAR")))))))</f>
        <v/>
      </c>
      <c r="AF48" s="276">
        <f>IF(AND(Q48="",R48=""),"",IF(IF(Q48&lt;&gt;"",Q48,R48)="Stage-A admissible - scoped","stage_a_admissible_scoped",IF(IF(Q48&lt;&gt;"",Q48,R48)="Stage-A admissible - scoped, control-dependent","stage_a_admissible_scoped_control_dependent",IF(IF(Q48&lt;&gt;"",Q48,R48)="Stage-A non-admissible - patchable","stage_a_non_admissible_patchable",IF(IF(Q48&lt;&gt;"",Q48,R48)="Stage-A non-admissible - unpatchable for stated claim","stage_a_non_admissible_unpatchable_for_stated_claim",IF(IF(Q48&lt;&gt;"",Q48,R48)="Indeterminate - insufficient evidence","indeterminate_insufficient_evidence",IF(IF(Q48&lt;&gt;"",Q48,R48)="Protocol refusal to evaluate","protocol_refusal_to_evaluate",IF(IF(Q48&lt;&gt;"",Q48,R48)="Out of scope","out_of_scope",IF(IF(Q48&lt;&gt;"",Q48,R48)="Withdrawn","withdrawn",IF(IF(Q48&lt;&gt;"",Q48,R48)="Not reviewed","not_reviewed","unknown_status"))))))))))</f>
        <v/>
      </c>
      <c r="AG48" s="277">
        <f>IF(AND(AF48="",T48=""),"",IF(AND(AF48&lt;&gt;"",ISNUMBER(SEARCH("token="&amp;AF48&amp;";",T48)),ISNUMBER(SEARCH(AK48,T48)),ISNUMBER(SEARCH("CL basis="&amp;AL48&amp;";",T48))),"VALID","INVALID_OR_INCOMPLETE"))</f>
        <v/>
      </c>
      <c r="AH48" s="303">
        <f>COUNTIF(K48:P48,"Adequate for scope")</f>
        <v/>
      </c>
      <c r="AI48" s="303">
        <f>IF(COUNTA(K48:P48)=0,"",IF(AA48+AB48+AC48+AD48+AH48=6,"OK","UNRECOGNISED_VALUE"))</f>
        <v/>
      </c>
      <c r="AJ48" s="303" t="n"/>
      <c r="AK48" s="303">
        <f>IF(A48="","",Vocabulary!$B$5)</f>
        <v/>
      </c>
      <c r="AL48" s="303">
        <f>IF(A48="","",Vocabulary!$B$6)</f>
        <v/>
      </c>
      <c r="AM48" s="303">
        <f>IF(AJ48="","OK",IF(COUNTIF(Vocabulary!$O$5:$O$8,AJ48)=1,"OK","UNRECOGNISED_ADMIN_DISPOSITION"))</f>
        <v/>
      </c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56" t="n"/>
      <c r="I49" s="356" t="n"/>
      <c r="J49" s="356" t="n"/>
      <c r="K49" s="356" t="n"/>
      <c r="L49" s="356" t="n"/>
      <c r="M49" s="356" t="n"/>
      <c r="N49" s="356" t="n"/>
      <c r="O49" s="356" t="n"/>
      <c r="P49" s="356" t="n"/>
      <c r="Q49" s="302">
        <f>IF(AE49="","",IF(AE49="ADMIN_DISPOSITION",AJ49,IF(OR(AE49="ADMIN_INCOMPLETE",AE49="ADMIN_INVALID",AE49="BURDEN_NOT_FEASIBLE",AE49="UNRECOGNISED_VALUE",AE49="UNRECOGNISED_ADMIN_DISPOSITION"),"Protocol refusal to evaluate",IF(AA49&gt;0,"Stage-A non-admissible - unpatchable for stated claim",IF(AB49&gt;0,"Stage-A non-admissible - patchable",IF(OR(J49="Yes",I49="Indeterminate",AC49&gt;0),"Indeterminate - insufficient evidence",IF(AND(AH49=6,AD49=0),"Stage-A admissible - scoped",IF(AND(AH49+AD49=6,AD49&gt;0),"Stage-A admissible - scoped, control-dependent","Protocol refusal to evaluate"))))))))</f>
        <v/>
      </c>
      <c r="R49" s="356" t="n"/>
      <c r="S49" s="302">
        <f>IF(AND(Q49="",R49=""),"",IF(AND(Q49&lt;&gt;"",R49=""),"UNRECORDED",IF(AND(Q49="",R49&lt;&gt;""),"ORPHAN_RECORDED",IF(Q49=R49,"MATCH","MISMATCH"))))</f>
        <v/>
      </c>
      <c r="T49" s="356" t="n"/>
      <c r="U49" s="356" t="n"/>
      <c r="V49" s="356" t="n"/>
      <c r="W49" s="356" t="n"/>
      <c r="X49" s="356" t="n"/>
      <c r="Y49" s="356" t="n"/>
      <c r="Z49" s="103" t="n"/>
      <c r="AA49" s="195">
        <f>COUNTIF(K49:P49,"Material defect - unpatchable for stated claim")</f>
        <v/>
      </c>
      <c r="AB49" s="302">
        <f>COUNTIF(K49:P49,"Material defect - patchable")</f>
        <v/>
      </c>
      <c r="AC49" s="302">
        <f>COUNTIF(K49:P49,"Indeterminate")+COUNTIF(K49:P49,"Not reviewed")</f>
        <v/>
      </c>
      <c r="AD49" s="302">
        <f>COUNTIF(K49:P49,"Adequate - control-dependent")</f>
        <v/>
      </c>
      <c r="AE49" s="111">
        <f>IF(COUNTA(A49:P49)+COUNTA(AJ49)=0,"",IF(AM49&lt;&gt;"OK","UNRECOGNISED_ADMIN_DISPOSITION",IF(AND(AJ49&lt;&gt;"",AJ49&lt;&gt;"None"),IF(OR(LEN(TRIM(A49))=0,LEN(TRIM(B49))=0,LEN(TRIM(C49))=0,LEN(TRIM(F49))=0),"ADMIN_INCOMPLETE","ADMIN_DISPOSITION"),IF(OR(LEN(TRIM(A49))=0,LEN(TRIM(B49))=0,LEN(TRIM(C49))=0,LEN(TRIM(D49))=0,LEN(TRIM(E49))=0,LEN(TRIM(F49))=0,LEN(TRIM(G49))=0,LEN(TRIM(H49))=0,LEN(TRIM(I49))=0,LEN(TRIM(J49))=0,LEN(TRIM(K49))=0,LEN(TRIM(L49))=0,LEN(TRIM(M49))=0,LEN(TRIM(N49))=0,LEN(TRIM(O49))=0,LEN(TRIM(P49))=0),"ADMIN_INCOMPLETE",IF(H49&lt;&gt;"Yes","ADMIN_INVALID",IF(I49="Not feasible","BURDEN_NOT_FEASIBLE",IF(AI49&lt;&gt;"OK","UNRECOGNISED_VALUE","CLEAR")))))))</f>
        <v/>
      </c>
      <c r="AF49" s="276">
        <f>IF(AND(Q49="",R49=""),"",IF(IF(Q49&lt;&gt;"",Q49,R49)="Stage-A admissible - scoped","stage_a_admissible_scoped",IF(IF(Q49&lt;&gt;"",Q49,R49)="Stage-A admissible - scoped, control-dependent","stage_a_admissible_scoped_control_dependent",IF(IF(Q49&lt;&gt;"",Q49,R49)="Stage-A non-admissible - patchable","stage_a_non_admissible_patchable",IF(IF(Q49&lt;&gt;"",Q49,R49)="Stage-A non-admissible - unpatchable for stated claim","stage_a_non_admissible_unpatchable_for_stated_claim",IF(IF(Q49&lt;&gt;"",Q49,R49)="Indeterminate - insufficient evidence","indeterminate_insufficient_evidence",IF(IF(Q49&lt;&gt;"",Q49,R49)="Protocol refusal to evaluate","protocol_refusal_to_evaluate",IF(IF(Q49&lt;&gt;"",Q49,R49)="Out of scope","out_of_scope",IF(IF(Q49&lt;&gt;"",Q49,R49)="Withdrawn","withdrawn",IF(IF(Q49&lt;&gt;"",Q49,R49)="Not reviewed","not_reviewed","unknown_status"))))))))))</f>
        <v/>
      </c>
      <c r="AG49" s="277">
        <f>IF(AND(AF49="",T49=""),"",IF(AND(AF49&lt;&gt;"",ISNUMBER(SEARCH("token="&amp;AF49&amp;";",T49)),ISNUMBER(SEARCH(AK49,T49)),ISNUMBER(SEARCH("CL basis="&amp;AL49&amp;";",T49))),"VALID","INVALID_OR_INCOMPLETE"))</f>
        <v/>
      </c>
      <c r="AH49" s="303">
        <f>COUNTIF(K49:P49,"Adequate for scope")</f>
        <v/>
      </c>
      <c r="AI49" s="303">
        <f>IF(COUNTA(K49:P49)=0,"",IF(AA49+AB49+AC49+AD49+AH49=6,"OK","UNRECOGNISED_VALUE"))</f>
        <v/>
      </c>
      <c r="AJ49" s="303" t="n"/>
      <c r="AK49" s="303">
        <f>IF(A49="","",Vocabulary!$B$5)</f>
        <v/>
      </c>
      <c r="AL49" s="303">
        <f>IF(A49="","",Vocabulary!$B$6)</f>
        <v/>
      </c>
      <c r="AM49" s="303">
        <f>IF(AJ49="","OK",IF(COUNTIF(Vocabulary!$O$5:$O$8,AJ49)=1,"OK","UNRECOGNISED_ADMIN_DISPOSITION"))</f>
        <v/>
      </c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56" t="n"/>
      <c r="I50" s="356" t="n"/>
      <c r="J50" s="356" t="n"/>
      <c r="K50" s="356" t="n"/>
      <c r="L50" s="356" t="n"/>
      <c r="M50" s="356" t="n"/>
      <c r="N50" s="356" t="n"/>
      <c r="O50" s="356" t="n"/>
      <c r="P50" s="356" t="n"/>
      <c r="Q50" s="302">
        <f>IF(AE50="","",IF(AE50="ADMIN_DISPOSITION",AJ50,IF(OR(AE50="ADMIN_INCOMPLETE",AE50="ADMIN_INVALID",AE50="BURDEN_NOT_FEASIBLE",AE50="UNRECOGNISED_VALUE",AE50="UNRECOGNISED_ADMIN_DISPOSITION"),"Protocol refusal to evaluate",IF(AA50&gt;0,"Stage-A non-admissible - unpatchable for stated claim",IF(AB50&gt;0,"Stage-A non-admissible - patchable",IF(OR(J50="Yes",I50="Indeterminate",AC50&gt;0),"Indeterminate - insufficient evidence",IF(AND(AH50=6,AD50=0),"Stage-A admissible - scoped",IF(AND(AH50+AD50=6,AD50&gt;0),"Stage-A admissible - scoped, control-dependent","Protocol refusal to evaluate"))))))))</f>
        <v/>
      </c>
      <c r="R50" s="356" t="n"/>
      <c r="S50" s="302">
        <f>IF(AND(Q50="",R50=""),"",IF(AND(Q50&lt;&gt;"",R50=""),"UNRECORDED",IF(AND(Q50="",R50&lt;&gt;""),"ORPHAN_RECORDED",IF(Q50=R50,"MATCH","MISMATCH"))))</f>
        <v/>
      </c>
      <c r="T50" s="356" t="n"/>
      <c r="U50" s="356" t="n"/>
      <c r="V50" s="356" t="n"/>
      <c r="W50" s="356" t="n"/>
      <c r="X50" s="356" t="n"/>
      <c r="Y50" s="356" t="n"/>
      <c r="Z50" s="103" t="n"/>
      <c r="AA50" s="195">
        <f>COUNTIF(K50:P50,"Material defect - unpatchable for stated claim")</f>
        <v/>
      </c>
      <c r="AB50" s="302">
        <f>COUNTIF(K50:P50,"Material defect - patchable")</f>
        <v/>
      </c>
      <c r="AC50" s="302">
        <f>COUNTIF(K50:P50,"Indeterminate")+COUNTIF(K50:P50,"Not reviewed")</f>
        <v/>
      </c>
      <c r="AD50" s="302">
        <f>COUNTIF(K50:P50,"Adequate - control-dependent")</f>
        <v/>
      </c>
      <c r="AE50" s="111">
        <f>IF(COUNTA(A50:P50)+COUNTA(AJ50)=0,"",IF(AM50&lt;&gt;"OK","UNRECOGNISED_ADMIN_DISPOSITION",IF(AND(AJ50&lt;&gt;"",AJ50&lt;&gt;"None"),IF(OR(LEN(TRIM(A50))=0,LEN(TRIM(B50))=0,LEN(TRIM(C50))=0,LEN(TRIM(F50))=0),"ADMIN_INCOMPLETE","ADMIN_DISPOSITION"),IF(OR(LEN(TRIM(A50))=0,LEN(TRIM(B50))=0,LEN(TRIM(C50))=0,LEN(TRIM(D50))=0,LEN(TRIM(E50))=0,LEN(TRIM(F50))=0,LEN(TRIM(G50))=0,LEN(TRIM(H50))=0,LEN(TRIM(I50))=0,LEN(TRIM(J50))=0,LEN(TRIM(K50))=0,LEN(TRIM(L50))=0,LEN(TRIM(M50))=0,LEN(TRIM(N50))=0,LEN(TRIM(O50))=0,LEN(TRIM(P50))=0),"ADMIN_INCOMPLETE",IF(H50&lt;&gt;"Yes","ADMIN_INVALID",IF(I50="Not feasible","BURDEN_NOT_FEASIBLE",IF(AI50&lt;&gt;"OK","UNRECOGNISED_VALUE","CLEAR")))))))</f>
        <v/>
      </c>
      <c r="AF50" s="276">
        <f>IF(AND(Q50="",R50=""),"",IF(IF(Q50&lt;&gt;"",Q50,R50)="Stage-A admissible - scoped","stage_a_admissible_scoped",IF(IF(Q50&lt;&gt;"",Q50,R50)="Stage-A admissible - scoped, control-dependent","stage_a_admissible_scoped_control_dependent",IF(IF(Q50&lt;&gt;"",Q50,R50)="Stage-A non-admissible - patchable","stage_a_non_admissible_patchable",IF(IF(Q50&lt;&gt;"",Q50,R50)="Stage-A non-admissible - unpatchable for stated claim","stage_a_non_admissible_unpatchable_for_stated_claim",IF(IF(Q50&lt;&gt;"",Q50,R50)="Indeterminate - insufficient evidence","indeterminate_insufficient_evidence",IF(IF(Q50&lt;&gt;"",Q50,R50)="Protocol refusal to evaluate","protocol_refusal_to_evaluate",IF(IF(Q50&lt;&gt;"",Q50,R50)="Out of scope","out_of_scope",IF(IF(Q50&lt;&gt;"",Q50,R50)="Withdrawn","withdrawn",IF(IF(Q50&lt;&gt;"",Q50,R50)="Not reviewed","not_reviewed","unknown_status"))))))))))</f>
        <v/>
      </c>
      <c r="AG50" s="277">
        <f>IF(AND(AF50="",T50=""),"",IF(AND(AF50&lt;&gt;"",ISNUMBER(SEARCH("token="&amp;AF50&amp;";",T50)),ISNUMBER(SEARCH(AK50,T50)),ISNUMBER(SEARCH("CL basis="&amp;AL50&amp;";",T50))),"VALID","INVALID_OR_INCOMPLETE"))</f>
        <v/>
      </c>
      <c r="AH50" s="303">
        <f>COUNTIF(K50:P50,"Adequate for scope")</f>
        <v/>
      </c>
      <c r="AI50" s="303">
        <f>IF(COUNTA(K50:P50)=0,"",IF(AA50+AB50+AC50+AD50+AH50=6,"OK","UNRECOGNISED_VALUE"))</f>
        <v/>
      </c>
      <c r="AJ50" s="303" t="n"/>
      <c r="AK50" s="303">
        <f>IF(A50="","",Vocabulary!$B$5)</f>
        <v/>
      </c>
      <c r="AL50" s="303">
        <f>IF(A50="","",Vocabulary!$B$6)</f>
        <v/>
      </c>
      <c r="AM50" s="303">
        <f>IF(AJ50="","OK",IF(COUNTIF(Vocabulary!$O$5:$O$8,AJ50)=1,"OK","UNRECOGNISED_ADMIN_DISPOSITION"))</f>
        <v/>
      </c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56" t="n"/>
      <c r="I51" s="356" t="n"/>
      <c r="J51" s="356" t="n"/>
      <c r="K51" s="356" t="n"/>
      <c r="L51" s="356" t="n"/>
      <c r="M51" s="356" t="n"/>
      <c r="N51" s="356" t="n"/>
      <c r="O51" s="356" t="n"/>
      <c r="P51" s="356" t="n"/>
      <c r="Q51" s="302">
        <f>IF(AE51="","",IF(AE51="ADMIN_DISPOSITION",AJ51,IF(OR(AE51="ADMIN_INCOMPLETE",AE51="ADMIN_INVALID",AE51="BURDEN_NOT_FEASIBLE",AE51="UNRECOGNISED_VALUE",AE51="UNRECOGNISED_ADMIN_DISPOSITION"),"Protocol refusal to evaluate",IF(AA51&gt;0,"Stage-A non-admissible - unpatchable for stated claim",IF(AB51&gt;0,"Stage-A non-admissible - patchable",IF(OR(J51="Yes",I51="Indeterminate",AC51&gt;0),"Indeterminate - insufficient evidence",IF(AND(AH51=6,AD51=0),"Stage-A admissible - scoped",IF(AND(AH51+AD51=6,AD51&gt;0),"Stage-A admissible - scoped, control-dependent","Protocol refusal to evaluate"))))))))</f>
        <v/>
      </c>
      <c r="R51" s="356" t="n"/>
      <c r="S51" s="302">
        <f>IF(AND(Q51="",R51=""),"",IF(AND(Q51&lt;&gt;"",R51=""),"UNRECORDED",IF(AND(Q51="",R51&lt;&gt;""),"ORPHAN_RECORDED",IF(Q51=R51,"MATCH","MISMATCH"))))</f>
        <v/>
      </c>
      <c r="T51" s="356" t="n"/>
      <c r="U51" s="356" t="n"/>
      <c r="V51" s="356" t="n"/>
      <c r="W51" s="356" t="n"/>
      <c r="X51" s="356" t="n"/>
      <c r="Y51" s="356" t="n"/>
      <c r="Z51" s="103" t="n"/>
      <c r="AA51" s="195">
        <f>COUNTIF(K51:P51,"Material defect - unpatchable for stated claim")</f>
        <v/>
      </c>
      <c r="AB51" s="302">
        <f>COUNTIF(K51:P51,"Material defect - patchable")</f>
        <v/>
      </c>
      <c r="AC51" s="302">
        <f>COUNTIF(K51:P51,"Indeterminate")+COUNTIF(K51:P51,"Not reviewed")</f>
        <v/>
      </c>
      <c r="AD51" s="302">
        <f>COUNTIF(K51:P51,"Adequate - control-dependent")</f>
        <v/>
      </c>
      <c r="AE51" s="111">
        <f>IF(COUNTA(A51:P51)+COUNTA(AJ51)=0,"",IF(AM51&lt;&gt;"OK","UNRECOGNISED_ADMIN_DISPOSITION",IF(AND(AJ51&lt;&gt;"",AJ51&lt;&gt;"None"),IF(OR(LEN(TRIM(A51))=0,LEN(TRIM(B51))=0,LEN(TRIM(C51))=0,LEN(TRIM(F51))=0),"ADMIN_INCOMPLETE","ADMIN_DISPOSITION"),IF(OR(LEN(TRIM(A51))=0,LEN(TRIM(B51))=0,LEN(TRIM(C51))=0,LEN(TRIM(D51))=0,LEN(TRIM(E51))=0,LEN(TRIM(F51))=0,LEN(TRIM(G51))=0,LEN(TRIM(H51))=0,LEN(TRIM(I51))=0,LEN(TRIM(J51))=0,LEN(TRIM(K51))=0,LEN(TRIM(L51))=0,LEN(TRIM(M51))=0,LEN(TRIM(N51))=0,LEN(TRIM(O51))=0,LEN(TRIM(P51))=0),"ADMIN_INCOMPLETE",IF(H51&lt;&gt;"Yes","ADMIN_INVALID",IF(I51="Not feasible","BURDEN_NOT_FEASIBLE",IF(AI51&lt;&gt;"OK","UNRECOGNISED_VALUE","CLEAR")))))))</f>
        <v/>
      </c>
      <c r="AF51" s="276">
        <f>IF(AND(Q51="",R51=""),"",IF(IF(Q51&lt;&gt;"",Q51,R51)="Stage-A admissible - scoped","stage_a_admissible_scoped",IF(IF(Q51&lt;&gt;"",Q51,R51)="Stage-A admissible - scoped, control-dependent","stage_a_admissible_scoped_control_dependent",IF(IF(Q51&lt;&gt;"",Q51,R51)="Stage-A non-admissible - patchable","stage_a_non_admissible_patchable",IF(IF(Q51&lt;&gt;"",Q51,R51)="Stage-A non-admissible - unpatchable for stated claim","stage_a_non_admissible_unpatchable_for_stated_claim",IF(IF(Q51&lt;&gt;"",Q51,R51)="Indeterminate - insufficient evidence","indeterminate_insufficient_evidence",IF(IF(Q51&lt;&gt;"",Q51,R51)="Protocol refusal to evaluate","protocol_refusal_to_evaluate",IF(IF(Q51&lt;&gt;"",Q51,R51)="Out of scope","out_of_scope",IF(IF(Q51&lt;&gt;"",Q51,R51)="Withdrawn","withdrawn",IF(IF(Q51&lt;&gt;"",Q51,R51)="Not reviewed","not_reviewed","unknown_status"))))))))))</f>
        <v/>
      </c>
      <c r="AG51" s="277">
        <f>IF(AND(AF51="",T51=""),"",IF(AND(AF51&lt;&gt;"",ISNUMBER(SEARCH("token="&amp;AF51&amp;";",T51)),ISNUMBER(SEARCH(AK51,T51)),ISNUMBER(SEARCH("CL basis="&amp;AL51&amp;";",T51))),"VALID","INVALID_OR_INCOMPLETE"))</f>
        <v/>
      </c>
      <c r="AH51" s="303">
        <f>COUNTIF(K51:P51,"Adequate for scope")</f>
        <v/>
      </c>
      <c r="AI51" s="303">
        <f>IF(COUNTA(K51:P51)=0,"",IF(AA51+AB51+AC51+AD51+AH51=6,"OK","UNRECOGNISED_VALUE"))</f>
        <v/>
      </c>
      <c r="AJ51" s="303" t="n"/>
      <c r="AK51" s="303">
        <f>IF(A51="","",Vocabulary!$B$5)</f>
        <v/>
      </c>
      <c r="AL51" s="303">
        <f>IF(A51="","",Vocabulary!$B$6)</f>
        <v/>
      </c>
      <c r="AM51" s="303">
        <f>IF(AJ51="","OK",IF(COUNTIF(Vocabulary!$O$5:$O$8,AJ51)=1,"OK","UNRECOGNISED_ADMIN_DISPOSITION"))</f>
        <v/>
      </c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56" t="n"/>
      <c r="I52" s="356" t="n"/>
      <c r="J52" s="356" t="n"/>
      <c r="K52" s="356" t="n"/>
      <c r="L52" s="356" t="n"/>
      <c r="M52" s="356" t="n"/>
      <c r="N52" s="356" t="n"/>
      <c r="O52" s="356" t="n"/>
      <c r="P52" s="356" t="n"/>
      <c r="Q52" s="302">
        <f>IF(AE52="","",IF(AE52="ADMIN_DISPOSITION",AJ52,IF(OR(AE52="ADMIN_INCOMPLETE",AE52="ADMIN_INVALID",AE52="BURDEN_NOT_FEASIBLE",AE52="UNRECOGNISED_VALUE",AE52="UNRECOGNISED_ADMIN_DISPOSITION"),"Protocol refusal to evaluate",IF(AA52&gt;0,"Stage-A non-admissible - unpatchable for stated claim",IF(AB52&gt;0,"Stage-A non-admissible - patchable",IF(OR(J52="Yes",I52="Indeterminate",AC52&gt;0),"Indeterminate - insufficient evidence",IF(AND(AH52=6,AD52=0),"Stage-A admissible - scoped",IF(AND(AH52+AD52=6,AD52&gt;0),"Stage-A admissible - scoped, control-dependent","Protocol refusal to evaluate"))))))))</f>
        <v/>
      </c>
      <c r="R52" s="356" t="n"/>
      <c r="S52" s="302">
        <f>IF(AND(Q52="",R52=""),"",IF(AND(Q52&lt;&gt;"",R52=""),"UNRECORDED",IF(AND(Q52="",R52&lt;&gt;""),"ORPHAN_RECORDED",IF(Q52=R52,"MATCH","MISMATCH"))))</f>
        <v/>
      </c>
      <c r="T52" s="356" t="n"/>
      <c r="U52" s="356" t="n"/>
      <c r="V52" s="356" t="n"/>
      <c r="W52" s="356" t="n"/>
      <c r="X52" s="356" t="n"/>
      <c r="Y52" s="356" t="n"/>
      <c r="Z52" s="103" t="n"/>
      <c r="AA52" s="195">
        <f>COUNTIF(K52:P52,"Material defect - unpatchable for stated claim")</f>
        <v/>
      </c>
      <c r="AB52" s="302">
        <f>COUNTIF(K52:P52,"Material defect - patchable")</f>
        <v/>
      </c>
      <c r="AC52" s="302">
        <f>COUNTIF(K52:P52,"Indeterminate")+COUNTIF(K52:P52,"Not reviewed")</f>
        <v/>
      </c>
      <c r="AD52" s="302">
        <f>COUNTIF(K52:P52,"Adequate - control-dependent")</f>
        <v/>
      </c>
      <c r="AE52" s="111">
        <f>IF(COUNTA(A52:P52)+COUNTA(AJ52)=0,"",IF(AM52&lt;&gt;"OK","UNRECOGNISED_ADMIN_DISPOSITION",IF(AND(AJ52&lt;&gt;"",AJ52&lt;&gt;"None"),IF(OR(LEN(TRIM(A52))=0,LEN(TRIM(B52))=0,LEN(TRIM(C52))=0,LEN(TRIM(F52))=0),"ADMIN_INCOMPLETE","ADMIN_DISPOSITION"),IF(OR(LEN(TRIM(A52))=0,LEN(TRIM(B52))=0,LEN(TRIM(C52))=0,LEN(TRIM(D52))=0,LEN(TRIM(E52))=0,LEN(TRIM(F52))=0,LEN(TRIM(G52))=0,LEN(TRIM(H52))=0,LEN(TRIM(I52))=0,LEN(TRIM(J52))=0,LEN(TRIM(K52))=0,LEN(TRIM(L52))=0,LEN(TRIM(M52))=0,LEN(TRIM(N52))=0,LEN(TRIM(O52))=0,LEN(TRIM(P52))=0),"ADMIN_INCOMPLETE",IF(H52&lt;&gt;"Yes","ADMIN_INVALID",IF(I52="Not feasible","BURDEN_NOT_FEASIBLE",IF(AI52&lt;&gt;"OK","UNRECOGNISED_VALUE","CLEAR")))))))</f>
        <v/>
      </c>
      <c r="AF52" s="276">
        <f>IF(AND(Q52="",R52=""),"",IF(IF(Q52&lt;&gt;"",Q52,R52)="Stage-A admissible - scoped","stage_a_admissible_scoped",IF(IF(Q52&lt;&gt;"",Q52,R52)="Stage-A admissible - scoped, control-dependent","stage_a_admissible_scoped_control_dependent",IF(IF(Q52&lt;&gt;"",Q52,R52)="Stage-A non-admissible - patchable","stage_a_non_admissible_patchable",IF(IF(Q52&lt;&gt;"",Q52,R52)="Stage-A non-admissible - unpatchable for stated claim","stage_a_non_admissible_unpatchable_for_stated_claim",IF(IF(Q52&lt;&gt;"",Q52,R52)="Indeterminate - insufficient evidence","indeterminate_insufficient_evidence",IF(IF(Q52&lt;&gt;"",Q52,R52)="Protocol refusal to evaluate","protocol_refusal_to_evaluate",IF(IF(Q52&lt;&gt;"",Q52,R52)="Out of scope","out_of_scope",IF(IF(Q52&lt;&gt;"",Q52,R52)="Withdrawn","withdrawn",IF(IF(Q52&lt;&gt;"",Q52,R52)="Not reviewed","not_reviewed","unknown_status"))))))))))</f>
        <v/>
      </c>
      <c r="AG52" s="277">
        <f>IF(AND(AF52="",T52=""),"",IF(AND(AF52&lt;&gt;"",ISNUMBER(SEARCH("token="&amp;AF52&amp;";",T52)),ISNUMBER(SEARCH(AK52,T52)),ISNUMBER(SEARCH("CL basis="&amp;AL52&amp;";",T52))),"VALID","INVALID_OR_INCOMPLETE"))</f>
        <v/>
      </c>
      <c r="AH52" s="303">
        <f>COUNTIF(K52:P52,"Adequate for scope")</f>
        <v/>
      </c>
      <c r="AI52" s="303">
        <f>IF(COUNTA(K52:P52)=0,"",IF(AA52+AB52+AC52+AD52+AH52=6,"OK","UNRECOGNISED_VALUE"))</f>
        <v/>
      </c>
      <c r="AJ52" s="303" t="n"/>
      <c r="AK52" s="303">
        <f>IF(A52="","",Vocabulary!$B$5)</f>
        <v/>
      </c>
      <c r="AL52" s="303">
        <f>IF(A52="","",Vocabulary!$B$6)</f>
        <v/>
      </c>
      <c r="AM52" s="303">
        <f>IF(AJ52="","OK",IF(COUNTIF(Vocabulary!$O$5:$O$8,AJ52)=1,"OK","UNRECOGNISED_ADMIN_DISPOSITION"))</f>
        <v/>
      </c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56" t="n"/>
      <c r="I53" s="356" t="n"/>
      <c r="J53" s="356" t="n"/>
      <c r="K53" s="356" t="n"/>
      <c r="L53" s="356" t="n"/>
      <c r="M53" s="356" t="n"/>
      <c r="N53" s="356" t="n"/>
      <c r="O53" s="356" t="n"/>
      <c r="P53" s="356" t="n"/>
      <c r="Q53" s="302">
        <f>IF(AE53="","",IF(AE53="ADMIN_DISPOSITION",AJ53,IF(OR(AE53="ADMIN_INCOMPLETE",AE53="ADMIN_INVALID",AE53="BURDEN_NOT_FEASIBLE",AE53="UNRECOGNISED_VALUE",AE53="UNRECOGNISED_ADMIN_DISPOSITION"),"Protocol refusal to evaluate",IF(AA53&gt;0,"Stage-A non-admissible - unpatchable for stated claim",IF(AB53&gt;0,"Stage-A non-admissible - patchable",IF(OR(J53="Yes",I53="Indeterminate",AC53&gt;0),"Indeterminate - insufficient evidence",IF(AND(AH53=6,AD53=0),"Stage-A admissible - scoped",IF(AND(AH53+AD53=6,AD53&gt;0),"Stage-A admissible - scoped, control-dependent","Protocol refusal to evaluate"))))))))</f>
        <v/>
      </c>
      <c r="R53" s="356" t="n"/>
      <c r="S53" s="302">
        <f>IF(AND(Q53="",R53=""),"",IF(AND(Q53&lt;&gt;"",R53=""),"UNRECORDED",IF(AND(Q53="",R53&lt;&gt;""),"ORPHAN_RECORDED",IF(Q53=R53,"MATCH","MISMATCH"))))</f>
        <v/>
      </c>
      <c r="T53" s="356" t="n"/>
      <c r="U53" s="356" t="n"/>
      <c r="V53" s="356" t="n"/>
      <c r="W53" s="356" t="n"/>
      <c r="X53" s="356" t="n"/>
      <c r="Y53" s="356" t="n"/>
      <c r="Z53" s="103" t="n"/>
      <c r="AA53" s="195">
        <f>COUNTIF(K53:P53,"Material defect - unpatchable for stated claim")</f>
        <v/>
      </c>
      <c r="AB53" s="302">
        <f>COUNTIF(K53:P53,"Material defect - patchable")</f>
        <v/>
      </c>
      <c r="AC53" s="302">
        <f>COUNTIF(K53:P53,"Indeterminate")+COUNTIF(K53:P53,"Not reviewed")</f>
        <v/>
      </c>
      <c r="AD53" s="302">
        <f>COUNTIF(K53:P53,"Adequate - control-dependent")</f>
        <v/>
      </c>
      <c r="AE53" s="111">
        <f>IF(COUNTA(A53:P53)+COUNTA(AJ53)=0,"",IF(AM53&lt;&gt;"OK","UNRECOGNISED_ADMIN_DISPOSITION",IF(AND(AJ53&lt;&gt;"",AJ53&lt;&gt;"None"),IF(OR(LEN(TRIM(A53))=0,LEN(TRIM(B53))=0,LEN(TRIM(C53))=0,LEN(TRIM(F53))=0),"ADMIN_INCOMPLETE","ADMIN_DISPOSITION"),IF(OR(LEN(TRIM(A53))=0,LEN(TRIM(B53))=0,LEN(TRIM(C53))=0,LEN(TRIM(D53))=0,LEN(TRIM(E53))=0,LEN(TRIM(F53))=0,LEN(TRIM(G53))=0,LEN(TRIM(H53))=0,LEN(TRIM(I53))=0,LEN(TRIM(J53))=0,LEN(TRIM(K53))=0,LEN(TRIM(L53))=0,LEN(TRIM(M53))=0,LEN(TRIM(N53))=0,LEN(TRIM(O53))=0,LEN(TRIM(P53))=0),"ADMIN_INCOMPLETE",IF(H53&lt;&gt;"Yes","ADMIN_INVALID",IF(I53="Not feasible","BURDEN_NOT_FEASIBLE",IF(AI53&lt;&gt;"OK","UNRECOGNISED_VALUE","CLEAR")))))))</f>
        <v/>
      </c>
      <c r="AF53" s="276">
        <f>IF(AND(Q53="",R53=""),"",IF(IF(Q53&lt;&gt;"",Q53,R53)="Stage-A admissible - scoped","stage_a_admissible_scoped",IF(IF(Q53&lt;&gt;"",Q53,R53)="Stage-A admissible - scoped, control-dependent","stage_a_admissible_scoped_control_dependent",IF(IF(Q53&lt;&gt;"",Q53,R53)="Stage-A non-admissible - patchable","stage_a_non_admissible_patchable",IF(IF(Q53&lt;&gt;"",Q53,R53)="Stage-A non-admissible - unpatchable for stated claim","stage_a_non_admissible_unpatchable_for_stated_claim",IF(IF(Q53&lt;&gt;"",Q53,R53)="Indeterminate - insufficient evidence","indeterminate_insufficient_evidence",IF(IF(Q53&lt;&gt;"",Q53,R53)="Protocol refusal to evaluate","protocol_refusal_to_evaluate",IF(IF(Q53&lt;&gt;"",Q53,R53)="Out of scope","out_of_scope",IF(IF(Q53&lt;&gt;"",Q53,R53)="Withdrawn","withdrawn",IF(IF(Q53&lt;&gt;"",Q53,R53)="Not reviewed","not_reviewed","unknown_status"))))))))))</f>
        <v/>
      </c>
      <c r="AG53" s="277">
        <f>IF(AND(AF53="",T53=""),"",IF(AND(AF53&lt;&gt;"",ISNUMBER(SEARCH("token="&amp;AF53&amp;";",T53)),ISNUMBER(SEARCH(AK53,T53)),ISNUMBER(SEARCH("CL basis="&amp;AL53&amp;";",T53))),"VALID","INVALID_OR_INCOMPLETE"))</f>
        <v/>
      </c>
      <c r="AH53" s="303">
        <f>COUNTIF(K53:P53,"Adequate for scope")</f>
        <v/>
      </c>
      <c r="AI53" s="303">
        <f>IF(COUNTA(K53:P53)=0,"",IF(AA53+AB53+AC53+AD53+AH53=6,"OK","UNRECOGNISED_VALUE"))</f>
        <v/>
      </c>
      <c r="AJ53" s="303" t="n"/>
      <c r="AK53" s="303">
        <f>IF(A53="","",Vocabulary!$B$5)</f>
        <v/>
      </c>
      <c r="AL53" s="303">
        <f>IF(A53="","",Vocabulary!$B$6)</f>
        <v/>
      </c>
      <c r="AM53" s="303">
        <f>IF(AJ53="","OK",IF(COUNTIF(Vocabulary!$O$5:$O$8,AJ53)=1,"OK","UNRECOGNISED_ADMIN_DISPOSITION"))</f>
        <v/>
      </c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56" t="n"/>
      <c r="I54" s="356" t="n"/>
      <c r="J54" s="356" t="n"/>
      <c r="K54" s="356" t="n"/>
      <c r="L54" s="356" t="n"/>
      <c r="M54" s="356" t="n"/>
      <c r="N54" s="356" t="n"/>
      <c r="O54" s="356" t="n"/>
      <c r="P54" s="356" t="n"/>
      <c r="Q54" s="302">
        <f>IF(AE54="","",IF(AE54="ADMIN_DISPOSITION",AJ54,IF(OR(AE54="ADMIN_INCOMPLETE",AE54="ADMIN_INVALID",AE54="BURDEN_NOT_FEASIBLE",AE54="UNRECOGNISED_VALUE",AE54="UNRECOGNISED_ADMIN_DISPOSITION"),"Protocol refusal to evaluate",IF(AA54&gt;0,"Stage-A non-admissible - unpatchable for stated claim",IF(AB54&gt;0,"Stage-A non-admissible - patchable",IF(OR(J54="Yes",I54="Indeterminate",AC54&gt;0),"Indeterminate - insufficient evidence",IF(AND(AH54=6,AD54=0),"Stage-A admissible - scoped",IF(AND(AH54+AD54=6,AD54&gt;0),"Stage-A admissible - scoped, control-dependent","Protocol refusal to evaluate"))))))))</f>
        <v/>
      </c>
      <c r="R54" s="356" t="n"/>
      <c r="S54" s="302">
        <f>IF(AND(Q54="",R54=""),"",IF(AND(Q54&lt;&gt;"",R54=""),"UNRECORDED",IF(AND(Q54="",R54&lt;&gt;""),"ORPHAN_RECORDED",IF(Q54=R54,"MATCH","MISMATCH"))))</f>
        <v/>
      </c>
      <c r="T54" s="356" t="n"/>
      <c r="U54" s="356" t="n"/>
      <c r="V54" s="356" t="n"/>
      <c r="W54" s="356" t="n"/>
      <c r="X54" s="356" t="n"/>
      <c r="Y54" s="356" t="n"/>
      <c r="Z54" s="103" t="n"/>
      <c r="AA54" s="195">
        <f>COUNTIF(K54:P54,"Material defect - unpatchable for stated claim")</f>
        <v/>
      </c>
      <c r="AB54" s="302">
        <f>COUNTIF(K54:P54,"Material defect - patchable")</f>
        <v/>
      </c>
      <c r="AC54" s="302">
        <f>COUNTIF(K54:P54,"Indeterminate")+COUNTIF(K54:P54,"Not reviewed")</f>
        <v/>
      </c>
      <c r="AD54" s="302">
        <f>COUNTIF(K54:P54,"Adequate - control-dependent")</f>
        <v/>
      </c>
      <c r="AE54" s="111">
        <f>IF(COUNTA(A54:P54)+COUNTA(AJ54)=0,"",IF(AM54&lt;&gt;"OK","UNRECOGNISED_ADMIN_DISPOSITION",IF(AND(AJ54&lt;&gt;"",AJ54&lt;&gt;"None"),IF(OR(LEN(TRIM(A54))=0,LEN(TRIM(B54))=0,LEN(TRIM(C54))=0,LEN(TRIM(F54))=0),"ADMIN_INCOMPLETE","ADMIN_DISPOSITION"),IF(OR(LEN(TRIM(A54))=0,LEN(TRIM(B54))=0,LEN(TRIM(C54))=0,LEN(TRIM(D54))=0,LEN(TRIM(E54))=0,LEN(TRIM(F54))=0,LEN(TRIM(G54))=0,LEN(TRIM(H54))=0,LEN(TRIM(I54))=0,LEN(TRIM(J54))=0,LEN(TRIM(K54))=0,LEN(TRIM(L54))=0,LEN(TRIM(M54))=0,LEN(TRIM(N54))=0,LEN(TRIM(O54))=0,LEN(TRIM(P54))=0),"ADMIN_INCOMPLETE",IF(H54&lt;&gt;"Yes","ADMIN_INVALID",IF(I54="Not feasible","BURDEN_NOT_FEASIBLE",IF(AI54&lt;&gt;"OK","UNRECOGNISED_VALUE","CLEAR")))))))</f>
        <v/>
      </c>
      <c r="AF54" s="276">
        <f>IF(AND(Q54="",R54=""),"",IF(IF(Q54&lt;&gt;"",Q54,R54)="Stage-A admissible - scoped","stage_a_admissible_scoped",IF(IF(Q54&lt;&gt;"",Q54,R54)="Stage-A admissible - scoped, control-dependent","stage_a_admissible_scoped_control_dependent",IF(IF(Q54&lt;&gt;"",Q54,R54)="Stage-A non-admissible - patchable","stage_a_non_admissible_patchable",IF(IF(Q54&lt;&gt;"",Q54,R54)="Stage-A non-admissible - unpatchable for stated claim","stage_a_non_admissible_unpatchable_for_stated_claim",IF(IF(Q54&lt;&gt;"",Q54,R54)="Indeterminate - insufficient evidence","indeterminate_insufficient_evidence",IF(IF(Q54&lt;&gt;"",Q54,R54)="Protocol refusal to evaluate","protocol_refusal_to_evaluate",IF(IF(Q54&lt;&gt;"",Q54,R54)="Out of scope","out_of_scope",IF(IF(Q54&lt;&gt;"",Q54,R54)="Withdrawn","withdrawn",IF(IF(Q54&lt;&gt;"",Q54,R54)="Not reviewed","not_reviewed","unknown_status"))))))))))</f>
        <v/>
      </c>
      <c r="AG54" s="277">
        <f>IF(AND(AF54="",T54=""),"",IF(AND(AF54&lt;&gt;"",ISNUMBER(SEARCH("token="&amp;AF54&amp;";",T54)),ISNUMBER(SEARCH(AK54,T54)),ISNUMBER(SEARCH("CL basis="&amp;AL54&amp;";",T54))),"VALID","INVALID_OR_INCOMPLETE"))</f>
        <v/>
      </c>
      <c r="AH54" s="303">
        <f>COUNTIF(K54:P54,"Adequate for scope")</f>
        <v/>
      </c>
      <c r="AI54" s="303">
        <f>IF(COUNTA(K54:P54)=0,"",IF(AA54+AB54+AC54+AD54+AH54=6,"OK","UNRECOGNISED_VALUE"))</f>
        <v/>
      </c>
      <c r="AJ54" s="303" t="n"/>
      <c r="AK54" s="303">
        <f>IF(A54="","",Vocabulary!$B$5)</f>
        <v/>
      </c>
      <c r="AL54" s="303">
        <f>IF(A54="","",Vocabulary!$B$6)</f>
        <v/>
      </c>
      <c r="AM54" s="303">
        <f>IF(AJ54="","OK",IF(COUNTIF(Vocabulary!$O$5:$O$8,AJ54)=1,"OK","UNRECOGNISED_ADMIN_DISPOSITION"))</f>
        <v/>
      </c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56" t="n"/>
      <c r="I55" s="356" t="n"/>
      <c r="J55" s="356" t="n"/>
      <c r="K55" s="356" t="n"/>
      <c r="L55" s="356" t="n"/>
      <c r="M55" s="356" t="n"/>
      <c r="N55" s="356" t="n"/>
      <c r="O55" s="356" t="n"/>
      <c r="P55" s="356" t="n"/>
      <c r="Q55" s="302">
        <f>IF(AE55="","",IF(AE55="ADMIN_DISPOSITION",AJ55,IF(OR(AE55="ADMIN_INCOMPLETE",AE55="ADMIN_INVALID",AE55="BURDEN_NOT_FEASIBLE",AE55="UNRECOGNISED_VALUE",AE55="UNRECOGNISED_ADMIN_DISPOSITION"),"Protocol refusal to evaluate",IF(AA55&gt;0,"Stage-A non-admissible - unpatchable for stated claim",IF(AB55&gt;0,"Stage-A non-admissible - patchable",IF(OR(J55="Yes",I55="Indeterminate",AC55&gt;0),"Indeterminate - insufficient evidence",IF(AND(AH55=6,AD55=0),"Stage-A admissible - scoped",IF(AND(AH55+AD55=6,AD55&gt;0),"Stage-A admissible - scoped, control-dependent","Protocol refusal to evaluate"))))))))</f>
        <v/>
      </c>
      <c r="R55" s="356" t="n"/>
      <c r="S55" s="302">
        <f>IF(AND(Q55="",R55=""),"",IF(AND(Q55&lt;&gt;"",R55=""),"UNRECORDED",IF(AND(Q55="",R55&lt;&gt;""),"ORPHAN_RECORDED",IF(Q55=R55,"MATCH","MISMATCH"))))</f>
        <v/>
      </c>
      <c r="T55" s="356" t="n"/>
      <c r="U55" s="356" t="n"/>
      <c r="V55" s="356" t="n"/>
      <c r="W55" s="356" t="n"/>
      <c r="X55" s="356" t="n"/>
      <c r="Y55" s="356" t="n"/>
      <c r="Z55" s="103" t="n"/>
      <c r="AA55" s="195">
        <f>COUNTIF(K55:P55,"Material defect - unpatchable for stated claim")</f>
        <v/>
      </c>
      <c r="AB55" s="302">
        <f>COUNTIF(K55:P55,"Material defect - patchable")</f>
        <v/>
      </c>
      <c r="AC55" s="302">
        <f>COUNTIF(K55:P55,"Indeterminate")+COUNTIF(K55:P55,"Not reviewed")</f>
        <v/>
      </c>
      <c r="AD55" s="302">
        <f>COUNTIF(K55:P55,"Adequate - control-dependent")</f>
        <v/>
      </c>
      <c r="AE55" s="111">
        <f>IF(COUNTA(A55:P55)+COUNTA(AJ55)=0,"",IF(AM55&lt;&gt;"OK","UNRECOGNISED_ADMIN_DISPOSITION",IF(AND(AJ55&lt;&gt;"",AJ55&lt;&gt;"None"),IF(OR(LEN(TRIM(A55))=0,LEN(TRIM(B55))=0,LEN(TRIM(C55))=0,LEN(TRIM(F55))=0),"ADMIN_INCOMPLETE","ADMIN_DISPOSITION"),IF(OR(LEN(TRIM(A55))=0,LEN(TRIM(B55))=0,LEN(TRIM(C55))=0,LEN(TRIM(D55))=0,LEN(TRIM(E55))=0,LEN(TRIM(F55))=0,LEN(TRIM(G55))=0,LEN(TRIM(H55))=0,LEN(TRIM(I55))=0,LEN(TRIM(J55))=0,LEN(TRIM(K55))=0,LEN(TRIM(L55))=0,LEN(TRIM(M55))=0,LEN(TRIM(N55))=0,LEN(TRIM(O55))=0,LEN(TRIM(P55))=0),"ADMIN_INCOMPLETE",IF(H55&lt;&gt;"Yes","ADMIN_INVALID",IF(I55="Not feasible","BURDEN_NOT_FEASIBLE",IF(AI55&lt;&gt;"OK","UNRECOGNISED_VALUE","CLEAR")))))))</f>
        <v/>
      </c>
      <c r="AF55" s="276">
        <f>IF(AND(Q55="",R55=""),"",IF(IF(Q55&lt;&gt;"",Q55,R55)="Stage-A admissible - scoped","stage_a_admissible_scoped",IF(IF(Q55&lt;&gt;"",Q55,R55)="Stage-A admissible - scoped, control-dependent","stage_a_admissible_scoped_control_dependent",IF(IF(Q55&lt;&gt;"",Q55,R55)="Stage-A non-admissible - patchable","stage_a_non_admissible_patchable",IF(IF(Q55&lt;&gt;"",Q55,R55)="Stage-A non-admissible - unpatchable for stated claim","stage_a_non_admissible_unpatchable_for_stated_claim",IF(IF(Q55&lt;&gt;"",Q55,R55)="Indeterminate - insufficient evidence","indeterminate_insufficient_evidence",IF(IF(Q55&lt;&gt;"",Q55,R55)="Protocol refusal to evaluate","protocol_refusal_to_evaluate",IF(IF(Q55&lt;&gt;"",Q55,R55)="Out of scope","out_of_scope",IF(IF(Q55&lt;&gt;"",Q55,R55)="Withdrawn","withdrawn",IF(IF(Q55&lt;&gt;"",Q55,R55)="Not reviewed","not_reviewed","unknown_status"))))))))))</f>
        <v/>
      </c>
      <c r="AG55" s="277">
        <f>IF(AND(AF55="",T55=""),"",IF(AND(AF55&lt;&gt;"",ISNUMBER(SEARCH("token="&amp;AF55&amp;";",T55)),ISNUMBER(SEARCH(AK55,T55)),ISNUMBER(SEARCH("CL basis="&amp;AL55&amp;";",T55))),"VALID","INVALID_OR_INCOMPLETE"))</f>
        <v/>
      </c>
      <c r="AH55" s="303">
        <f>COUNTIF(K55:P55,"Adequate for scope")</f>
        <v/>
      </c>
      <c r="AI55" s="303">
        <f>IF(COUNTA(K55:P55)=0,"",IF(AA55+AB55+AC55+AD55+AH55=6,"OK","UNRECOGNISED_VALUE"))</f>
        <v/>
      </c>
      <c r="AJ55" s="303" t="n"/>
      <c r="AK55" s="303">
        <f>IF(A55="","",Vocabulary!$B$5)</f>
        <v/>
      </c>
      <c r="AL55" s="303">
        <f>IF(A55="","",Vocabulary!$B$6)</f>
        <v/>
      </c>
      <c r="AM55" s="303">
        <f>IF(AJ55="","OK",IF(COUNTIF(Vocabulary!$O$5:$O$8,AJ55)=1,"OK","UNRECOGNISED_ADMIN_DISPOSITION"))</f>
        <v/>
      </c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356" t="n"/>
      <c r="N56" s="356" t="n"/>
      <c r="O56" s="356" t="n"/>
      <c r="P56" s="356" t="n"/>
      <c r="Q56" s="302">
        <f>IF(AE56="","",IF(AE56="ADMIN_DISPOSITION",AJ56,IF(OR(AE56="ADMIN_INCOMPLETE",AE56="ADMIN_INVALID",AE56="BURDEN_NOT_FEASIBLE",AE56="UNRECOGNISED_VALUE",AE56="UNRECOGNISED_ADMIN_DISPOSITION"),"Protocol refusal to evaluate",IF(AA56&gt;0,"Stage-A non-admissible - unpatchable for stated claim",IF(AB56&gt;0,"Stage-A non-admissible - patchable",IF(OR(J56="Yes",I56="Indeterminate",AC56&gt;0),"Indeterminate - insufficient evidence",IF(AND(AH56=6,AD56=0),"Stage-A admissible - scoped",IF(AND(AH56+AD56=6,AD56&gt;0),"Stage-A admissible - scoped, control-dependent","Protocol refusal to evaluate"))))))))</f>
        <v/>
      </c>
      <c r="R56" s="356" t="n"/>
      <c r="S56" s="302">
        <f>IF(AND(Q56="",R56=""),"",IF(AND(Q56&lt;&gt;"",R56=""),"UNRECORDED",IF(AND(Q56="",R56&lt;&gt;""),"ORPHAN_RECORDED",IF(Q56=R56,"MATCH","MISMATCH"))))</f>
        <v/>
      </c>
      <c r="T56" s="356" t="n"/>
      <c r="U56" s="356" t="n"/>
      <c r="V56" s="356" t="n"/>
      <c r="W56" s="356" t="n"/>
      <c r="X56" s="356" t="n"/>
      <c r="Y56" s="356" t="n"/>
      <c r="Z56" s="103" t="n"/>
      <c r="AA56" s="195">
        <f>COUNTIF(K56:P56,"Material defect - unpatchable for stated claim")</f>
        <v/>
      </c>
      <c r="AB56" s="302">
        <f>COUNTIF(K56:P56,"Material defect - patchable")</f>
        <v/>
      </c>
      <c r="AC56" s="302">
        <f>COUNTIF(K56:P56,"Indeterminate")+COUNTIF(K56:P56,"Not reviewed")</f>
        <v/>
      </c>
      <c r="AD56" s="302">
        <f>COUNTIF(K56:P56,"Adequate - control-dependent")</f>
        <v/>
      </c>
      <c r="AE56" s="111">
        <f>IF(COUNTA(A56:P56)+COUNTA(AJ56)=0,"",IF(AM56&lt;&gt;"OK","UNRECOGNISED_ADMIN_DISPOSITION",IF(AND(AJ56&lt;&gt;"",AJ56&lt;&gt;"None"),IF(OR(LEN(TRIM(A56))=0,LEN(TRIM(B56))=0,LEN(TRIM(C56))=0,LEN(TRIM(F56))=0),"ADMIN_INCOMPLETE","ADMIN_DISPOSITION"),IF(OR(LEN(TRIM(A56))=0,LEN(TRIM(B56))=0,LEN(TRIM(C56))=0,LEN(TRIM(D56))=0,LEN(TRIM(E56))=0,LEN(TRIM(F56))=0,LEN(TRIM(G56))=0,LEN(TRIM(H56))=0,LEN(TRIM(I56))=0,LEN(TRIM(J56))=0,LEN(TRIM(K56))=0,LEN(TRIM(L56))=0,LEN(TRIM(M56))=0,LEN(TRIM(N56))=0,LEN(TRIM(O56))=0,LEN(TRIM(P56))=0),"ADMIN_INCOMPLETE",IF(H56&lt;&gt;"Yes","ADMIN_INVALID",IF(I56="Not feasible","BURDEN_NOT_FEASIBLE",IF(AI56&lt;&gt;"OK","UNRECOGNISED_VALUE","CLEAR")))))))</f>
        <v/>
      </c>
      <c r="AF56" s="276">
        <f>IF(AND(Q56="",R56=""),"",IF(IF(Q56&lt;&gt;"",Q56,R56)="Stage-A admissible - scoped","stage_a_admissible_scoped",IF(IF(Q56&lt;&gt;"",Q56,R56)="Stage-A admissible - scoped, control-dependent","stage_a_admissible_scoped_control_dependent",IF(IF(Q56&lt;&gt;"",Q56,R56)="Stage-A non-admissible - patchable","stage_a_non_admissible_patchable",IF(IF(Q56&lt;&gt;"",Q56,R56)="Stage-A non-admissible - unpatchable for stated claim","stage_a_non_admissible_unpatchable_for_stated_claim",IF(IF(Q56&lt;&gt;"",Q56,R56)="Indeterminate - insufficient evidence","indeterminate_insufficient_evidence",IF(IF(Q56&lt;&gt;"",Q56,R56)="Protocol refusal to evaluate","protocol_refusal_to_evaluate",IF(IF(Q56&lt;&gt;"",Q56,R56)="Out of scope","out_of_scope",IF(IF(Q56&lt;&gt;"",Q56,R56)="Withdrawn","withdrawn",IF(IF(Q56&lt;&gt;"",Q56,R56)="Not reviewed","not_reviewed","unknown_status"))))))))))</f>
        <v/>
      </c>
      <c r="AG56" s="277">
        <f>IF(AND(AF56="",T56=""),"",IF(AND(AF56&lt;&gt;"",ISNUMBER(SEARCH("token="&amp;AF56&amp;";",T56)),ISNUMBER(SEARCH(AK56,T56)),ISNUMBER(SEARCH("CL basis="&amp;AL56&amp;";",T56))),"VALID","INVALID_OR_INCOMPLETE"))</f>
        <v/>
      </c>
      <c r="AH56" s="303">
        <f>COUNTIF(K56:P56,"Adequate for scope")</f>
        <v/>
      </c>
      <c r="AI56" s="303">
        <f>IF(COUNTA(K56:P56)=0,"",IF(AA56+AB56+AC56+AD56+AH56=6,"OK","UNRECOGNISED_VALUE"))</f>
        <v/>
      </c>
      <c r="AJ56" s="303" t="n"/>
      <c r="AK56" s="303">
        <f>IF(A56="","",Vocabulary!$B$5)</f>
        <v/>
      </c>
      <c r="AL56" s="303">
        <f>IF(A56="","",Vocabulary!$B$6)</f>
        <v/>
      </c>
      <c r="AM56" s="303">
        <f>IF(AJ56="","OK",IF(COUNTIF(Vocabulary!$O$5:$O$8,AJ56)=1,"OK","UNRECOGNISED_ADMIN_DISPOSITION"))</f>
        <v/>
      </c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56" t="n"/>
      <c r="I57" s="356" t="n"/>
      <c r="J57" s="356" t="n"/>
      <c r="K57" s="356" t="n"/>
      <c r="L57" s="356" t="n"/>
      <c r="M57" s="356" t="n"/>
      <c r="N57" s="356" t="n"/>
      <c r="O57" s="356" t="n"/>
      <c r="P57" s="356" t="n"/>
      <c r="Q57" s="302">
        <f>IF(AE57="","",IF(AE57="ADMIN_DISPOSITION",AJ57,IF(OR(AE57="ADMIN_INCOMPLETE",AE57="ADMIN_INVALID",AE57="BURDEN_NOT_FEASIBLE",AE57="UNRECOGNISED_VALUE",AE57="UNRECOGNISED_ADMIN_DISPOSITION"),"Protocol refusal to evaluate",IF(AA57&gt;0,"Stage-A non-admissible - unpatchable for stated claim",IF(AB57&gt;0,"Stage-A non-admissible - patchable",IF(OR(J57="Yes",I57="Indeterminate",AC57&gt;0),"Indeterminate - insufficient evidence",IF(AND(AH57=6,AD57=0),"Stage-A admissible - scoped",IF(AND(AH57+AD57=6,AD57&gt;0),"Stage-A admissible - scoped, control-dependent","Protocol refusal to evaluate"))))))))</f>
        <v/>
      </c>
      <c r="R57" s="356" t="n"/>
      <c r="S57" s="302">
        <f>IF(AND(Q57="",R57=""),"",IF(AND(Q57&lt;&gt;"",R57=""),"UNRECORDED",IF(AND(Q57="",R57&lt;&gt;""),"ORPHAN_RECORDED",IF(Q57=R57,"MATCH","MISMATCH"))))</f>
        <v/>
      </c>
      <c r="T57" s="356" t="n"/>
      <c r="U57" s="356" t="n"/>
      <c r="V57" s="356" t="n"/>
      <c r="W57" s="356" t="n"/>
      <c r="X57" s="356" t="n"/>
      <c r="Y57" s="356" t="n"/>
      <c r="Z57" s="103" t="n"/>
      <c r="AA57" s="195">
        <f>COUNTIF(K57:P57,"Material defect - unpatchable for stated claim")</f>
        <v/>
      </c>
      <c r="AB57" s="302">
        <f>COUNTIF(K57:P57,"Material defect - patchable")</f>
        <v/>
      </c>
      <c r="AC57" s="302">
        <f>COUNTIF(K57:P57,"Indeterminate")+COUNTIF(K57:P57,"Not reviewed")</f>
        <v/>
      </c>
      <c r="AD57" s="302">
        <f>COUNTIF(K57:P57,"Adequate - control-dependent")</f>
        <v/>
      </c>
      <c r="AE57" s="111">
        <f>IF(COUNTA(A57:P57)+COUNTA(AJ57)=0,"",IF(AM57&lt;&gt;"OK","UNRECOGNISED_ADMIN_DISPOSITION",IF(AND(AJ57&lt;&gt;"",AJ57&lt;&gt;"None"),IF(OR(LEN(TRIM(A57))=0,LEN(TRIM(B57))=0,LEN(TRIM(C57))=0,LEN(TRIM(F57))=0),"ADMIN_INCOMPLETE","ADMIN_DISPOSITION"),IF(OR(LEN(TRIM(A57))=0,LEN(TRIM(B57))=0,LEN(TRIM(C57))=0,LEN(TRIM(D57))=0,LEN(TRIM(E57))=0,LEN(TRIM(F57))=0,LEN(TRIM(G57))=0,LEN(TRIM(H57))=0,LEN(TRIM(I57))=0,LEN(TRIM(J57))=0,LEN(TRIM(K57))=0,LEN(TRIM(L57))=0,LEN(TRIM(M57))=0,LEN(TRIM(N57))=0,LEN(TRIM(O57))=0,LEN(TRIM(P57))=0),"ADMIN_INCOMPLETE",IF(H57&lt;&gt;"Yes","ADMIN_INVALID",IF(I57="Not feasible","BURDEN_NOT_FEASIBLE",IF(AI57&lt;&gt;"OK","UNRECOGNISED_VALUE","CLEAR")))))))</f>
        <v/>
      </c>
      <c r="AF57" s="276">
        <f>IF(AND(Q57="",R57=""),"",IF(IF(Q57&lt;&gt;"",Q57,R57)="Stage-A admissible - scoped","stage_a_admissible_scoped",IF(IF(Q57&lt;&gt;"",Q57,R57)="Stage-A admissible - scoped, control-dependent","stage_a_admissible_scoped_control_dependent",IF(IF(Q57&lt;&gt;"",Q57,R57)="Stage-A non-admissible - patchable","stage_a_non_admissible_patchable",IF(IF(Q57&lt;&gt;"",Q57,R57)="Stage-A non-admissible - unpatchable for stated claim","stage_a_non_admissible_unpatchable_for_stated_claim",IF(IF(Q57&lt;&gt;"",Q57,R57)="Indeterminate - insufficient evidence","indeterminate_insufficient_evidence",IF(IF(Q57&lt;&gt;"",Q57,R57)="Protocol refusal to evaluate","protocol_refusal_to_evaluate",IF(IF(Q57&lt;&gt;"",Q57,R57)="Out of scope","out_of_scope",IF(IF(Q57&lt;&gt;"",Q57,R57)="Withdrawn","withdrawn",IF(IF(Q57&lt;&gt;"",Q57,R57)="Not reviewed","not_reviewed","unknown_status"))))))))))</f>
        <v/>
      </c>
      <c r="AG57" s="277">
        <f>IF(AND(AF57="",T57=""),"",IF(AND(AF57&lt;&gt;"",ISNUMBER(SEARCH("token="&amp;AF57&amp;";",T57)),ISNUMBER(SEARCH(AK57,T57)),ISNUMBER(SEARCH("CL basis="&amp;AL57&amp;";",T57))),"VALID","INVALID_OR_INCOMPLETE"))</f>
        <v/>
      </c>
      <c r="AH57" s="303">
        <f>COUNTIF(K57:P57,"Adequate for scope")</f>
        <v/>
      </c>
      <c r="AI57" s="303">
        <f>IF(COUNTA(K57:P57)=0,"",IF(AA57+AB57+AC57+AD57+AH57=6,"OK","UNRECOGNISED_VALUE"))</f>
        <v/>
      </c>
      <c r="AJ57" s="303" t="n"/>
      <c r="AK57" s="303">
        <f>IF(A57="","",Vocabulary!$B$5)</f>
        <v/>
      </c>
      <c r="AL57" s="303">
        <f>IF(A57="","",Vocabulary!$B$6)</f>
        <v/>
      </c>
      <c r="AM57" s="303">
        <f>IF(AJ57="","OK",IF(COUNTIF(Vocabulary!$O$5:$O$8,AJ57)=1,"OK","UNRECOGNISED_ADMIN_DISPOSITION"))</f>
        <v/>
      </c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356" t="n"/>
      <c r="N58" s="356" t="n"/>
      <c r="O58" s="356" t="n"/>
      <c r="P58" s="356" t="n"/>
      <c r="Q58" s="302">
        <f>IF(AE58="","",IF(AE58="ADMIN_DISPOSITION",AJ58,IF(OR(AE58="ADMIN_INCOMPLETE",AE58="ADMIN_INVALID",AE58="BURDEN_NOT_FEASIBLE",AE58="UNRECOGNISED_VALUE",AE58="UNRECOGNISED_ADMIN_DISPOSITION"),"Protocol refusal to evaluate",IF(AA58&gt;0,"Stage-A non-admissible - unpatchable for stated claim",IF(AB58&gt;0,"Stage-A non-admissible - patchable",IF(OR(J58="Yes",I58="Indeterminate",AC58&gt;0),"Indeterminate - insufficient evidence",IF(AND(AH58=6,AD58=0),"Stage-A admissible - scoped",IF(AND(AH58+AD58=6,AD58&gt;0),"Stage-A admissible - scoped, control-dependent","Protocol refusal to evaluate"))))))))</f>
        <v/>
      </c>
      <c r="R58" s="356" t="n"/>
      <c r="S58" s="302">
        <f>IF(AND(Q58="",R58=""),"",IF(AND(Q58&lt;&gt;"",R58=""),"UNRECORDED",IF(AND(Q58="",R58&lt;&gt;""),"ORPHAN_RECORDED",IF(Q58=R58,"MATCH","MISMATCH"))))</f>
        <v/>
      </c>
      <c r="T58" s="356" t="n"/>
      <c r="U58" s="356" t="n"/>
      <c r="V58" s="356" t="n"/>
      <c r="W58" s="356" t="n"/>
      <c r="X58" s="356" t="n"/>
      <c r="Y58" s="356" t="n"/>
      <c r="Z58" s="103" t="n"/>
      <c r="AA58" s="195">
        <f>COUNTIF(K58:P58,"Material defect - unpatchable for stated claim")</f>
        <v/>
      </c>
      <c r="AB58" s="302">
        <f>COUNTIF(K58:P58,"Material defect - patchable")</f>
        <v/>
      </c>
      <c r="AC58" s="302">
        <f>COUNTIF(K58:P58,"Indeterminate")+COUNTIF(K58:P58,"Not reviewed")</f>
        <v/>
      </c>
      <c r="AD58" s="302">
        <f>COUNTIF(K58:P58,"Adequate - control-dependent")</f>
        <v/>
      </c>
      <c r="AE58" s="111">
        <f>IF(COUNTA(A58:P58)+COUNTA(AJ58)=0,"",IF(AM58&lt;&gt;"OK","UNRECOGNISED_ADMIN_DISPOSITION",IF(AND(AJ58&lt;&gt;"",AJ58&lt;&gt;"None"),IF(OR(LEN(TRIM(A58))=0,LEN(TRIM(B58))=0,LEN(TRIM(C58))=0,LEN(TRIM(F58))=0),"ADMIN_INCOMPLETE","ADMIN_DISPOSITION"),IF(OR(LEN(TRIM(A58))=0,LEN(TRIM(B58))=0,LEN(TRIM(C58))=0,LEN(TRIM(D58))=0,LEN(TRIM(E58))=0,LEN(TRIM(F58))=0,LEN(TRIM(G58))=0,LEN(TRIM(H58))=0,LEN(TRIM(I58))=0,LEN(TRIM(J58))=0,LEN(TRIM(K58))=0,LEN(TRIM(L58))=0,LEN(TRIM(M58))=0,LEN(TRIM(N58))=0,LEN(TRIM(O58))=0,LEN(TRIM(P58))=0),"ADMIN_INCOMPLETE",IF(H58&lt;&gt;"Yes","ADMIN_INVALID",IF(I58="Not feasible","BURDEN_NOT_FEASIBLE",IF(AI58&lt;&gt;"OK","UNRECOGNISED_VALUE","CLEAR")))))))</f>
        <v/>
      </c>
      <c r="AF58" s="276">
        <f>IF(AND(Q58="",R58=""),"",IF(IF(Q58&lt;&gt;"",Q58,R58)="Stage-A admissible - scoped","stage_a_admissible_scoped",IF(IF(Q58&lt;&gt;"",Q58,R58)="Stage-A admissible - scoped, control-dependent","stage_a_admissible_scoped_control_dependent",IF(IF(Q58&lt;&gt;"",Q58,R58)="Stage-A non-admissible - patchable","stage_a_non_admissible_patchable",IF(IF(Q58&lt;&gt;"",Q58,R58)="Stage-A non-admissible - unpatchable for stated claim","stage_a_non_admissible_unpatchable_for_stated_claim",IF(IF(Q58&lt;&gt;"",Q58,R58)="Indeterminate - insufficient evidence","indeterminate_insufficient_evidence",IF(IF(Q58&lt;&gt;"",Q58,R58)="Protocol refusal to evaluate","protocol_refusal_to_evaluate",IF(IF(Q58&lt;&gt;"",Q58,R58)="Out of scope","out_of_scope",IF(IF(Q58&lt;&gt;"",Q58,R58)="Withdrawn","withdrawn",IF(IF(Q58&lt;&gt;"",Q58,R58)="Not reviewed","not_reviewed","unknown_status"))))))))))</f>
        <v/>
      </c>
      <c r="AG58" s="277">
        <f>IF(AND(AF58="",T58=""),"",IF(AND(AF58&lt;&gt;"",ISNUMBER(SEARCH("token="&amp;AF58&amp;";",T58)),ISNUMBER(SEARCH(AK58,T58)),ISNUMBER(SEARCH("CL basis="&amp;AL58&amp;";",T58))),"VALID","INVALID_OR_INCOMPLETE"))</f>
        <v/>
      </c>
      <c r="AH58" s="303">
        <f>COUNTIF(K58:P58,"Adequate for scope")</f>
        <v/>
      </c>
      <c r="AI58" s="303">
        <f>IF(COUNTA(K58:P58)=0,"",IF(AA58+AB58+AC58+AD58+AH58=6,"OK","UNRECOGNISED_VALUE"))</f>
        <v/>
      </c>
      <c r="AJ58" s="303" t="n"/>
      <c r="AK58" s="303">
        <f>IF(A58="","",Vocabulary!$B$5)</f>
        <v/>
      </c>
      <c r="AL58" s="303">
        <f>IF(A58="","",Vocabulary!$B$6)</f>
        <v/>
      </c>
      <c r="AM58" s="303">
        <f>IF(AJ58="","OK",IF(COUNTIF(Vocabulary!$O$5:$O$8,AJ58)=1,"OK","UNRECOGNISED_ADMIN_DISPOSITION"))</f>
        <v/>
      </c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56" t="n"/>
      <c r="I59" s="356" t="n"/>
      <c r="J59" s="356" t="n"/>
      <c r="K59" s="356" t="n"/>
      <c r="L59" s="356" t="n"/>
      <c r="M59" s="356" t="n"/>
      <c r="N59" s="356" t="n"/>
      <c r="O59" s="356" t="n"/>
      <c r="P59" s="356" t="n"/>
      <c r="Q59" s="302">
        <f>IF(AE59="","",IF(AE59="ADMIN_DISPOSITION",AJ59,IF(OR(AE59="ADMIN_INCOMPLETE",AE59="ADMIN_INVALID",AE59="BURDEN_NOT_FEASIBLE",AE59="UNRECOGNISED_VALUE",AE59="UNRECOGNISED_ADMIN_DISPOSITION"),"Protocol refusal to evaluate",IF(AA59&gt;0,"Stage-A non-admissible - unpatchable for stated claim",IF(AB59&gt;0,"Stage-A non-admissible - patchable",IF(OR(J59="Yes",I59="Indeterminate",AC59&gt;0),"Indeterminate - insufficient evidence",IF(AND(AH59=6,AD59=0),"Stage-A admissible - scoped",IF(AND(AH59+AD59=6,AD59&gt;0),"Stage-A admissible - scoped, control-dependent","Protocol refusal to evaluate"))))))))</f>
        <v/>
      </c>
      <c r="R59" s="356" t="n"/>
      <c r="S59" s="302">
        <f>IF(AND(Q59="",R59=""),"",IF(AND(Q59&lt;&gt;"",R59=""),"UNRECORDED",IF(AND(Q59="",R59&lt;&gt;""),"ORPHAN_RECORDED",IF(Q59=R59,"MATCH","MISMATCH"))))</f>
        <v/>
      </c>
      <c r="T59" s="356" t="n"/>
      <c r="U59" s="356" t="n"/>
      <c r="V59" s="356" t="n"/>
      <c r="W59" s="356" t="n"/>
      <c r="X59" s="356" t="n"/>
      <c r="Y59" s="356" t="n"/>
      <c r="Z59" s="103" t="n"/>
      <c r="AA59" s="195">
        <f>COUNTIF(K59:P59,"Material defect - unpatchable for stated claim")</f>
        <v/>
      </c>
      <c r="AB59" s="302">
        <f>COUNTIF(K59:P59,"Material defect - patchable")</f>
        <v/>
      </c>
      <c r="AC59" s="302">
        <f>COUNTIF(K59:P59,"Indeterminate")+COUNTIF(K59:P59,"Not reviewed")</f>
        <v/>
      </c>
      <c r="AD59" s="302">
        <f>COUNTIF(K59:P59,"Adequate - control-dependent")</f>
        <v/>
      </c>
      <c r="AE59" s="111">
        <f>IF(COUNTA(A59:P59)+COUNTA(AJ59)=0,"",IF(AM59&lt;&gt;"OK","UNRECOGNISED_ADMIN_DISPOSITION",IF(AND(AJ59&lt;&gt;"",AJ59&lt;&gt;"None"),IF(OR(LEN(TRIM(A59))=0,LEN(TRIM(B59))=0,LEN(TRIM(C59))=0,LEN(TRIM(F59))=0),"ADMIN_INCOMPLETE","ADMIN_DISPOSITION"),IF(OR(LEN(TRIM(A59))=0,LEN(TRIM(B59))=0,LEN(TRIM(C59))=0,LEN(TRIM(D59))=0,LEN(TRIM(E59))=0,LEN(TRIM(F59))=0,LEN(TRIM(G59))=0,LEN(TRIM(H59))=0,LEN(TRIM(I59))=0,LEN(TRIM(J59))=0,LEN(TRIM(K59))=0,LEN(TRIM(L59))=0,LEN(TRIM(M59))=0,LEN(TRIM(N59))=0,LEN(TRIM(O59))=0,LEN(TRIM(P59))=0),"ADMIN_INCOMPLETE",IF(H59&lt;&gt;"Yes","ADMIN_INVALID",IF(I59="Not feasible","BURDEN_NOT_FEASIBLE",IF(AI59&lt;&gt;"OK","UNRECOGNISED_VALUE","CLEAR")))))))</f>
        <v/>
      </c>
      <c r="AF59" s="276">
        <f>IF(AND(Q59="",R59=""),"",IF(IF(Q59&lt;&gt;"",Q59,R59)="Stage-A admissible - scoped","stage_a_admissible_scoped",IF(IF(Q59&lt;&gt;"",Q59,R59)="Stage-A admissible - scoped, control-dependent","stage_a_admissible_scoped_control_dependent",IF(IF(Q59&lt;&gt;"",Q59,R59)="Stage-A non-admissible - patchable","stage_a_non_admissible_patchable",IF(IF(Q59&lt;&gt;"",Q59,R59)="Stage-A non-admissible - unpatchable for stated claim","stage_a_non_admissible_unpatchable_for_stated_claim",IF(IF(Q59&lt;&gt;"",Q59,R59)="Indeterminate - insufficient evidence","indeterminate_insufficient_evidence",IF(IF(Q59&lt;&gt;"",Q59,R59)="Protocol refusal to evaluate","protocol_refusal_to_evaluate",IF(IF(Q59&lt;&gt;"",Q59,R59)="Out of scope","out_of_scope",IF(IF(Q59&lt;&gt;"",Q59,R59)="Withdrawn","withdrawn",IF(IF(Q59&lt;&gt;"",Q59,R59)="Not reviewed","not_reviewed","unknown_status"))))))))))</f>
        <v/>
      </c>
      <c r="AG59" s="277">
        <f>IF(AND(AF59="",T59=""),"",IF(AND(AF59&lt;&gt;"",ISNUMBER(SEARCH("token="&amp;AF59&amp;";",T59)),ISNUMBER(SEARCH(AK59,T59)),ISNUMBER(SEARCH("CL basis="&amp;AL59&amp;";",T59))),"VALID","INVALID_OR_INCOMPLETE"))</f>
        <v/>
      </c>
      <c r="AH59" s="303">
        <f>COUNTIF(K59:P59,"Adequate for scope")</f>
        <v/>
      </c>
      <c r="AI59" s="303">
        <f>IF(COUNTA(K59:P59)=0,"",IF(AA59+AB59+AC59+AD59+AH59=6,"OK","UNRECOGNISED_VALUE"))</f>
        <v/>
      </c>
      <c r="AJ59" s="303" t="n"/>
      <c r="AK59" s="303">
        <f>IF(A59="","",Vocabulary!$B$5)</f>
        <v/>
      </c>
      <c r="AL59" s="303">
        <f>IF(A59="","",Vocabulary!$B$6)</f>
        <v/>
      </c>
      <c r="AM59" s="303">
        <f>IF(AJ59="","OK",IF(COUNTIF(Vocabulary!$O$5:$O$8,AJ59)=1,"OK","UNRECOGNISED_ADMIN_DISPOSITION"))</f>
        <v/>
      </c>
    </row>
    <row r="60">
      <c r="A60" s="83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96">
        <f>IF(AE60="","",IF(AE60="ADMIN_DISPOSITION",AJ60,IF(OR(AE60="ADMIN_INCOMPLETE",AE60="ADMIN_INVALID",AE60="BURDEN_NOT_FEASIBLE",AE60="UNRECOGNISED_VALUE",AE60="UNRECOGNISED_ADMIN_DISPOSITION"),"Protocol refusal to evaluate",IF(AA60&gt;0,"Stage-A non-admissible - unpatchable for stated claim",IF(AB60&gt;0,"Stage-A non-admissible - patchable",IF(OR(J60="Yes",I60="Indeterminate",AC60&gt;0),"Indeterminate - insufficient evidence",IF(AND(AH60=6,AD60=0),"Stage-A admissible - scoped",IF(AND(AH60+AD60=6,AD60&gt;0),"Stage-A admissible - scoped, control-dependent","Protocol refusal to evaluate"))))))))</f>
        <v/>
      </c>
      <c r="R60" s="84" t="n"/>
      <c r="S60" s="96">
        <f>IF(AND(Q60="",R60=""),"",IF(AND(Q60&lt;&gt;"",R60=""),"UNRECORDED",IF(AND(Q60="",R60&lt;&gt;""),"ORPHAN_RECORDED",IF(Q60=R60,"MATCH","MISMATCH"))))</f>
        <v/>
      </c>
      <c r="T60" s="84" t="n"/>
      <c r="U60" s="84" t="n"/>
      <c r="V60" s="84" t="n"/>
      <c r="W60" s="84" t="n"/>
      <c r="X60" s="84" t="n"/>
      <c r="Y60" s="84" t="n"/>
      <c r="Z60" s="104" t="n"/>
      <c r="AA60" s="196">
        <f>COUNTIF(K60:P60,"Material defect - unpatchable for stated claim")</f>
        <v/>
      </c>
      <c r="AB60" s="96">
        <f>COUNTIF(K60:P60,"Material defect - patchable")</f>
        <v/>
      </c>
      <c r="AC60" s="96">
        <f>COUNTIF(K60:P60,"Indeterminate")+COUNTIF(K60:P60,"Not reviewed")</f>
        <v/>
      </c>
      <c r="AD60" s="96">
        <f>COUNTIF(K60:P60,"Adequate - control-dependent")</f>
        <v/>
      </c>
      <c r="AE60" s="112">
        <f>IF(COUNTA(A60:P60)+COUNTA(AJ60)=0,"",IF(AM60&lt;&gt;"OK","UNRECOGNISED_ADMIN_DISPOSITION",IF(AND(AJ60&lt;&gt;"",AJ60&lt;&gt;"None"),IF(OR(LEN(TRIM(A60))=0,LEN(TRIM(B60))=0,LEN(TRIM(C60))=0,LEN(TRIM(F60))=0),"ADMIN_INCOMPLETE","ADMIN_DISPOSITION"),IF(OR(LEN(TRIM(A60))=0,LEN(TRIM(B60))=0,LEN(TRIM(C60))=0,LEN(TRIM(D60))=0,LEN(TRIM(E60))=0,LEN(TRIM(F60))=0,LEN(TRIM(G60))=0,LEN(TRIM(H60))=0,LEN(TRIM(I60))=0,LEN(TRIM(J60))=0,LEN(TRIM(K60))=0,LEN(TRIM(L60))=0,LEN(TRIM(M60))=0,LEN(TRIM(N60))=0,LEN(TRIM(O60))=0,LEN(TRIM(P60))=0),"ADMIN_INCOMPLETE",IF(H60&lt;&gt;"Yes","ADMIN_INVALID",IF(I60="Not feasible","BURDEN_NOT_FEASIBLE",IF(AI60&lt;&gt;"OK","UNRECOGNISED_VALUE","CLEAR")))))))</f>
        <v/>
      </c>
      <c r="AF60" s="278">
        <f>IF(AND(Q60="",R60=""),"",IF(IF(Q60&lt;&gt;"",Q60,R60)="Stage-A admissible - scoped","stage_a_admissible_scoped",IF(IF(Q60&lt;&gt;"",Q60,R60)="Stage-A admissible - scoped, control-dependent","stage_a_admissible_scoped_control_dependent",IF(IF(Q60&lt;&gt;"",Q60,R60)="Stage-A non-admissible - patchable","stage_a_non_admissible_patchable",IF(IF(Q60&lt;&gt;"",Q60,R60)="Stage-A non-admissible - unpatchable for stated claim","stage_a_non_admissible_unpatchable_for_stated_claim",IF(IF(Q60&lt;&gt;"",Q60,R60)="Indeterminate - insufficient evidence","indeterminate_insufficient_evidence",IF(IF(Q60&lt;&gt;"",Q60,R60)="Protocol refusal to evaluate","protocol_refusal_to_evaluate",IF(IF(Q60&lt;&gt;"",Q60,R60)="Out of scope","out_of_scope",IF(IF(Q60&lt;&gt;"",Q60,R60)="Withdrawn","withdrawn",IF(IF(Q60&lt;&gt;"",Q60,R60)="Not reviewed","not_reviewed","unknown_status"))))))))))</f>
        <v/>
      </c>
      <c r="AG60" s="279">
        <f>IF(AND(AF60="",T60=""),"",IF(AND(AF60&lt;&gt;"",ISNUMBER(SEARCH("token="&amp;AF60&amp;";",T60)),ISNUMBER(SEARCH(AK60,T60)),ISNUMBER(SEARCH("CL basis="&amp;AL60&amp;";",T60))),"VALID","INVALID_OR_INCOMPLETE"))</f>
        <v/>
      </c>
      <c r="AH60" s="303">
        <f>COUNTIF(K60:P60,"Adequate for scope")</f>
        <v/>
      </c>
      <c r="AI60" s="303">
        <f>IF(COUNTA(K60:P60)=0,"",IF(AA60+AB60+AC60+AD60+AH60=6,"OK","UNRECOGNISED_VALUE"))</f>
        <v/>
      </c>
      <c r="AJ60" s="303" t="n"/>
      <c r="AK60" s="303">
        <f>IF(A60="","",Vocabulary!$B$5)</f>
        <v/>
      </c>
      <c r="AL60" s="303">
        <f>IF(A60="","",Vocabulary!$B$6)</f>
        <v/>
      </c>
      <c r="AM60" s="303">
        <f>IF(AJ60="","OK",IF(COUNTIF(Vocabulary!$O$5:$O$8,AJ60)=1,"OK","UNRECOGNISED_ADMIN_DISPOSITION"))</f>
        <v/>
      </c>
    </row>
    <row r="61">
      <c r="Q61">
        <f>IF(AE61="","",IF(AE61="ADMIN_DISPOSITION",AJ61,IF(OR(AE61="ADMIN_INCOMPLETE",AE61="ADMIN_INVALID",AE61="BURDEN_NOT_FEASIBLE",AE61="UNRECOGNISED_VALUE",AE61="UNRECOGNISED_ADMIN_DISPOSITION"),"Protocol refusal to evaluate",IF(AA61&gt;0,"Stage-A non-admissible - unpatchable for stated claim",IF(AB61&gt;0,"Stage-A non-admissible - patchable",IF(OR(J61="Yes",I61="Indeterminate",AC61&gt;0),"Indeterminate - insufficient evidence",IF(AND(AH61=6,AD61=0),"Stage-A admissible - scoped",IF(AND(AH61+AD61=6,AD61&gt;0),"Stage-A admissible - scoped, control-dependent","Protocol refusal to evaluate"))))))))</f>
        <v/>
      </c>
      <c r="S61">
        <f>IF(AND(Q61="",R61=""),"",IF(AND(Q61&lt;&gt;"",R61=""),"UNRECORDED",IF(AND(Q61="",R61&lt;&gt;""),"ORPHAN_RECORDED",IF(Q61=R61,"MATCH","MISMATCH"))))</f>
        <v/>
      </c>
      <c r="AA61">
        <f>COUNTIF(K61:P61,"Material defect - unpatchable for stated claim")</f>
        <v/>
      </c>
      <c r="AB61">
        <f>COUNTIF(K61:P61,"Material defect - patchable")</f>
        <v/>
      </c>
      <c r="AC61">
        <f>COUNTIF(K61:P61,"Indeterminate")+COUNTIF(K61:P61,"Not reviewed")</f>
        <v/>
      </c>
      <c r="AD61">
        <f>COUNTIF(K61:P61,"Adequate - control-dependent")</f>
        <v/>
      </c>
      <c r="AE61">
        <f>IF(COUNTA(A61:P61)+COUNTA(AJ61)=0,"",IF(AM61&lt;&gt;"OK","UNRECOGNISED_ADMIN_DISPOSITION",IF(AND(AJ61&lt;&gt;"",AJ61&lt;&gt;"None"),IF(OR(LEN(TRIM(A61))=0,LEN(TRIM(B61))=0,LEN(TRIM(C61))=0,LEN(TRIM(F61))=0),"ADMIN_INCOMPLETE","ADMIN_DISPOSITION"),IF(OR(LEN(TRIM(A61))=0,LEN(TRIM(B61))=0,LEN(TRIM(C61))=0,LEN(TRIM(D61))=0,LEN(TRIM(E61))=0,LEN(TRIM(F61))=0,LEN(TRIM(G61))=0,LEN(TRIM(H61))=0,LEN(TRIM(I61))=0,LEN(TRIM(J61))=0,LEN(TRIM(K61))=0,LEN(TRIM(L61))=0,LEN(TRIM(M61))=0,LEN(TRIM(N61))=0,LEN(TRIM(O61))=0,LEN(TRIM(P61))=0),"ADMIN_INCOMPLETE",IF(H61&lt;&gt;"Yes","ADMIN_INVALID",IF(I61="Not feasible","BURDEN_NOT_FEASIBLE",IF(AI61&lt;&gt;"OK","UNRECOGNISED_VALUE","CLEAR")))))))</f>
        <v/>
      </c>
      <c r="AF61">
        <f>IF(AND(Q61="",R61=""),"",IF(IF(Q61&lt;&gt;"",Q61,R61)="Stage-A admissible - scoped","stage_a_admissible_scoped",IF(IF(Q61&lt;&gt;"",Q61,R61)="Stage-A admissible - scoped, control-dependent","stage_a_admissible_scoped_control_dependent",IF(IF(Q61&lt;&gt;"",Q61,R61)="Stage-A non-admissible - patchable","stage_a_non_admissible_patchable",IF(IF(Q61&lt;&gt;"",Q61,R61)="Stage-A non-admissible - unpatchable for stated claim","stage_a_non_admissible_unpatchable_for_stated_claim",IF(IF(Q61&lt;&gt;"",Q61,R61)="Indeterminate - insufficient evidence","indeterminate_insufficient_evidence",IF(IF(Q61&lt;&gt;"",Q61,R61)="Protocol refusal to evaluate","protocol_refusal_to_evaluate",IF(IF(Q61&lt;&gt;"",Q61,R61)="Out of scope","out_of_scope",IF(IF(Q61&lt;&gt;"",Q61,R61)="Withdrawn","withdrawn",IF(IF(Q61&lt;&gt;"",Q61,R61)="Not reviewed","not_reviewed","unknown_status"))))))))))</f>
        <v/>
      </c>
      <c r="AG61">
        <f>IF(AND(AF61="",T61=""),"",IF(AND(AF61&lt;&gt;"",ISNUMBER(SEARCH("token="&amp;AF61&amp;";",T61)),ISNUMBER(SEARCH(AK61,T61)),ISNUMBER(SEARCH("CL basis="&amp;AL61&amp;";",T61))),"VALID","INVALID_OR_INCOMPLETE"))</f>
        <v/>
      </c>
      <c r="AH61">
        <f>COUNTIF(K61:P61,"Adequate for scope")</f>
        <v/>
      </c>
      <c r="AI61">
        <f>IF(COUNTA(K61:P61)=0,"",IF(AA61+AB61+AC61+AD61+AH61=6,"OK","UNRECOGNISED_VALUE"))</f>
        <v/>
      </c>
      <c r="AJ61" s="303" t="n"/>
      <c r="AK61" s="303">
        <f>IF(A61="","",Vocabulary!$B$5)</f>
        <v/>
      </c>
      <c r="AL61" s="303">
        <f>IF(A61="","",Vocabulary!$B$6)</f>
        <v/>
      </c>
      <c r="AM61" s="303">
        <f>IF(AJ61="","OK",IF(COUNTIF(Vocabulary!$O$5:$O$8,AJ61)=1,"OK","UNRECOGNISED_ADMIN_DISPOSITION"))</f>
        <v/>
      </c>
    </row>
    <row r="62">
      <c r="Q62">
        <f>IF(AE62="","",IF(AE62="ADMIN_DISPOSITION",AJ62,IF(OR(AE62="ADMIN_INCOMPLETE",AE62="ADMIN_INVALID",AE62="BURDEN_NOT_FEASIBLE",AE62="UNRECOGNISED_VALUE",AE62="UNRECOGNISED_ADMIN_DISPOSITION"),"Protocol refusal to evaluate",IF(AA62&gt;0,"Stage-A non-admissible - unpatchable for stated claim",IF(AB62&gt;0,"Stage-A non-admissible - patchable",IF(OR(J62="Yes",I62="Indeterminate",AC62&gt;0),"Indeterminate - insufficient evidence",IF(AND(AH62=6,AD62=0),"Stage-A admissible - scoped",IF(AND(AH62+AD62=6,AD62&gt;0),"Stage-A admissible - scoped, control-dependent","Protocol refusal to evaluate"))))))))</f>
        <v/>
      </c>
      <c r="S62">
        <f>IF(AND(Q62="",R62=""),"",IF(AND(Q62&lt;&gt;"",R62=""),"UNRECORDED",IF(AND(Q62="",R62&lt;&gt;""),"ORPHAN_RECORDED",IF(Q62=R62,"MATCH","MISMATCH"))))</f>
        <v/>
      </c>
      <c r="AA62">
        <f>COUNTIF(K62:P62,"Material defect - unpatchable for stated claim")</f>
        <v/>
      </c>
      <c r="AB62">
        <f>COUNTIF(K62:P62,"Material defect - patchable")</f>
        <v/>
      </c>
      <c r="AC62">
        <f>COUNTIF(K62:P62,"Indeterminate")+COUNTIF(K62:P62,"Not reviewed")</f>
        <v/>
      </c>
      <c r="AD62">
        <f>COUNTIF(K62:P62,"Adequate - control-dependent")</f>
        <v/>
      </c>
      <c r="AE62">
        <f>IF(COUNTA(A62:P62)+COUNTA(AJ62)=0,"",IF(AM62&lt;&gt;"OK","UNRECOGNISED_ADMIN_DISPOSITION",IF(AND(AJ62&lt;&gt;"",AJ62&lt;&gt;"None"),IF(OR(LEN(TRIM(A62))=0,LEN(TRIM(B62))=0,LEN(TRIM(C62))=0,LEN(TRIM(F62))=0),"ADMIN_INCOMPLETE","ADMIN_DISPOSITION"),IF(OR(LEN(TRIM(A62))=0,LEN(TRIM(B62))=0,LEN(TRIM(C62))=0,LEN(TRIM(D62))=0,LEN(TRIM(E62))=0,LEN(TRIM(F62))=0,LEN(TRIM(G62))=0,LEN(TRIM(H62))=0,LEN(TRIM(I62))=0,LEN(TRIM(J62))=0,LEN(TRIM(K62))=0,LEN(TRIM(L62))=0,LEN(TRIM(M62))=0,LEN(TRIM(N62))=0,LEN(TRIM(O62))=0,LEN(TRIM(P62))=0),"ADMIN_INCOMPLETE",IF(H62&lt;&gt;"Yes","ADMIN_INVALID",IF(I62="Not feasible","BURDEN_NOT_FEASIBLE",IF(AI62&lt;&gt;"OK","UNRECOGNISED_VALUE","CLEAR")))))))</f>
        <v/>
      </c>
      <c r="AF62">
        <f>IF(AND(Q62="",R62=""),"",IF(IF(Q62&lt;&gt;"",Q62,R62)="Stage-A admissible - scoped","stage_a_admissible_scoped",IF(IF(Q62&lt;&gt;"",Q62,R62)="Stage-A admissible - scoped, control-dependent","stage_a_admissible_scoped_control_dependent",IF(IF(Q62&lt;&gt;"",Q62,R62)="Stage-A non-admissible - patchable","stage_a_non_admissible_patchable",IF(IF(Q62&lt;&gt;"",Q62,R62)="Stage-A non-admissible - unpatchable for stated claim","stage_a_non_admissible_unpatchable_for_stated_claim",IF(IF(Q62&lt;&gt;"",Q62,R62)="Indeterminate - insufficient evidence","indeterminate_insufficient_evidence",IF(IF(Q62&lt;&gt;"",Q62,R62)="Protocol refusal to evaluate","protocol_refusal_to_evaluate",IF(IF(Q62&lt;&gt;"",Q62,R62)="Out of scope","out_of_scope",IF(IF(Q62&lt;&gt;"",Q62,R62)="Withdrawn","withdrawn",IF(IF(Q62&lt;&gt;"",Q62,R62)="Not reviewed","not_reviewed","unknown_status"))))))))))</f>
        <v/>
      </c>
      <c r="AG62">
        <f>IF(AND(AF62="",T62=""),"",IF(AND(AF62&lt;&gt;"",ISNUMBER(SEARCH("token="&amp;AF62&amp;";",T62)),ISNUMBER(SEARCH(AK62,T62)),ISNUMBER(SEARCH("CL basis="&amp;AL62&amp;";",T62))),"VALID","INVALID_OR_INCOMPLETE"))</f>
        <v/>
      </c>
      <c r="AH62">
        <f>COUNTIF(K62:P62,"Adequate for scope")</f>
        <v/>
      </c>
      <c r="AI62">
        <f>IF(COUNTA(K62:P62)=0,"",IF(AA62+AB62+AC62+AD62+AH62=6,"OK","UNRECOGNISED_VALUE"))</f>
        <v/>
      </c>
      <c r="AJ62" s="303" t="n"/>
      <c r="AK62" s="303">
        <f>IF(A62="","",Vocabulary!$B$5)</f>
        <v/>
      </c>
      <c r="AL62" s="303">
        <f>IF(A62="","",Vocabulary!$B$6)</f>
        <v/>
      </c>
      <c r="AM62" s="303">
        <f>IF(AJ62="","OK",IF(COUNTIF(Vocabulary!$O$5:$O$8,AJ62)=1,"OK","UNRECOGNISED_ADMIN_DISPOSITION"))</f>
        <v/>
      </c>
    </row>
    <row r="63">
      <c r="Q63">
        <f>IF(AE63="","",IF(AE63="ADMIN_DISPOSITION",AJ63,IF(OR(AE63="ADMIN_INCOMPLETE",AE63="ADMIN_INVALID",AE63="BURDEN_NOT_FEASIBLE",AE63="UNRECOGNISED_VALUE",AE63="UNRECOGNISED_ADMIN_DISPOSITION"),"Protocol refusal to evaluate",IF(AA63&gt;0,"Stage-A non-admissible - unpatchable for stated claim",IF(AB63&gt;0,"Stage-A non-admissible - patchable",IF(OR(J63="Yes",I63="Indeterminate",AC63&gt;0),"Indeterminate - insufficient evidence",IF(AND(AH63=6,AD63=0),"Stage-A admissible - scoped",IF(AND(AH63+AD63=6,AD63&gt;0),"Stage-A admissible - scoped, control-dependent","Protocol refusal to evaluate"))))))))</f>
        <v/>
      </c>
      <c r="S63">
        <f>IF(AND(Q63="",R63=""),"",IF(AND(Q63&lt;&gt;"",R63=""),"UNRECORDED",IF(AND(Q63="",R63&lt;&gt;""),"ORPHAN_RECORDED",IF(Q63=R63,"MATCH","MISMATCH"))))</f>
        <v/>
      </c>
      <c r="AA63">
        <f>COUNTIF(K63:P63,"Material defect - unpatchable for stated claim")</f>
        <v/>
      </c>
      <c r="AB63">
        <f>COUNTIF(K63:P63,"Material defect - patchable")</f>
        <v/>
      </c>
      <c r="AC63">
        <f>COUNTIF(K63:P63,"Indeterminate")+COUNTIF(K63:P63,"Not reviewed")</f>
        <v/>
      </c>
      <c r="AD63">
        <f>COUNTIF(K63:P63,"Adequate - control-dependent")</f>
        <v/>
      </c>
      <c r="AE63">
        <f>IF(COUNTA(A63:P63)+COUNTA(AJ63)=0,"",IF(AM63&lt;&gt;"OK","UNRECOGNISED_ADMIN_DISPOSITION",IF(AND(AJ63&lt;&gt;"",AJ63&lt;&gt;"None"),IF(OR(LEN(TRIM(A63))=0,LEN(TRIM(B63))=0,LEN(TRIM(C63))=0,LEN(TRIM(F63))=0),"ADMIN_INCOMPLETE","ADMIN_DISPOSITION"),IF(OR(LEN(TRIM(A63))=0,LEN(TRIM(B63))=0,LEN(TRIM(C63))=0,LEN(TRIM(D63))=0,LEN(TRIM(E63))=0,LEN(TRIM(F63))=0,LEN(TRIM(G63))=0,LEN(TRIM(H63))=0,LEN(TRIM(I63))=0,LEN(TRIM(J63))=0,LEN(TRIM(K63))=0,LEN(TRIM(L63))=0,LEN(TRIM(M63))=0,LEN(TRIM(N63))=0,LEN(TRIM(O63))=0,LEN(TRIM(P63))=0),"ADMIN_INCOMPLETE",IF(H63&lt;&gt;"Yes","ADMIN_INVALID",IF(I63="Not feasible","BURDEN_NOT_FEASIBLE",IF(AI63&lt;&gt;"OK","UNRECOGNISED_VALUE","CLEAR")))))))</f>
        <v/>
      </c>
      <c r="AF63">
        <f>IF(AND(Q63="",R63=""),"",IF(IF(Q63&lt;&gt;"",Q63,R63)="Stage-A admissible - scoped","stage_a_admissible_scoped",IF(IF(Q63&lt;&gt;"",Q63,R63)="Stage-A admissible - scoped, control-dependent","stage_a_admissible_scoped_control_dependent",IF(IF(Q63&lt;&gt;"",Q63,R63)="Stage-A non-admissible - patchable","stage_a_non_admissible_patchable",IF(IF(Q63&lt;&gt;"",Q63,R63)="Stage-A non-admissible - unpatchable for stated claim","stage_a_non_admissible_unpatchable_for_stated_claim",IF(IF(Q63&lt;&gt;"",Q63,R63)="Indeterminate - insufficient evidence","indeterminate_insufficient_evidence",IF(IF(Q63&lt;&gt;"",Q63,R63)="Protocol refusal to evaluate","protocol_refusal_to_evaluate",IF(IF(Q63&lt;&gt;"",Q63,R63)="Out of scope","out_of_scope",IF(IF(Q63&lt;&gt;"",Q63,R63)="Withdrawn","withdrawn",IF(IF(Q63&lt;&gt;"",Q63,R63)="Not reviewed","not_reviewed","unknown_status"))))))))))</f>
        <v/>
      </c>
      <c r="AG63">
        <f>IF(AND(AF63="",T63=""),"",IF(AND(AF63&lt;&gt;"",ISNUMBER(SEARCH("token="&amp;AF63&amp;";",T63)),ISNUMBER(SEARCH(AK63,T63)),ISNUMBER(SEARCH("CL basis="&amp;AL63&amp;";",T63))),"VALID","INVALID_OR_INCOMPLETE"))</f>
        <v/>
      </c>
      <c r="AH63">
        <f>COUNTIF(K63:P63,"Adequate for scope")</f>
        <v/>
      </c>
      <c r="AI63">
        <f>IF(COUNTA(K63:P63)=0,"",IF(AA63+AB63+AC63+AD63+AH63=6,"OK","UNRECOGNISED_VALUE"))</f>
        <v/>
      </c>
      <c r="AJ63" s="303" t="n"/>
      <c r="AK63" s="303">
        <f>IF(A63="","",Vocabulary!$B$5)</f>
        <v/>
      </c>
      <c r="AL63" s="303">
        <f>IF(A63="","",Vocabulary!$B$6)</f>
        <v/>
      </c>
      <c r="AM63" s="303">
        <f>IF(AJ63="","OK",IF(COUNTIF(Vocabulary!$O$5:$O$8,AJ63)=1,"OK","UNRECOGNISED_ADMIN_DISPOSITION"))</f>
        <v/>
      </c>
    </row>
    <row r="64">
      <c r="Q64">
        <f>IF(AE64="","",IF(AE64="ADMIN_DISPOSITION",AJ64,IF(OR(AE64="ADMIN_INCOMPLETE",AE64="ADMIN_INVALID",AE64="BURDEN_NOT_FEASIBLE",AE64="UNRECOGNISED_VALUE",AE64="UNRECOGNISED_ADMIN_DISPOSITION"),"Protocol refusal to evaluate",IF(AA64&gt;0,"Stage-A non-admissible - unpatchable for stated claim",IF(AB64&gt;0,"Stage-A non-admissible - patchable",IF(OR(J64="Yes",I64="Indeterminate",AC64&gt;0),"Indeterminate - insufficient evidence",IF(AND(AH64=6,AD64=0),"Stage-A admissible - scoped",IF(AND(AH64+AD64=6,AD64&gt;0),"Stage-A admissible - scoped, control-dependent","Protocol refusal to evaluate"))))))))</f>
        <v/>
      </c>
      <c r="S64">
        <f>IF(AND(Q64="",R64=""),"",IF(AND(Q64&lt;&gt;"",R64=""),"UNRECORDED",IF(AND(Q64="",R64&lt;&gt;""),"ORPHAN_RECORDED",IF(Q64=R64,"MATCH","MISMATCH"))))</f>
        <v/>
      </c>
      <c r="AA64">
        <f>COUNTIF(K64:P64,"Material defect - unpatchable for stated claim")</f>
        <v/>
      </c>
      <c r="AB64">
        <f>COUNTIF(K64:P64,"Material defect - patchable")</f>
        <v/>
      </c>
      <c r="AC64">
        <f>COUNTIF(K64:P64,"Indeterminate")+COUNTIF(K64:P64,"Not reviewed")</f>
        <v/>
      </c>
      <c r="AD64">
        <f>COUNTIF(K64:P64,"Adequate - control-dependent")</f>
        <v/>
      </c>
      <c r="AE64">
        <f>IF(COUNTA(A64:P64)+COUNTA(AJ64)=0,"",IF(AM64&lt;&gt;"OK","UNRECOGNISED_ADMIN_DISPOSITION",IF(AND(AJ64&lt;&gt;"",AJ64&lt;&gt;"None"),IF(OR(LEN(TRIM(A64))=0,LEN(TRIM(B64))=0,LEN(TRIM(C64))=0,LEN(TRIM(F64))=0),"ADMIN_INCOMPLETE","ADMIN_DISPOSITION"),IF(OR(LEN(TRIM(A64))=0,LEN(TRIM(B64))=0,LEN(TRIM(C64))=0,LEN(TRIM(D64))=0,LEN(TRIM(E64))=0,LEN(TRIM(F64))=0,LEN(TRIM(G64))=0,LEN(TRIM(H64))=0,LEN(TRIM(I64))=0,LEN(TRIM(J64))=0,LEN(TRIM(K64))=0,LEN(TRIM(L64))=0,LEN(TRIM(M64))=0,LEN(TRIM(N64))=0,LEN(TRIM(O64))=0,LEN(TRIM(P64))=0),"ADMIN_INCOMPLETE",IF(H64&lt;&gt;"Yes","ADMIN_INVALID",IF(I64="Not feasible","BURDEN_NOT_FEASIBLE",IF(AI64&lt;&gt;"OK","UNRECOGNISED_VALUE","CLEAR")))))))</f>
        <v/>
      </c>
      <c r="AF64">
        <f>IF(AND(Q64="",R64=""),"",IF(IF(Q64&lt;&gt;"",Q64,R64)="Stage-A admissible - scoped","stage_a_admissible_scoped",IF(IF(Q64&lt;&gt;"",Q64,R64)="Stage-A admissible - scoped, control-dependent","stage_a_admissible_scoped_control_dependent",IF(IF(Q64&lt;&gt;"",Q64,R64)="Stage-A non-admissible - patchable","stage_a_non_admissible_patchable",IF(IF(Q64&lt;&gt;"",Q64,R64)="Stage-A non-admissible - unpatchable for stated claim","stage_a_non_admissible_unpatchable_for_stated_claim",IF(IF(Q64&lt;&gt;"",Q64,R64)="Indeterminate - insufficient evidence","indeterminate_insufficient_evidence",IF(IF(Q64&lt;&gt;"",Q64,R64)="Protocol refusal to evaluate","protocol_refusal_to_evaluate",IF(IF(Q64&lt;&gt;"",Q64,R64)="Out of scope","out_of_scope",IF(IF(Q64&lt;&gt;"",Q64,R64)="Withdrawn","withdrawn",IF(IF(Q64&lt;&gt;"",Q64,R64)="Not reviewed","not_reviewed","unknown_status"))))))))))</f>
        <v/>
      </c>
      <c r="AG64">
        <f>IF(AND(AF64="",T64=""),"",IF(AND(AF64&lt;&gt;"",ISNUMBER(SEARCH("token="&amp;AF64&amp;";",T64)),ISNUMBER(SEARCH(AK64,T64)),ISNUMBER(SEARCH("CL basis="&amp;AL64&amp;";",T64))),"VALID","INVALID_OR_INCOMPLETE"))</f>
        <v/>
      </c>
      <c r="AH64">
        <f>COUNTIF(K64:P64,"Adequate for scope")</f>
        <v/>
      </c>
      <c r="AI64">
        <f>IF(COUNTA(K64:P64)=0,"",IF(AA64+AB64+AC64+AD64+AH64=6,"OK","UNRECOGNISED_VALUE"))</f>
        <v/>
      </c>
      <c r="AJ64" s="303" t="n"/>
      <c r="AK64" s="303">
        <f>IF(A64="","",Vocabulary!$B$5)</f>
        <v/>
      </c>
      <c r="AL64" s="303">
        <f>IF(A64="","",Vocabulary!$B$6)</f>
        <v/>
      </c>
      <c r="AM64" s="303">
        <f>IF(AJ64="","OK",IF(COUNTIF(Vocabulary!$O$5:$O$8,AJ64)=1,"OK","UNRECOGNISED_ADMIN_DISPOSITION"))</f>
        <v/>
      </c>
    </row>
    <row r="65">
      <c r="Q65">
        <f>IF(AE65="","",IF(AE65="ADMIN_DISPOSITION",AJ65,IF(OR(AE65="ADMIN_INCOMPLETE",AE65="ADMIN_INVALID",AE65="BURDEN_NOT_FEASIBLE",AE65="UNRECOGNISED_VALUE",AE65="UNRECOGNISED_ADMIN_DISPOSITION"),"Protocol refusal to evaluate",IF(AA65&gt;0,"Stage-A non-admissible - unpatchable for stated claim",IF(AB65&gt;0,"Stage-A non-admissible - patchable",IF(OR(J65="Yes",I65="Indeterminate",AC65&gt;0),"Indeterminate - insufficient evidence",IF(AND(AH65=6,AD65=0),"Stage-A admissible - scoped",IF(AND(AH65+AD65=6,AD65&gt;0),"Stage-A admissible - scoped, control-dependent","Protocol refusal to evaluate"))))))))</f>
        <v/>
      </c>
      <c r="S65">
        <f>IF(AND(Q65="",R65=""),"",IF(AND(Q65&lt;&gt;"",R65=""),"UNRECORDED",IF(AND(Q65="",R65&lt;&gt;""),"ORPHAN_RECORDED",IF(Q65=R65,"MATCH","MISMATCH"))))</f>
        <v/>
      </c>
      <c r="AA65">
        <f>COUNTIF(K65:P65,"Material defect - unpatchable for stated claim")</f>
        <v/>
      </c>
      <c r="AB65">
        <f>COUNTIF(K65:P65,"Material defect - patchable")</f>
        <v/>
      </c>
      <c r="AC65">
        <f>COUNTIF(K65:P65,"Indeterminate")+COUNTIF(K65:P65,"Not reviewed")</f>
        <v/>
      </c>
      <c r="AD65">
        <f>COUNTIF(K65:P65,"Adequate - control-dependent")</f>
        <v/>
      </c>
      <c r="AE65">
        <f>IF(COUNTA(A65:P65)+COUNTA(AJ65)=0,"",IF(AM65&lt;&gt;"OK","UNRECOGNISED_ADMIN_DISPOSITION",IF(AND(AJ65&lt;&gt;"",AJ65&lt;&gt;"None"),IF(OR(LEN(TRIM(A65))=0,LEN(TRIM(B65))=0,LEN(TRIM(C65))=0,LEN(TRIM(F65))=0),"ADMIN_INCOMPLETE","ADMIN_DISPOSITION"),IF(OR(LEN(TRIM(A65))=0,LEN(TRIM(B65))=0,LEN(TRIM(C65))=0,LEN(TRIM(D65))=0,LEN(TRIM(E65))=0,LEN(TRIM(F65))=0,LEN(TRIM(G65))=0,LEN(TRIM(H65))=0,LEN(TRIM(I65))=0,LEN(TRIM(J65))=0,LEN(TRIM(K65))=0,LEN(TRIM(L65))=0,LEN(TRIM(M65))=0,LEN(TRIM(N65))=0,LEN(TRIM(O65))=0,LEN(TRIM(P65))=0),"ADMIN_INCOMPLETE",IF(H65&lt;&gt;"Yes","ADMIN_INVALID",IF(I65="Not feasible","BURDEN_NOT_FEASIBLE",IF(AI65&lt;&gt;"OK","UNRECOGNISED_VALUE","CLEAR")))))))</f>
        <v/>
      </c>
      <c r="AF65">
        <f>IF(AND(Q65="",R65=""),"",IF(IF(Q65&lt;&gt;"",Q65,R65)="Stage-A admissible - scoped","stage_a_admissible_scoped",IF(IF(Q65&lt;&gt;"",Q65,R65)="Stage-A admissible - scoped, control-dependent","stage_a_admissible_scoped_control_dependent",IF(IF(Q65&lt;&gt;"",Q65,R65)="Stage-A non-admissible - patchable","stage_a_non_admissible_patchable",IF(IF(Q65&lt;&gt;"",Q65,R65)="Stage-A non-admissible - unpatchable for stated claim","stage_a_non_admissible_unpatchable_for_stated_claim",IF(IF(Q65&lt;&gt;"",Q65,R65)="Indeterminate - insufficient evidence","indeterminate_insufficient_evidence",IF(IF(Q65&lt;&gt;"",Q65,R65)="Protocol refusal to evaluate","protocol_refusal_to_evaluate",IF(IF(Q65&lt;&gt;"",Q65,R65)="Out of scope","out_of_scope",IF(IF(Q65&lt;&gt;"",Q65,R65)="Withdrawn","withdrawn",IF(IF(Q65&lt;&gt;"",Q65,R65)="Not reviewed","not_reviewed","unknown_status"))))))))))</f>
        <v/>
      </c>
      <c r="AG65">
        <f>IF(AND(AF65="",T65=""),"",IF(AND(AF65&lt;&gt;"",ISNUMBER(SEARCH("token="&amp;AF65&amp;";",T65)),ISNUMBER(SEARCH(AK65,T65)),ISNUMBER(SEARCH("CL basis="&amp;AL65&amp;";",T65))),"VALID","INVALID_OR_INCOMPLETE"))</f>
        <v/>
      </c>
      <c r="AH65">
        <f>COUNTIF(K65:P65,"Adequate for scope")</f>
        <v/>
      </c>
      <c r="AI65">
        <f>IF(COUNTA(K65:P65)=0,"",IF(AA65+AB65+AC65+AD65+AH65=6,"OK","UNRECOGNISED_VALUE"))</f>
        <v/>
      </c>
      <c r="AJ65" s="303" t="n"/>
      <c r="AK65" s="303">
        <f>IF(A65="","",Vocabulary!$B$5)</f>
        <v/>
      </c>
      <c r="AL65" s="303">
        <f>IF(A65="","",Vocabulary!$B$6)</f>
        <v/>
      </c>
      <c r="AM65" s="303">
        <f>IF(AJ65="","OK",IF(COUNTIF(Vocabulary!$O$5:$O$8,AJ65)=1,"OK","UNRECOGNISED_ADMIN_DISPOSITION"))</f>
        <v/>
      </c>
    </row>
    <row r="66">
      <c r="Q66">
        <f>IF(AE66="","",IF(AE66="ADMIN_DISPOSITION",AJ66,IF(OR(AE66="ADMIN_INCOMPLETE",AE66="ADMIN_INVALID",AE66="BURDEN_NOT_FEASIBLE",AE66="UNRECOGNISED_VALUE",AE66="UNRECOGNISED_ADMIN_DISPOSITION"),"Protocol refusal to evaluate",IF(AA66&gt;0,"Stage-A non-admissible - unpatchable for stated claim",IF(AB66&gt;0,"Stage-A non-admissible - patchable",IF(OR(J66="Yes",I66="Indeterminate",AC66&gt;0),"Indeterminate - insufficient evidence",IF(AND(AH66=6,AD66=0),"Stage-A admissible - scoped",IF(AND(AH66+AD66=6,AD66&gt;0),"Stage-A admissible - scoped, control-dependent","Protocol refusal to evaluate"))))))))</f>
        <v/>
      </c>
      <c r="S66">
        <f>IF(AND(Q66="",R66=""),"",IF(AND(Q66&lt;&gt;"",R66=""),"UNRECORDED",IF(AND(Q66="",R66&lt;&gt;""),"ORPHAN_RECORDED",IF(Q66=R66,"MATCH","MISMATCH"))))</f>
        <v/>
      </c>
      <c r="AA66">
        <f>COUNTIF(K66:P66,"Material defect - unpatchable for stated claim")</f>
        <v/>
      </c>
      <c r="AB66">
        <f>COUNTIF(K66:P66,"Material defect - patchable")</f>
        <v/>
      </c>
      <c r="AC66">
        <f>COUNTIF(K66:P66,"Indeterminate")+COUNTIF(K66:P66,"Not reviewed")</f>
        <v/>
      </c>
      <c r="AD66">
        <f>COUNTIF(K66:P66,"Adequate - control-dependent")</f>
        <v/>
      </c>
      <c r="AE66">
        <f>IF(COUNTA(A66:P66)+COUNTA(AJ66)=0,"",IF(AM66&lt;&gt;"OK","UNRECOGNISED_ADMIN_DISPOSITION",IF(AND(AJ66&lt;&gt;"",AJ66&lt;&gt;"None"),IF(OR(LEN(TRIM(A66))=0,LEN(TRIM(B66))=0,LEN(TRIM(C66))=0,LEN(TRIM(F66))=0),"ADMIN_INCOMPLETE","ADMIN_DISPOSITION"),IF(OR(LEN(TRIM(A66))=0,LEN(TRIM(B66))=0,LEN(TRIM(C66))=0,LEN(TRIM(D66))=0,LEN(TRIM(E66))=0,LEN(TRIM(F66))=0,LEN(TRIM(G66))=0,LEN(TRIM(H66))=0,LEN(TRIM(I66))=0,LEN(TRIM(J66))=0,LEN(TRIM(K66))=0,LEN(TRIM(L66))=0,LEN(TRIM(M66))=0,LEN(TRIM(N66))=0,LEN(TRIM(O66))=0,LEN(TRIM(P66))=0),"ADMIN_INCOMPLETE",IF(H66&lt;&gt;"Yes","ADMIN_INVALID",IF(I66="Not feasible","BURDEN_NOT_FEASIBLE",IF(AI66&lt;&gt;"OK","UNRECOGNISED_VALUE","CLEAR")))))))</f>
        <v/>
      </c>
      <c r="AF66">
        <f>IF(AND(Q66="",R66=""),"",IF(IF(Q66&lt;&gt;"",Q66,R66)="Stage-A admissible - scoped","stage_a_admissible_scoped",IF(IF(Q66&lt;&gt;"",Q66,R66)="Stage-A admissible - scoped, control-dependent","stage_a_admissible_scoped_control_dependent",IF(IF(Q66&lt;&gt;"",Q66,R66)="Stage-A non-admissible - patchable","stage_a_non_admissible_patchable",IF(IF(Q66&lt;&gt;"",Q66,R66)="Stage-A non-admissible - unpatchable for stated claim","stage_a_non_admissible_unpatchable_for_stated_claim",IF(IF(Q66&lt;&gt;"",Q66,R66)="Indeterminate - insufficient evidence","indeterminate_insufficient_evidence",IF(IF(Q66&lt;&gt;"",Q66,R66)="Protocol refusal to evaluate","protocol_refusal_to_evaluate",IF(IF(Q66&lt;&gt;"",Q66,R66)="Out of scope","out_of_scope",IF(IF(Q66&lt;&gt;"",Q66,R66)="Withdrawn","withdrawn",IF(IF(Q66&lt;&gt;"",Q66,R66)="Not reviewed","not_reviewed","unknown_status"))))))))))</f>
        <v/>
      </c>
      <c r="AG66">
        <f>IF(AND(AF66="",T66=""),"",IF(AND(AF66&lt;&gt;"",ISNUMBER(SEARCH("token="&amp;AF66&amp;";",T66)),ISNUMBER(SEARCH(AK66,T66)),ISNUMBER(SEARCH("CL basis="&amp;AL66&amp;";",T66))),"VALID","INVALID_OR_INCOMPLETE"))</f>
        <v/>
      </c>
      <c r="AH66">
        <f>COUNTIF(K66:P66,"Adequate for scope")</f>
        <v/>
      </c>
      <c r="AI66">
        <f>IF(COUNTA(K66:P66)=0,"",IF(AA66+AB66+AC66+AD66+AH66=6,"OK","UNRECOGNISED_VALUE"))</f>
        <v/>
      </c>
      <c r="AJ66" s="303" t="n"/>
      <c r="AK66" s="303">
        <f>IF(A66="","",Vocabulary!$B$5)</f>
        <v/>
      </c>
      <c r="AL66" s="303">
        <f>IF(A66="","",Vocabulary!$B$6)</f>
        <v/>
      </c>
      <c r="AM66" s="303">
        <f>IF(AJ66="","OK",IF(COUNTIF(Vocabulary!$O$5:$O$8,AJ66)=1,"OK","UNRECOGNISED_ADMIN_DISPOSITION"))</f>
        <v/>
      </c>
    </row>
    <row r="67">
      <c r="Q67">
        <f>IF(AE67="","",IF(AE67="ADMIN_DISPOSITION",AJ67,IF(OR(AE67="ADMIN_INCOMPLETE",AE67="ADMIN_INVALID",AE67="BURDEN_NOT_FEASIBLE",AE67="UNRECOGNISED_VALUE",AE67="UNRECOGNISED_ADMIN_DISPOSITION"),"Protocol refusal to evaluate",IF(AA67&gt;0,"Stage-A non-admissible - unpatchable for stated claim",IF(AB67&gt;0,"Stage-A non-admissible - patchable",IF(OR(J67="Yes",I67="Indeterminate",AC67&gt;0),"Indeterminate - insufficient evidence",IF(AND(AH67=6,AD67=0),"Stage-A admissible - scoped",IF(AND(AH67+AD67=6,AD67&gt;0),"Stage-A admissible - scoped, control-dependent","Protocol refusal to evaluate"))))))))</f>
        <v/>
      </c>
      <c r="S67">
        <f>IF(AND(Q67="",R67=""),"",IF(AND(Q67&lt;&gt;"",R67=""),"UNRECORDED",IF(AND(Q67="",R67&lt;&gt;""),"ORPHAN_RECORDED",IF(Q67=R67,"MATCH","MISMATCH"))))</f>
        <v/>
      </c>
      <c r="AA67">
        <f>COUNTIF(K67:P67,"Material defect - unpatchable for stated claim")</f>
        <v/>
      </c>
      <c r="AB67">
        <f>COUNTIF(K67:P67,"Material defect - patchable")</f>
        <v/>
      </c>
      <c r="AC67">
        <f>COUNTIF(K67:P67,"Indeterminate")+COUNTIF(K67:P67,"Not reviewed")</f>
        <v/>
      </c>
      <c r="AD67">
        <f>COUNTIF(K67:P67,"Adequate - control-dependent")</f>
        <v/>
      </c>
      <c r="AE67">
        <f>IF(COUNTA(A67:P67)+COUNTA(AJ67)=0,"",IF(AM67&lt;&gt;"OK","UNRECOGNISED_ADMIN_DISPOSITION",IF(AND(AJ67&lt;&gt;"",AJ67&lt;&gt;"None"),IF(OR(LEN(TRIM(A67))=0,LEN(TRIM(B67))=0,LEN(TRIM(C67))=0,LEN(TRIM(F67))=0),"ADMIN_INCOMPLETE","ADMIN_DISPOSITION"),IF(OR(LEN(TRIM(A67))=0,LEN(TRIM(B67))=0,LEN(TRIM(C67))=0,LEN(TRIM(D67))=0,LEN(TRIM(E67))=0,LEN(TRIM(F67))=0,LEN(TRIM(G67))=0,LEN(TRIM(H67))=0,LEN(TRIM(I67))=0,LEN(TRIM(J67))=0,LEN(TRIM(K67))=0,LEN(TRIM(L67))=0,LEN(TRIM(M67))=0,LEN(TRIM(N67))=0,LEN(TRIM(O67))=0,LEN(TRIM(P67))=0),"ADMIN_INCOMPLETE",IF(H67&lt;&gt;"Yes","ADMIN_INVALID",IF(I67="Not feasible","BURDEN_NOT_FEASIBLE",IF(AI67&lt;&gt;"OK","UNRECOGNISED_VALUE","CLEAR")))))))</f>
        <v/>
      </c>
      <c r="AF67">
        <f>IF(AND(Q67="",R67=""),"",IF(IF(Q67&lt;&gt;"",Q67,R67)="Stage-A admissible - scoped","stage_a_admissible_scoped",IF(IF(Q67&lt;&gt;"",Q67,R67)="Stage-A admissible - scoped, control-dependent","stage_a_admissible_scoped_control_dependent",IF(IF(Q67&lt;&gt;"",Q67,R67)="Stage-A non-admissible - patchable","stage_a_non_admissible_patchable",IF(IF(Q67&lt;&gt;"",Q67,R67)="Stage-A non-admissible - unpatchable for stated claim","stage_a_non_admissible_unpatchable_for_stated_claim",IF(IF(Q67&lt;&gt;"",Q67,R67)="Indeterminate - insufficient evidence","indeterminate_insufficient_evidence",IF(IF(Q67&lt;&gt;"",Q67,R67)="Protocol refusal to evaluate","protocol_refusal_to_evaluate",IF(IF(Q67&lt;&gt;"",Q67,R67)="Out of scope","out_of_scope",IF(IF(Q67&lt;&gt;"",Q67,R67)="Withdrawn","withdrawn",IF(IF(Q67&lt;&gt;"",Q67,R67)="Not reviewed","not_reviewed","unknown_status"))))))))))</f>
        <v/>
      </c>
      <c r="AG67">
        <f>IF(AND(AF67="",T67=""),"",IF(AND(AF67&lt;&gt;"",ISNUMBER(SEARCH("token="&amp;AF67&amp;";",T67)),ISNUMBER(SEARCH(AK67,T67)),ISNUMBER(SEARCH("CL basis="&amp;AL67&amp;";",T67))),"VALID","INVALID_OR_INCOMPLETE"))</f>
        <v/>
      </c>
      <c r="AH67">
        <f>COUNTIF(K67:P67,"Adequate for scope")</f>
        <v/>
      </c>
      <c r="AI67">
        <f>IF(COUNTA(K67:P67)=0,"",IF(AA67+AB67+AC67+AD67+AH67=6,"OK","UNRECOGNISED_VALUE"))</f>
        <v/>
      </c>
      <c r="AJ67" s="303" t="n"/>
      <c r="AK67" s="303">
        <f>IF(A67="","",Vocabulary!$B$5)</f>
        <v/>
      </c>
      <c r="AL67" s="303">
        <f>IF(A67="","",Vocabulary!$B$6)</f>
        <v/>
      </c>
      <c r="AM67" s="303">
        <f>IF(AJ67="","OK",IF(COUNTIF(Vocabulary!$O$5:$O$8,AJ67)=1,"OK","UNRECOGNISED_ADMIN_DISPOSITION"))</f>
        <v/>
      </c>
    </row>
    <row r="68">
      <c r="Q68">
        <f>IF(AE68="","",IF(AE68="ADMIN_DISPOSITION",AJ68,IF(OR(AE68="ADMIN_INCOMPLETE",AE68="ADMIN_INVALID",AE68="BURDEN_NOT_FEASIBLE",AE68="UNRECOGNISED_VALUE",AE68="UNRECOGNISED_ADMIN_DISPOSITION"),"Protocol refusal to evaluate",IF(AA68&gt;0,"Stage-A non-admissible - unpatchable for stated claim",IF(AB68&gt;0,"Stage-A non-admissible - patchable",IF(OR(J68="Yes",I68="Indeterminate",AC68&gt;0),"Indeterminate - insufficient evidence",IF(AND(AH68=6,AD68=0),"Stage-A admissible - scoped",IF(AND(AH68+AD68=6,AD68&gt;0),"Stage-A admissible - scoped, control-dependent","Protocol refusal to evaluate"))))))))</f>
        <v/>
      </c>
      <c r="S68">
        <f>IF(AND(Q68="",R68=""),"",IF(AND(Q68&lt;&gt;"",R68=""),"UNRECORDED",IF(AND(Q68="",R68&lt;&gt;""),"ORPHAN_RECORDED",IF(Q68=R68,"MATCH","MISMATCH"))))</f>
        <v/>
      </c>
      <c r="AA68">
        <f>COUNTIF(K68:P68,"Material defect - unpatchable for stated claim")</f>
        <v/>
      </c>
      <c r="AB68">
        <f>COUNTIF(K68:P68,"Material defect - patchable")</f>
        <v/>
      </c>
      <c r="AC68">
        <f>COUNTIF(K68:P68,"Indeterminate")+COUNTIF(K68:P68,"Not reviewed")</f>
        <v/>
      </c>
      <c r="AD68">
        <f>COUNTIF(K68:P68,"Adequate - control-dependent")</f>
        <v/>
      </c>
      <c r="AE68">
        <f>IF(COUNTA(A68:P68)+COUNTA(AJ68)=0,"",IF(AM68&lt;&gt;"OK","UNRECOGNISED_ADMIN_DISPOSITION",IF(AND(AJ68&lt;&gt;"",AJ68&lt;&gt;"None"),IF(OR(LEN(TRIM(A68))=0,LEN(TRIM(B68))=0,LEN(TRIM(C68))=0,LEN(TRIM(F68))=0),"ADMIN_INCOMPLETE","ADMIN_DISPOSITION"),IF(OR(LEN(TRIM(A68))=0,LEN(TRIM(B68))=0,LEN(TRIM(C68))=0,LEN(TRIM(D68))=0,LEN(TRIM(E68))=0,LEN(TRIM(F68))=0,LEN(TRIM(G68))=0,LEN(TRIM(H68))=0,LEN(TRIM(I68))=0,LEN(TRIM(J68))=0,LEN(TRIM(K68))=0,LEN(TRIM(L68))=0,LEN(TRIM(M68))=0,LEN(TRIM(N68))=0,LEN(TRIM(O68))=0,LEN(TRIM(P68))=0),"ADMIN_INCOMPLETE",IF(H68&lt;&gt;"Yes","ADMIN_INVALID",IF(I68="Not feasible","BURDEN_NOT_FEASIBLE",IF(AI68&lt;&gt;"OK","UNRECOGNISED_VALUE","CLEAR")))))))</f>
        <v/>
      </c>
      <c r="AF68">
        <f>IF(AND(Q68="",R68=""),"",IF(IF(Q68&lt;&gt;"",Q68,R68)="Stage-A admissible - scoped","stage_a_admissible_scoped",IF(IF(Q68&lt;&gt;"",Q68,R68)="Stage-A admissible - scoped, control-dependent","stage_a_admissible_scoped_control_dependent",IF(IF(Q68&lt;&gt;"",Q68,R68)="Stage-A non-admissible - patchable","stage_a_non_admissible_patchable",IF(IF(Q68&lt;&gt;"",Q68,R68)="Stage-A non-admissible - unpatchable for stated claim","stage_a_non_admissible_unpatchable_for_stated_claim",IF(IF(Q68&lt;&gt;"",Q68,R68)="Indeterminate - insufficient evidence","indeterminate_insufficient_evidence",IF(IF(Q68&lt;&gt;"",Q68,R68)="Protocol refusal to evaluate","protocol_refusal_to_evaluate",IF(IF(Q68&lt;&gt;"",Q68,R68)="Out of scope","out_of_scope",IF(IF(Q68&lt;&gt;"",Q68,R68)="Withdrawn","withdrawn",IF(IF(Q68&lt;&gt;"",Q68,R68)="Not reviewed","not_reviewed","unknown_status"))))))))))</f>
        <v/>
      </c>
      <c r="AG68">
        <f>IF(AND(AF68="",T68=""),"",IF(AND(AF68&lt;&gt;"",ISNUMBER(SEARCH("token="&amp;AF68&amp;";",T68)),ISNUMBER(SEARCH(AK68,T68)),ISNUMBER(SEARCH("CL basis="&amp;AL68&amp;";",T68))),"VALID","INVALID_OR_INCOMPLETE"))</f>
        <v/>
      </c>
      <c r="AH68">
        <f>COUNTIF(K68:P68,"Adequate for scope")</f>
        <v/>
      </c>
      <c r="AI68">
        <f>IF(COUNTA(K68:P68)=0,"",IF(AA68+AB68+AC68+AD68+AH68=6,"OK","UNRECOGNISED_VALUE"))</f>
        <v/>
      </c>
      <c r="AJ68" s="303" t="n"/>
      <c r="AK68" s="303">
        <f>IF(A68="","",Vocabulary!$B$5)</f>
        <v/>
      </c>
      <c r="AL68" s="303">
        <f>IF(A68="","",Vocabulary!$B$6)</f>
        <v/>
      </c>
      <c r="AM68" s="303">
        <f>IF(AJ68="","OK",IF(COUNTIF(Vocabulary!$O$5:$O$8,AJ68)=1,"OK","UNRECOGNISED_ADMIN_DISPOSITION"))</f>
        <v/>
      </c>
    </row>
    <row r="69">
      <c r="Q69">
        <f>IF(AE69="","",IF(AE69="ADMIN_DISPOSITION",AJ69,IF(OR(AE69="ADMIN_INCOMPLETE",AE69="ADMIN_INVALID",AE69="BURDEN_NOT_FEASIBLE",AE69="UNRECOGNISED_VALUE",AE69="UNRECOGNISED_ADMIN_DISPOSITION"),"Protocol refusal to evaluate",IF(AA69&gt;0,"Stage-A non-admissible - unpatchable for stated claim",IF(AB69&gt;0,"Stage-A non-admissible - patchable",IF(OR(J69="Yes",I69="Indeterminate",AC69&gt;0),"Indeterminate - insufficient evidence",IF(AND(AH69=6,AD69=0),"Stage-A admissible - scoped",IF(AND(AH69+AD69=6,AD69&gt;0),"Stage-A admissible - scoped, control-dependent","Protocol refusal to evaluate"))))))))</f>
        <v/>
      </c>
      <c r="S69">
        <f>IF(AND(Q69="",R69=""),"",IF(AND(Q69&lt;&gt;"",R69=""),"UNRECORDED",IF(AND(Q69="",R69&lt;&gt;""),"ORPHAN_RECORDED",IF(Q69=R69,"MATCH","MISMATCH"))))</f>
        <v/>
      </c>
      <c r="AA69">
        <f>COUNTIF(K69:P69,"Material defect - unpatchable for stated claim")</f>
        <v/>
      </c>
      <c r="AB69">
        <f>COUNTIF(K69:P69,"Material defect - patchable")</f>
        <v/>
      </c>
      <c r="AC69">
        <f>COUNTIF(K69:P69,"Indeterminate")+COUNTIF(K69:P69,"Not reviewed")</f>
        <v/>
      </c>
      <c r="AD69">
        <f>COUNTIF(K69:P69,"Adequate - control-dependent")</f>
        <v/>
      </c>
      <c r="AE69">
        <f>IF(COUNTA(A69:P69)+COUNTA(AJ69)=0,"",IF(AM69&lt;&gt;"OK","UNRECOGNISED_ADMIN_DISPOSITION",IF(AND(AJ69&lt;&gt;"",AJ69&lt;&gt;"None"),IF(OR(LEN(TRIM(A69))=0,LEN(TRIM(B69))=0,LEN(TRIM(C69))=0,LEN(TRIM(F69))=0),"ADMIN_INCOMPLETE","ADMIN_DISPOSITION"),IF(OR(LEN(TRIM(A69))=0,LEN(TRIM(B69))=0,LEN(TRIM(C69))=0,LEN(TRIM(D69))=0,LEN(TRIM(E69))=0,LEN(TRIM(F69))=0,LEN(TRIM(G69))=0,LEN(TRIM(H69))=0,LEN(TRIM(I69))=0,LEN(TRIM(J69))=0,LEN(TRIM(K69))=0,LEN(TRIM(L69))=0,LEN(TRIM(M69))=0,LEN(TRIM(N69))=0,LEN(TRIM(O69))=0,LEN(TRIM(P69))=0),"ADMIN_INCOMPLETE",IF(H69&lt;&gt;"Yes","ADMIN_INVALID",IF(I69="Not feasible","BURDEN_NOT_FEASIBLE",IF(AI69&lt;&gt;"OK","UNRECOGNISED_VALUE","CLEAR")))))))</f>
        <v/>
      </c>
      <c r="AF69">
        <f>IF(AND(Q69="",R69=""),"",IF(IF(Q69&lt;&gt;"",Q69,R69)="Stage-A admissible - scoped","stage_a_admissible_scoped",IF(IF(Q69&lt;&gt;"",Q69,R69)="Stage-A admissible - scoped, control-dependent","stage_a_admissible_scoped_control_dependent",IF(IF(Q69&lt;&gt;"",Q69,R69)="Stage-A non-admissible - patchable","stage_a_non_admissible_patchable",IF(IF(Q69&lt;&gt;"",Q69,R69)="Stage-A non-admissible - unpatchable for stated claim","stage_a_non_admissible_unpatchable_for_stated_claim",IF(IF(Q69&lt;&gt;"",Q69,R69)="Indeterminate - insufficient evidence","indeterminate_insufficient_evidence",IF(IF(Q69&lt;&gt;"",Q69,R69)="Protocol refusal to evaluate","protocol_refusal_to_evaluate",IF(IF(Q69&lt;&gt;"",Q69,R69)="Out of scope","out_of_scope",IF(IF(Q69&lt;&gt;"",Q69,R69)="Withdrawn","withdrawn",IF(IF(Q69&lt;&gt;"",Q69,R69)="Not reviewed","not_reviewed","unknown_status"))))))))))</f>
        <v/>
      </c>
      <c r="AG69">
        <f>IF(AND(AF69="",T69=""),"",IF(AND(AF69&lt;&gt;"",ISNUMBER(SEARCH("token="&amp;AF69&amp;";",T69)),ISNUMBER(SEARCH(AK69,T69)),ISNUMBER(SEARCH("CL basis="&amp;AL69&amp;";",T69))),"VALID","INVALID_OR_INCOMPLETE"))</f>
        <v/>
      </c>
      <c r="AH69">
        <f>COUNTIF(K69:P69,"Adequate for scope")</f>
        <v/>
      </c>
      <c r="AI69">
        <f>IF(COUNTA(K69:P69)=0,"",IF(AA69+AB69+AC69+AD69+AH69=6,"OK","UNRECOGNISED_VALUE"))</f>
        <v/>
      </c>
      <c r="AJ69" s="303" t="n"/>
      <c r="AK69" s="303">
        <f>IF(A69="","",Vocabulary!$B$5)</f>
        <v/>
      </c>
      <c r="AL69" s="303">
        <f>IF(A69="","",Vocabulary!$B$6)</f>
        <v/>
      </c>
      <c r="AM69" s="303">
        <f>IF(AJ69="","OK",IF(COUNTIF(Vocabulary!$O$5:$O$8,AJ69)=1,"OK","UNRECOGNISED_ADMIN_DISPOSITION"))</f>
        <v/>
      </c>
    </row>
    <row r="70">
      <c r="Q70">
        <f>IF(AE70="","",IF(AE70="ADMIN_DISPOSITION",AJ70,IF(OR(AE70="ADMIN_INCOMPLETE",AE70="ADMIN_INVALID",AE70="BURDEN_NOT_FEASIBLE",AE70="UNRECOGNISED_VALUE",AE70="UNRECOGNISED_ADMIN_DISPOSITION"),"Protocol refusal to evaluate",IF(AA70&gt;0,"Stage-A non-admissible - unpatchable for stated claim",IF(AB70&gt;0,"Stage-A non-admissible - patchable",IF(OR(J70="Yes",I70="Indeterminate",AC70&gt;0),"Indeterminate - insufficient evidence",IF(AND(AH70=6,AD70=0),"Stage-A admissible - scoped",IF(AND(AH70+AD70=6,AD70&gt;0),"Stage-A admissible - scoped, control-dependent","Protocol refusal to evaluate"))))))))</f>
        <v/>
      </c>
      <c r="S70">
        <f>IF(AND(Q70="",R70=""),"",IF(AND(Q70&lt;&gt;"",R70=""),"UNRECORDED",IF(AND(Q70="",R70&lt;&gt;""),"ORPHAN_RECORDED",IF(Q70=R70,"MATCH","MISMATCH"))))</f>
        <v/>
      </c>
      <c r="AA70">
        <f>COUNTIF(K70:P70,"Material defect - unpatchable for stated claim")</f>
        <v/>
      </c>
      <c r="AB70">
        <f>COUNTIF(K70:P70,"Material defect - patchable")</f>
        <v/>
      </c>
      <c r="AC70">
        <f>COUNTIF(K70:P70,"Indeterminate")+COUNTIF(K70:P70,"Not reviewed")</f>
        <v/>
      </c>
      <c r="AD70">
        <f>COUNTIF(K70:P70,"Adequate - control-dependent")</f>
        <v/>
      </c>
      <c r="AE70">
        <f>IF(COUNTA(A70:P70)+COUNTA(AJ70)=0,"",IF(AM70&lt;&gt;"OK","UNRECOGNISED_ADMIN_DISPOSITION",IF(AND(AJ70&lt;&gt;"",AJ70&lt;&gt;"None"),IF(OR(LEN(TRIM(A70))=0,LEN(TRIM(B70))=0,LEN(TRIM(C70))=0,LEN(TRIM(F70))=0),"ADMIN_INCOMPLETE","ADMIN_DISPOSITION"),IF(OR(LEN(TRIM(A70))=0,LEN(TRIM(B70))=0,LEN(TRIM(C70))=0,LEN(TRIM(D70))=0,LEN(TRIM(E70))=0,LEN(TRIM(F70))=0,LEN(TRIM(G70))=0,LEN(TRIM(H70))=0,LEN(TRIM(I70))=0,LEN(TRIM(J70))=0,LEN(TRIM(K70))=0,LEN(TRIM(L70))=0,LEN(TRIM(M70))=0,LEN(TRIM(N70))=0,LEN(TRIM(O70))=0,LEN(TRIM(P70))=0),"ADMIN_INCOMPLETE",IF(H70&lt;&gt;"Yes","ADMIN_INVALID",IF(I70="Not feasible","BURDEN_NOT_FEASIBLE",IF(AI70&lt;&gt;"OK","UNRECOGNISED_VALUE","CLEAR")))))))</f>
        <v/>
      </c>
      <c r="AF70">
        <f>IF(AND(Q70="",R70=""),"",IF(IF(Q70&lt;&gt;"",Q70,R70)="Stage-A admissible - scoped","stage_a_admissible_scoped",IF(IF(Q70&lt;&gt;"",Q70,R70)="Stage-A admissible - scoped, control-dependent","stage_a_admissible_scoped_control_dependent",IF(IF(Q70&lt;&gt;"",Q70,R70)="Stage-A non-admissible - patchable","stage_a_non_admissible_patchable",IF(IF(Q70&lt;&gt;"",Q70,R70)="Stage-A non-admissible - unpatchable for stated claim","stage_a_non_admissible_unpatchable_for_stated_claim",IF(IF(Q70&lt;&gt;"",Q70,R70)="Indeterminate - insufficient evidence","indeterminate_insufficient_evidence",IF(IF(Q70&lt;&gt;"",Q70,R70)="Protocol refusal to evaluate","protocol_refusal_to_evaluate",IF(IF(Q70&lt;&gt;"",Q70,R70)="Out of scope","out_of_scope",IF(IF(Q70&lt;&gt;"",Q70,R70)="Withdrawn","withdrawn",IF(IF(Q70&lt;&gt;"",Q70,R70)="Not reviewed","not_reviewed","unknown_status"))))))))))</f>
        <v/>
      </c>
      <c r="AG70">
        <f>IF(AND(AF70="",T70=""),"",IF(AND(AF70&lt;&gt;"",ISNUMBER(SEARCH("token="&amp;AF70&amp;";",T70)),ISNUMBER(SEARCH(AK70,T70)),ISNUMBER(SEARCH("CL basis="&amp;AL70&amp;";",T70))),"VALID","INVALID_OR_INCOMPLETE"))</f>
        <v/>
      </c>
      <c r="AH70">
        <f>COUNTIF(K70:P70,"Adequate for scope")</f>
        <v/>
      </c>
      <c r="AI70">
        <f>IF(COUNTA(K70:P70)=0,"",IF(AA70+AB70+AC70+AD70+AH70=6,"OK","UNRECOGNISED_VALUE"))</f>
        <v/>
      </c>
      <c r="AJ70" s="303" t="n"/>
      <c r="AK70" s="303">
        <f>IF(A70="","",Vocabulary!$B$5)</f>
        <v/>
      </c>
      <c r="AL70" s="303">
        <f>IF(A70="","",Vocabulary!$B$6)</f>
        <v/>
      </c>
      <c r="AM70" s="303">
        <f>IF(AJ70="","OK",IF(COUNTIF(Vocabulary!$O$5:$O$8,AJ70)=1,"OK","UNRECOGNISED_ADMIN_DISPOSITION"))</f>
        <v/>
      </c>
    </row>
    <row r="71">
      <c r="Q71">
        <f>IF(AE71="","",IF(AE71="ADMIN_DISPOSITION",AJ71,IF(OR(AE71="ADMIN_INCOMPLETE",AE71="ADMIN_INVALID",AE71="BURDEN_NOT_FEASIBLE",AE71="UNRECOGNISED_VALUE",AE71="UNRECOGNISED_ADMIN_DISPOSITION"),"Protocol refusal to evaluate",IF(AA71&gt;0,"Stage-A non-admissible - unpatchable for stated claim",IF(AB71&gt;0,"Stage-A non-admissible - patchable",IF(OR(J71="Yes",I71="Indeterminate",AC71&gt;0),"Indeterminate - insufficient evidence",IF(AND(AH71=6,AD71=0),"Stage-A admissible - scoped",IF(AND(AH71+AD71=6,AD71&gt;0),"Stage-A admissible - scoped, control-dependent","Protocol refusal to evaluate"))))))))</f>
        <v/>
      </c>
      <c r="S71">
        <f>IF(AND(Q71="",R71=""),"",IF(AND(Q71&lt;&gt;"",R71=""),"UNRECORDED",IF(AND(Q71="",R71&lt;&gt;""),"ORPHAN_RECORDED",IF(Q71=R71,"MATCH","MISMATCH"))))</f>
        <v/>
      </c>
      <c r="AA71">
        <f>COUNTIF(K71:P71,"Material defect - unpatchable for stated claim")</f>
        <v/>
      </c>
      <c r="AB71">
        <f>COUNTIF(K71:P71,"Material defect - patchable")</f>
        <v/>
      </c>
      <c r="AC71">
        <f>COUNTIF(K71:P71,"Indeterminate")+COUNTIF(K71:P71,"Not reviewed")</f>
        <v/>
      </c>
      <c r="AD71">
        <f>COUNTIF(K71:P71,"Adequate - control-dependent")</f>
        <v/>
      </c>
      <c r="AE71">
        <f>IF(COUNTA(A71:P71)+COUNTA(AJ71)=0,"",IF(AM71&lt;&gt;"OK","UNRECOGNISED_ADMIN_DISPOSITION",IF(AND(AJ71&lt;&gt;"",AJ71&lt;&gt;"None"),IF(OR(LEN(TRIM(A71))=0,LEN(TRIM(B71))=0,LEN(TRIM(C71))=0,LEN(TRIM(F71))=0),"ADMIN_INCOMPLETE","ADMIN_DISPOSITION"),IF(OR(LEN(TRIM(A71))=0,LEN(TRIM(B71))=0,LEN(TRIM(C71))=0,LEN(TRIM(D71))=0,LEN(TRIM(E71))=0,LEN(TRIM(F71))=0,LEN(TRIM(G71))=0,LEN(TRIM(H71))=0,LEN(TRIM(I71))=0,LEN(TRIM(J71))=0,LEN(TRIM(K71))=0,LEN(TRIM(L71))=0,LEN(TRIM(M71))=0,LEN(TRIM(N71))=0,LEN(TRIM(O71))=0,LEN(TRIM(P71))=0),"ADMIN_INCOMPLETE",IF(H71&lt;&gt;"Yes","ADMIN_INVALID",IF(I71="Not feasible","BURDEN_NOT_FEASIBLE",IF(AI71&lt;&gt;"OK","UNRECOGNISED_VALUE","CLEAR")))))))</f>
        <v/>
      </c>
      <c r="AF71">
        <f>IF(AND(Q71="",R71=""),"",IF(IF(Q71&lt;&gt;"",Q71,R71)="Stage-A admissible - scoped","stage_a_admissible_scoped",IF(IF(Q71&lt;&gt;"",Q71,R71)="Stage-A admissible - scoped, control-dependent","stage_a_admissible_scoped_control_dependent",IF(IF(Q71&lt;&gt;"",Q71,R71)="Stage-A non-admissible - patchable","stage_a_non_admissible_patchable",IF(IF(Q71&lt;&gt;"",Q71,R71)="Stage-A non-admissible - unpatchable for stated claim","stage_a_non_admissible_unpatchable_for_stated_claim",IF(IF(Q71&lt;&gt;"",Q71,R71)="Indeterminate - insufficient evidence","indeterminate_insufficient_evidence",IF(IF(Q71&lt;&gt;"",Q71,R71)="Protocol refusal to evaluate","protocol_refusal_to_evaluate",IF(IF(Q71&lt;&gt;"",Q71,R71)="Out of scope","out_of_scope",IF(IF(Q71&lt;&gt;"",Q71,R71)="Withdrawn","withdrawn",IF(IF(Q71&lt;&gt;"",Q71,R71)="Not reviewed","not_reviewed","unknown_status"))))))))))</f>
        <v/>
      </c>
      <c r="AG71">
        <f>IF(AND(AF71="",T71=""),"",IF(AND(AF71&lt;&gt;"",ISNUMBER(SEARCH("token="&amp;AF71&amp;";",T71)),ISNUMBER(SEARCH(AK71,T71)),ISNUMBER(SEARCH("CL basis="&amp;AL71&amp;";",T71))),"VALID","INVALID_OR_INCOMPLETE"))</f>
        <v/>
      </c>
      <c r="AH71">
        <f>COUNTIF(K71:P71,"Adequate for scope")</f>
        <v/>
      </c>
      <c r="AI71">
        <f>IF(COUNTA(K71:P71)=0,"",IF(AA71+AB71+AC71+AD71+AH71=6,"OK","UNRECOGNISED_VALUE"))</f>
        <v/>
      </c>
      <c r="AJ71" s="303" t="n"/>
      <c r="AK71" s="303">
        <f>IF(A71="","",Vocabulary!$B$5)</f>
        <v/>
      </c>
      <c r="AL71" s="303">
        <f>IF(A71="","",Vocabulary!$B$6)</f>
        <v/>
      </c>
      <c r="AM71" s="303">
        <f>IF(AJ71="","OK",IF(COUNTIF(Vocabulary!$O$5:$O$8,AJ71)=1,"OK","UNRECOGNISED_ADMIN_DISPOSITION"))</f>
        <v/>
      </c>
    </row>
    <row r="72">
      <c r="Q72">
        <f>IF(AE72="","",IF(AE72="ADMIN_DISPOSITION",AJ72,IF(OR(AE72="ADMIN_INCOMPLETE",AE72="ADMIN_INVALID",AE72="BURDEN_NOT_FEASIBLE",AE72="UNRECOGNISED_VALUE",AE72="UNRECOGNISED_ADMIN_DISPOSITION"),"Protocol refusal to evaluate",IF(AA72&gt;0,"Stage-A non-admissible - unpatchable for stated claim",IF(AB72&gt;0,"Stage-A non-admissible - patchable",IF(OR(J72="Yes",I72="Indeterminate",AC72&gt;0),"Indeterminate - insufficient evidence",IF(AND(AH72=6,AD72=0),"Stage-A admissible - scoped",IF(AND(AH72+AD72=6,AD72&gt;0),"Stage-A admissible - scoped, control-dependent","Protocol refusal to evaluate"))))))))</f>
        <v/>
      </c>
      <c r="S72">
        <f>IF(AND(Q72="",R72=""),"",IF(AND(Q72&lt;&gt;"",R72=""),"UNRECORDED",IF(AND(Q72="",R72&lt;&gt;""),"ORPHAN_RECORDED",IF(Q72=R72,"MATCH","MISMATCH"))))</f>
        <v/>
      </c>
      <c r="AA72">
        <f>COUNTIF(K72:P72,"Material defect - unpatchable for stated claim")</f>
        <v/>
      </c>
      <c r="AB72">
        <f>COUNTIF(K72:P72,"Material defect - patchable")</f>
        <v/>
      </c>
      <c r="AC72">
        <f>COUNTIF(K72:P72,"Indeterminate")+COUNTIF(K72:P72,"Not reviewed")</f>
        <v/>
      </c>
      <c r="AD72">
        <f>COUNTIF(K72:P72,"Adequate - control-dependent")</f>
        <v/>
      </c>
      <c r="AE72">
        <f>IF(COUNTA(A72:P72)+COUNTA(AJ72)=0,"",IF(AM72&lt;&gt;"OK","UNRECOGNISED_ADMIN_DISPOSITION",IF(AND(AJ72&lt;&gt;"",AJ72&lt;&gt;"None"),IF(OR(LEN(TRIM(A72))=0,LEN(TRIM(B72))=0,LEN(TRIM(C72))=0,LEN(TRIM(F72))=0),"ADMIN_INCOMPLETE","ADMIN_DISPOSITION"),IF(OR(LEN(TRIM(A72))=0,LEN(TRIM(B72))=0,LEN(TRIM(C72))=0,LEN(TRIM(D72))=0,LEN(TRIM(E72))=0,LEN(TRIM(F72))=0,LEN(TRIM(G72))=0,LEN(TRIM(H72))=0,LEN(TRIM(I72))=0,LEN(TRIM(J72))=0,LEN(TRIM(K72))=0,LEN(TRIM(L72))=0,LEN(TRIM(M72))=0,LEN(TRIM(N72))=0,LEN(TRIM(O72))=0,LEN(TRIM(P72))=0),"ADMIN_INCOMPLETE",IF(H72&lt;&gt;"Yes","ADMIN_INVALID",IF(I72="Not feasible","BURDEN_NOT_FEASIBLE",IF(AI72&lt;&gt;"OK","UNRECOGNISED_VALUE","CLEAR")))))))</f>
        <v/>
      </c>
      <c r="AF72">
        <f>IF(AND(Q72="",R72=""),"",IF(IF(Q72&lt;&gt;"",Q72,R72)="Stage-A admissible - scoped","stage_a_admissible_scoped",IF(IF(Q72&lt;&gt;"",Q72,R72)="Stage-A admissible - scoped, control-dependent","stage_a_admissible_scoped_control_dependent",IF(IF(Q72&lt;&gt;"",Q72,R72)="Stage-A non-admissible - patchable","stage_a_non_admissible_patchable",IF(IF(Q72&lt;&gt;"",Q72,R72)="Stage-A non-admissible - unpatchable for stated claim","stage_a_non_admissible_unpatchable_for_stated_claim",IF(IF(Q72&lt;&gt;"",Q72,R72)="Indeterminate - insufficient evidence","indeterminate_insufficient_evidence",IF(IF(Q72&lt;&gt;"",Q72,R72)="Protocol refusal to evaluate","protocol_refusal_to_evaluate",IF(IF(Q72&lt;&gt;"",Q72,R72)="Out of scope","out_of_scope",IF(IF(Q72&lt;&gt;"",Q72,R72)="Withdrawn","withdrawn",IF(IF(Q72&lt;&gt;"",Q72,R72)="Not reviewed","not_reviewed","unknown_status"))))))))))</f>
        <v/>
      </c>
      <c r="AG72">
        <f>IF(AND(AF72="",T72=""),"",IF(AND(AF72&lt;&gt;"",ISNUMBER(SEARCH("token="&amp;AF72&amp;";",T72)),ISNUMBER(SEARCH(AK72,T72)),ISNUMBER(SEARCH("CL basis="&amp;AL72&amp;";",T72))),"VALID","INVALID_OR_INCOMPLETE"))</f>
        <v/>
      </c>
      <c r="AH72">
        <f>COUNTIF(K72:P72,"Adequate for scope")</f>
        <v/>
      </c>
      <c r="AI72">
        <f>IF(COUNTA(K72:P72)=0,"",IF(AA72+AB72+AC72+AD72+AH72=6,"OK","UNRECOGNISED_VALUE"))</f>
        <v/>
      </c>
      <c r="AJ72" s="303" t="n"/>
      <c r="AK72" s="303">
        <f>IF(A72="","",Vocabulary!$B$5)</f>
        <v/>
      </c>
      <c r="AL72" s="303">
        <f>IF(A72="","",Vocabulary!$B$6)</f>
        <v/>
      </c>
      <c r="AM72" s="303">
        <f>IF(AJ72="","OK",IF(COUNTIF(Vocabulary!$O$5:$O$8,AJ72)=1,"OK","UNRECOGNISED_ADMIN_DISPOSITION"))</f>
        <v/>
      </c>
    </row>
    <row r="73">
      <c r="Q73">
        <f>IF(AE73="","",IF(AE73="ADMIN_DISPOSITION",AJ73,IF(OR(AE73="ADMIN_INCOMPLETE",AE73="ADMIN_INVALID",AE73="BURDEN_NOT_FEASIBLE",AE73="UNRECOGNISED_VALUE",AE73="UNRECOGNISED_ADMIN_DISPOSITION"),"Protocol refusal to evaluate",IF(AA73&gt;0,"Stage-A non-admissible - unpatchable for stated claim",IF(AB73&gt;0,"Stage-A non-admissible - patchable",IF(OR(J73="Yes",I73="Indeterminate",AC73&gt;0),"Indeterminate - insufficient evidence",IF(AND(AH73=6,AD73=0),"Stage-A admissible - scoped",IF(AND(AH73+AD73=6,AD73&gt;0),"Stage-A admissible - scoped, control-dependent","Protocol refusal to evaluate"))))))))</f>
        <v/>
      </c>
      <c r="S73">
        <f>IF(AND(Q73="",R73=""),"",IF(AND(Q73&lt;&gt;"",R73=""),"UNRECORDED",IF(AND(Q73="",R73&lt;&gt;""),"ORPHAN_RECORDED",IF(Q73=R73,"MATCH","MISMATCH"))))</f>
        <v/>
      </c>
      <c r="AA73">
        <f>COUNTIF(K73:P73,"Material defect - unpatchable for stated claim")</f>
        <v/>
      </c>
      <c r="AB73">
        <f>COUNTIF(K73:P73,"Material defect - patchable")</f>
        <v/>
      </c>
      <c r="AC73">
        <f>COUNTIF(K73:P73,"Indeterminate")+COUNTIF(K73:P73,"Not reviewed")</f>
        <v/>
      </c>
      <c r="AD73">
        <f>COUNTIF(K73:P73,"Adequate - control-dependent")</f>
        <v/>
      </c>
      <c r="AE73">
        <f>IF(COUNTA(A73:P73)+COUNTA(AJ73)=0,"",IF(AM73&lt;&gt;"OK","UNRECOGNISED_ADMIN_DISPOSITION",IF(AND(AJ73&lt;&gt;"",AJ73&lt;&gt;"None"),IF(OR(LEN(TRIM(A73))=0,LEN(TRIM(B73))=0,LEN(TRIM(C73))=0,LEN(TRIM(F73))=0),"ADMIN_INCOMPLETE","ADMIN_DISPOSITION"),IF(OR(LEN(TRIM(A73))=0,LEN(TRIM(B73))=0,LEN(TRIM(C73))=0,LEN(TRIM(D73))=0,LEN(TRIM(E73))=0,LEN(TRIM(F73))=0,LEN(TRIM(G73))=0,LEN(TRIM(H73))=0,LEN(TRIM(I73))=0,LEN(TRIM(J73))=0,LEN(TRIM(K73))=0,LEN(TRIM(L73))=0,LEN(TRIM(M73))=0,LEN(TRIM(N73))=0,LEN(TRIM(O73))=0,LEN(TRIM(P73))=0),"ADMIN_INCOMPLETE",IF(H73&lt;&gt;"Yes","ADMIN_INVALID",IF(I73="Not feasible","BURDEN_NOT_FEASIBLE",IF(AI73&lt;&gt;"OK","UNRECOGNISED_VALUE","CLEAR")))))))</f>
        <v/>
      </c>
      <c r="AF73">
        <f>IF(AND(Q73="",R73=""),"",IF(IF(Q73&lt;&gt;"",Q73,R73)="Stage-A admissible - scoped","stage_a_admissible_scoped",IF(IF(Q73&lt;&gt;"",Q73,R73)="Stage-A admissible - scoped, control-dependent","stage_a_admissible_scoped_control_dependent",IF(IF(Q73&lt;&gt;"",Q73,R73)="Stage-A non-admissible - patchable","stage_a_non_admissible_patchable",IF(IF(Q73&lt;&gt;"",Q73,R73)="Stage-A non-admissible - unpatchable for stated claim","stage_a_non_admissible_unpatchable_for_stated_claim",IF(IF(Q73&lt;&gt;"",Q73,R73)="Indeterminate - insufficient evidence","indeterminate_insufficient_evidence",IF(IF(Q73&lt;&gt;"",Q73,R73)="Protocol refusal to evaluate","protocol_refusal_to_evaluate",IF(IF(Q73&lt;&gt;"",Q73,R73)="Out of scope","out_of_scope",IF(IF(Q73&lt;&gt;"",Q73,R73)="Withdrawn","withdrawn",IF(IF(Q73&lt;&gt;"",Q73,R73)="Not reviewed","not_reviewed","unknown_status"))))))))))</f>
        <v/>
      </c>
      <c r="AG73">
        <f>IF(AND(AF73="",T73=""),"",IF(AND(AF73&lt;&gt;"",ISNUMBER(SEARCH("token="&amp;AF73&amp;";",T73)),ISNUMBER(SEARCH(AK73,T73)),ISNUMBER(SEARCH("CL basis="&amp;AL73&amp;";",T73))),"VALID","INVALID_OR_INCOMPLETE"))</f>
        <v/>
      </c>
      <c r="AH73">
        <f>COUNTIF(K73:P73,"Adequate for scope")</f>
        <v/>
      </c>
      <c r="AI73">
        <f>IF(COUNTA(K73:P73)=0,"",IF(AA73+AB73+AC73+AD73+AH73=6,"OK","UNRECOGNISED_VALUE"))</f>
        <v/>
      </c>
      <c r="AJ73" s="303" t="n"/>
      <c r="AK73" s="303">
        <f>IF(A73="","",Vocabulary!$B$5)</f>
        <v/>
      </c>
      <c r="AL73" s="303">
        <f>IF(A73="","",Vocabulary!$B$6)</f>
        <v/>
      </c>
      <c r="AM73" s="303">
        <f>IF(AJ73="","OK",IF(COUNTIF(Vocabulary!$O$5:$O$8,AJ73)=1,"OK","UNRECOGNISED_ADMIN_DISPOSITION"))</f>
        <v/>
      </c>
    </row>
    <row r="74">
      <c r="Q74">
        <f>IF(AE74="","",IF(AE74="ADMIN_DISPOSITION",AJ74,IF(OR(AE74="ADMIN_INCOMPLETE",AE74="ADMIN_INVALID",AE74="BURDEN_NOT_FEASIBLE",AE74="UNRECOGNISED_VALUE",AE74="UNRECOGNISED_ADMIN_DISPOSITION"),"Protocol refusal to evaluate",IF(AA74&gt;0,"Stage-A non-admissible - unpatchable for stated claim",IF(AB74&gt;0,"Stage-A non-admissible - patchable",IF(OR(J74="Yes",I74="Indeterminate",AC74&gt;0),"Indeterminate - insufficient evidence",IF(AND(AH74=6,AD74=0),"Stage-A admissible - scoped",IF(AND(AH74+AD74=6,AD74&gt;0),"Stage-A admissible - scoped, control-dependent","Protocol refusal to evaluate"))))))))</f>
        <v/>
      </c>
      <c r="S74">
        <f>IF(AND(Q74="",R74=""),"",IF(AND(Q74&lt;&gt;"",R74=""),"UNRECORDED",IF(AND(Q74="",R74&lt;&gt;""),"ORPHAN_RECORDED",IF(Q74=R74,"MATCH","MISMATCH"))))</f>
        <v/>
      </c>
      <c r="AA74">
        <f>COUNTIF(K74:P74,"Material defect - unpatchable for stated claim")</f>
        <v/>
      </c>
      <c r="AB74">
        <f>COUNTIF(K74:P74,"Material defect - patchable")</f>
        <v/>
      </c>
      <c r="AC74">
        <f>COUNTIF(K74:P74,"Indeterminate")+COUNTIF(K74:P74,"Not reviewed")</f>
        <v/>
      </c>
      <c r="AD74">
        <f>COUNTIF(K74:P74,"Adequate - control-dependent")</f>
        <v/>
      </c>
      <c r="AE74">
        <f>IF(COUNTA(A74:P74)+COUNTA(AJ74)=0,"",IF(AM74&lt;&gt;"OK","UNRECOGNISED_ADMIN_DISPOSITION",IF(AND(AJ74&lt;&gt;"",AJ74&lt;&gt;"None"),IF(OR(LEN(TRIM(A74))=0,LEN(TRIM(B74))=0,LEN(TRIM(C74))=0,LEN(TRIM(F74))=0),"ADMIN_INCOMPLETE","ADMIN_DISPOSITION"),IF(OR(LEN(TRIM(A74))=0,LEN(TRIM(B74))=0,LEN(TRIM(C74))=0,LEN(TRIM(D74))=0,LEN(TRIM(E74))=0,LEN(TRIM(F74))=0,LEN(TRIM(G74))=0,LEN(TRIM(H74))=0,LEN(TRIM(I74))=0,LEN(TRIM(J74))=0,LEN(TRIM(K74))=0,LEN(TRIM(L74))=0,LEN(TRIM(M74))=0,LEN(TRIM(N74))=0,LEN(TRIM(O74))=0,LEN(TRIM(P74))=0),"ADMIN_INCOMPLETE",IF(H74&lt;&gt;"Yes","ADMIN_INVALID",IF(I74="Not feasible","BURDEN_NOT_FEASIBLE",IF(AI74&lt;&gt;"OK","UNRECOGNISED_VALUE","CLEAR")))))))</f>
        <v/>
      </c>
      <c r="AF74">
        <f>IF(AND(Q74="",R74=""),"",IF(IF(Q74&lt;&gt;"",Q74,R74)="Stage-A admissible - scoped","stage_a_admissible_scoped",IF(IF(Q74&lt;&gt;"",Q74,R74)="Stage-A admissible - scoped, control-dependent","stage_a_admissible_scoped_control_dependent",IF(IF(Q74&lt;&gt;"",Q74,R74)="Stage-A non-admissible - patchable","stage_a_non_admissible_patchable",IF(IF(Q74&lt;&gt;"",Q74,R74)="Stage-A non-admissible - unpatchable for stated claim","stage_a_non_admissible_unpatchable_for_stated_claim",IF(IF(Q74&lt;&gt;"",Q74,R74)="Indeterminate - insufficient evidence","indeterminate_insufficient_evidence",IF(IF(Q74&lt;&gt;"",Q74,R74)="Protocol refusal to evaluate","protocol_refusal_to_evaluate",IF(IF(Q74&lt;&gt;"",Q74,R74)="Out of scope","out_of_scope",IF(IF(Q74&lt;&gt;"",Q74,R74)="Withdrawn","withdrawn",IF(IF(Q74&lt;&gt;"",Q74,R74)="Not reviewed","not_reviewed","unknown_status"))))))))))</f>
        <v/>
      </c>
      <c r="AG74">
        <f>IF(AND(AF74="",T74=""),"",IF(AND(AF74&lt;&gt;"",ISNUMBER(SEARCH("token="&amp;AF74&amp;";",T74)),ISNUMBER(SEARCH(AK74,T74)),ISNUMBER(SEARCH("CL basis="&amp;AL74&amp;";",T74))),"VALID","INVALID_OR_INCOMPLETE"))</f>
        <v/>
      </c>
      <c r="AH74">
        <f>COUNTIF(K74:P74,"Adequate for scope")</f>
        <v/>
      </c>
      <c r="AI74">
        <f>IF(COUNTA(K74:P74)=0,"",IF(AA74+AB74+AC74+AD74+AH74=6,"OK","UNRECOGNISED_VALUE"))</f>
        <v/>
      </c>
      <c r="AJ74" s="303" t="n"/>
      <c r="AK74" s="303">
        <f>IF(A74="","",Vocabulary!$B$5)</f>
        <v/>
      </c>
      <c r="AL74" s="303">
        <f>IF(A74="","",Vocabulary!$B$6)</f>
        <v/>
      </c>
      <c r="AM74" s="303">
        <f>IF(AJ74="","OK",IF(COUNTIF(Vocabulary!$O$5:$O$8,AJ74)=1,"OK","UNRECOGNISED_ADMIN_DISPOSITION"))</f>
        <v/>
      </c>
    </row>
    <row r="75">
      <c r="Q75">
        <f>IF(AE75="","",IF(AE75="ADMIN_DISPOSITION",AJ75,IF(OR(AE75="ADMIN_INCOMPLETE",AE75="ADMIN_INVALID",AE75="BURDEN_NOT_FEASIBLE",AE75="UNRECOGNISED_VALUE",AE75="UNRECOGNISED_ADMIN_DISPOSITION"),"Protocol refusal to evaluate",IF(AA75&gt;0,"Stage-A non-admissible - unpatchable for stated claim",IF(AB75&gt;0,"Stage-A non-admissible - patchable",IF(OR(J75="Yes",I75="Indeterminate",AC75&gt;0),"Indeterminate - insufficient evidence",IF(AND(AH75=6,AD75=0),"Stage-A admissible - scoped",IF(AND(AH75+AD75=6,AD75&gt;0),"Stage-A admissible - scoped, control-dependent","Protocol refusal to evaluate"))))))))</f>
        <v/>
      </c>
      <c r="S75">
        <f>IF(AND(Q75="",R75=""),"",IF(AND(Q75&lt;&gt;"",R75=""),"UNRECORDED",IF(AND(Q75="",R75&lt;&gt;""),"ORPHAN_RECORDED",IF(Q75=R75,"MATCH","MISMATCH"))))</f>
        <v/>
      </c>
      <c r="AA75">
        <f>COUNTIF(K75:P75,"Material defect - unpatchable for stated claim")</f>
        <v/>
      </c>
      <c r="AB75">
        <f>COUNTIF(K75:P75,"Material defect - patchable")</f>
        <v/>
      </c>
      <c r="AC75">
        <f>COUNTIF(K75:P75,"Indeterminate")+COUNTIF(K75:P75,"Not reviewed")</f>
        <v/>
      </c>
      <c r="AD75">
        <f>COUNTIF(K75:P75,"Adequate - control-dependent")</f>
        <v/>
      </c>
      <c r="AE75">
        <f>IF(COUNTA(A75:P75)+COUNTA(AJ75)=0,"",IF(AM75&lt;&gt;"OK","UNRECOGNISED_ADMIN_DISPOSITION",IF(AND(AJ75&lt;&gt;"",AJ75&lt;&gt;"None"),IF(OR(LEN(TRIM(A75))=0,LEN(TRIM(B75))=0,LEN(TRIM(C75))=0,LEN(TRIM(F75))=0),"ADMIN_INCOMPLETE","ADMIN_DISPOSITION"),IF(OR(LEN(TRIM(A75))=0,LEN(TRIM(B75))=0,LEN(TRIM(C75))=0,LEN(TRIM(D75))=0,LEN(TRIM(E75))=0,LEN(TRIM(F75))=0,LEN(TRIM(G75))=0,LEN(TRIM(H75))=0,LEN(TRIM(I75))=0,LEN(TRIM(J75))=0,LEN(TRIM(K75))=0,LEN(TRIM(L75))=0,LEN(TRIM(M75))=0,LEN(TRIM(N75))=0,LEN(TRIM(O75))=0,LEN(TRIM(P75))=0),"ADMIN_INCOMPLETE",IF(H75&lt;&gt;"Yes","ADMIN_INVALID",IF(I75="Not feasible","BURDEN_NOT_FEASIBLE",IF(AI75&lt;&gt;"OK","UNRECOGNISED_VALUE","CLEAR")))))))</f>
        <v/>
      </c>
      <c r="AF75">
        <f>IF(AND(Q75="",R75=""),"",IF(IF(Q75&lt;&gt;"",Q75,R75)="Stage-A admissible - scoped","stage_a_admissible_scoped",IF(IF(Q75&lt;&gt;"",Q75,R75)="Stage-A admissible - scoped, control-dependent","stage_a_admissible_scoped_control_dependent",IF(IF(Q75&lt;&gt;"",Q75,R75)="Stage-A non-admissible - patchable","stage_a_non_admissible_patchable",IF(IF(Q75&lt;&gt;"",Q75,R75)="Stage-A non-admissible - unpatchable for stated claim","stage_a_non_admissible_unpatchable_for_stated_claim",IF(IF(Q75&lt;&gt;"",Q75,R75)="Indeterminate - insufficient evidence","indeterminate_insufficient_evidence",IF(IF(Q75&lt;&gt;"",Q75,R75)="Protocol refusal to evaluate","protocol_refusal_to_evaluate",IF(IF(Q75&lt;&gt;"",Q75,R75)="Out of scope","out_of_scope",IF(IF(Q75&lt;&gt;"",Q75,R75)="Withdrawn","withdrawn",IF(IF(Q75&lt;&gt;"",Q75,R75)="Not reviewed","not_reviewed","unknown_status"))))))))))</f>
        <v/>
      </c>
      <c r="AG75">
        <f>IF(AND(AF75="",T75=""),"",IF(AND(AF75&lt;&gt;"",ISNUMBER(SEARCH("token="&amp;AF75&amp;";",T75)),ISNUMBER(SEARCH(AK75,T75)),ISNUMBER(SEARCH("CL basis="&amp;AL75&amp;";",T75))),"VALID","INVALID_OR_INCOMPLETE"))</f>
        <v/>
      </c>
      <c r="AH75">
        <f>COUNTIF(K75:P75,"Adequate for scope")</f>
        <v/>
      </c>
      <c r="AI75">
        <f>IF(COUNTA(K75:P75)=0,"",IF(AA75+AB75+AC75+AD75+AH75=6,"OK","UNRECOGNISED_VALUE"))</f>
        <v/>
      </c>
      <c r="AJ75" s="303" t="n"/>
      <c r="AK75" s="303">
        <f>IF(A75="","",Vocabulary!$B$5)</f>
        <v/>
      </c>
      <c r="AL75" s="303">
        <f>IF(A75="","",Vocabulary!$B$6)</f>
        <v/>
      </c>
      <c r="AM75" s="303">
        <f>IF(AJ75="","OK",IF(COUNTIF(Vocabulary!$O$5:$O$8,AJ75)=1,"OK","UNRECOGNISED_ADMIN_DISPOSITION"))</f>
        <v/>
      </c>
    </row>
    <row r="76">
      <c r="Q76">
        <f>IF(AE76="","",IF(AE76="ADMIN_DISPOSITION",AJ76,IF(OR(AE76="ADMIN_INCOMPLETE",AE76="ADMIN_INVALID",AE76="BURDEN_NOT_FEASIBLE",AE76="UNRECOGNISED_VALUE",AE76="UNRECOGNISED_ADMIN_DISPOSITION"),"Protocol refusal to evaluate",IF(AA76&gt;0,"Stage-A non-admissible - unpatchable for stated claim",IF(AB76&gt;0,"Stage-A non-admissible - patchable",IF(OR(J76="Yes",I76="Indeterminate",AC76&gt;0),"Indeterminate - insufficient evidence",IF(AND(AH76=6,AD76=0),"Stage-A admissible - scoped",IF(AND(AH76+AD76=6,AD76&gt;0),"Stage-A admissible - scoped, control-dependent","Protocol refusal to evaluate"))))))))</f>
        <v/>
      </c>
      <c r="S76">
        <f>IF(AND(Q76="",R76=""),"",IF(AND(Q76&lt;&gt;"",R76=""),"UNRECORDED",IF(AND(Q76="",R76&lt;&gt;""),"ORPHAN_RECORDED",IF(Q76=R76,"MATCH","MISMATCH"))))</f>
        <v/>
      </c>
      <c r="AA76">
        <f>COUNTIF(K76:P76,"Material defect - unpatchable for stated claim")</f>
        <v/>
      </c>
      <c r="AB76">
        <f>COUNTIF(K76:P76,"Material defect - patchable")</f>
        <v/>
      </c>
      <c r="AC76">
        <f>COUNTIF(K76:P76,"Indeterminate")+COUNTIF(K76:P76,"Not reviewed")</f>
        <v/>
      </c>
      <c r="AD76">
        <f>COUNTIF(K76:P76,"Adequate - control-dependent")</f>
        <v/>
      </c>
      <c r="AE76">
        <f>IF(COUNTA(A76:P76)+COUNTA(AJ76)=0,"",IF(AM76&lt;&gt;"OK","UNRECOGNISED_ADMIN_DISPOSITION",IF(AND(AJ76&lt;&gt;"",AJ76&lt;&gt;"None"),IF(OR(LEN(TRIM(A76))=0,LEN(TRIM(B76))=0,LEN(TRIM(C76))=0,LEN(TRIM(F76))=0),"ADMIN_INCOMPLETE","ADMIN_DISPOSITION"),IF(OR(LEN(TRIM(A76))=0,LEN(TRIM(B76))=0,LEN(TRIM(C76))=0,LEN(TRIM(D76))=0,LEN(TRIM(E76))=0,LEN(TRIM(F76))=0,LEN(TRIM(G76))=0,LEN(TRIM(H76))=0,LEN(TRIM(I76))=0,LEN(TRIM(J76))=0,LEN(TRIM(K76))=0,LEN(TRIM(L76))=0,LEN(TRIM(M76))=0,LEN(TRIM(N76))=0,LEN(TRIM(O76))=0,LEN(TRIM(P76))=0),"ADMIN_INCOMPLETE",IF(H76&lt;&gt;"Yes","ADMIN_INVALID",IF(I76="Not feasible","BURDEN_NOT_FEASIBLE",IF(AI76&lt;&gt;"OK","UNRECOGNISED_VALUE","CLEAR")))))))</f>
        <v/>
      </c>
      <c r="AF76">
        <f>IF(AND(Q76="",R76=""),"",IF(IF(Q76&lt;&gt;"",Q76,R76)="Stage-A admissible - scoped","stage_a_admissible_scoped",IF(IF(Q76&lt;&gt;"",Q76,R76)="Stage-A admissible - scoped, control-dependent","stage_a_admissible_scoped_control_dependent",IF(IF(Q76&lt;&gt;"",Q76,R76)="Stage-A non-admissible - patchable","stage_a_non_admissible_patchable",IF(IF(Q76&lt;&gt;"",Q76,R76)="Stage-A non-admissible - unpatchable for stated claim","stage_a_non_admissible_unpatchable_for_stated_claim",IF(IF(Q76&lt;&gt;"",Q76,R76)="Indeterminate - insufficient evidence","indeterminate_insufficient_evidence",IF(IF(Q76&lt;&gt;"",Q76,R76)="Protocol refusal to evaluate","protocol_refusal_to_evaluate",IF(IF(Q76&lt;&gt;"",Q76,R76)="Out of scope","out_of_scope",IF(IF(Q76&lt;&gt;"",Q76,R76)="Withdrawn","withdrawn",IF(IF(Q76&lt;&gt;"",Q76,R76)="Not reviewed","not_reviewed","unknown_status"))))))))))</f>
        <v/>
      </c>
      <c r="AG76">
        <f>IF(AND(AF76="",T76=""),"",IF(AND(AF76&lt;&gt;"",ISNUMBER(SEARCH("token="&amp;AF76&amp;";",T76)),ISNUMBER(SEARCH(AK76,T76)),ISNUMBER(SEARCH("CL basis="&amp;AL76&amp;";",T76))),"VALID","INVALID_OR_INCOMPLETE"))</f>
        <v/>
      </c>
      <c r="AH76">
        <f>COUNTIF(K76:P76,"Adequate for scope")</f>
        <v/>
      </c>
      <c r="AI76">
        <f>IF(COUNTA(K76:P76)=0,"",IF(AA76+AB76+AC76+AD76+AH76=6,"OK","UNRECOGNISED_VALUE"))</f>
        <v/>
      </c>
      <c r="AJ76" s="303" t="n"/>
      <c r="AK76" s="303">
        <f>IF(A76="","",Vocabulary!$B$5)</f>
        <v/>
      </c>
      <c r="AL76" s="303">
        <f>IF(A76="","",Vocabulary!$B$6)</f>
        <v/>
      </c>
      <c r="AM76" s="303">
        <f>IF(AJ76="","OK",IF(COUNTIF(Vocabulary!$O$5:$O$8,AJ76)=1,"OK","UNRECOGNISED_ADMIN_DISPOSITION"))</f>
        <v/>
      </c>
    </row>
    <row r="77">
      <c r="Q77">
        <f>IF(AE77="","",IF(AE77="ADMIN_DISPOSITION",AJ77,IF(OR(AE77="ADMIN_INCOMPLETE",AE77="ADMIN_INVALID",AE77="BURDEN_NOT_FEASIBLE",AE77="UNRECOGNISED_VALUE",AE77="UNRECOGNISED_ADMIN_DISPOSITION"),"Protocol refusal to evaluate",IF(AA77&gt;0,"Stage-A non-admissible - unpatchable for stated claim",IF(AB77&gt;0,"Stage-A non-admissible - patchable",IF(OR(J77="Yes",I77="Indeterminate",AC77&gt;0),"Indeterminate - insufficient evidence",IF(AND(AH77=6,AD77=0),"Stage-A admissible - scoped",IF(AND(AH77+AD77=6,AD77&gt;0),"Stage-A admissible - scoped, control-dependent","Protocol refusal to evaluate"))))))))</f>
        <v/>
      </c>
      <c r="S77">
        <f>IF(AND(Q77="",R77=""),"",IF(AND(Q77&lt;&gt;"",R77=""),"UNRECORDED",IF(AND(Q77="",R77&lt;&gt;""),"ORPHAN_RECORDED",IF(Q77=R77,"MATCH","MISMATCH"))))</f>
        <v/>
      </c>
      <c r="AA77">
        <f>COUNTIF(K77:P77,"Material defect - unpatchable for stated claim")</f>
        <v/>
      </c>
      <c r="AB77">
        <f>COUNTIF(K77:P77,"Material defect - patchable")</f>
        <v/>
      </c>
      <c r="AC77">
        <f>COUNTIF(K77:P77,"Indeterminate")+COUNTIF(K77:P77,"Not reviewed")</f>
        <v/>
      </c>
      <c r="AD77">
        <f>COUNTIF(K77:P77,"Adequate - control-dependent")</f>
        <v/>
      </c>
      <c r="AE77">
        <f>IF(COUNTA(A77:P77)+COUNTA(AJ77)=0,"",IF(AM77&lt;&gt;"OK","UNRECOGNISED_ADMIN_DISPOSITION",IF(AND(AJ77&lt;&gt;"",AJ77&lt;&gt;"None"),IF(OR(LEN(TRIM(A77))=0,LEN(TRIM(B77))=0,LEN(TRIM(C77))=0,LEN(TRIM(F77))=0),"ADMIN_INCOMPLETE","ADMIN_DISPOSITION"),IF(OR(LEN(TRIM(A77))=0,LEN(TRIM(B77))=0,LEN(TRIM(C77))=0,LEN(TRIM(D77))=0,LEN(TRIM(E77))=0,LEN(TRIM(F77))=0,LEN(TRIM(G77))=0,LEN(TRIM(H77))=0,LEN(TRIM(I77))=0,LEN(TRIM(J77))=0,LEN(TRIM(K77))=0,LEN(TRIM(L77))=0,LEN(TRIM(M77))=0,LEN(TRIM(N77))=0,LEN(TRIM(O77))=0,LEN(TRIM(P77))=0),"ADMIN_INCOMPLETE",IF(H77&lt;&gt;"Yes","ADMIN_INVALID",IF(I77="Not feasible","BURDEN_NOT_FEASIBLE",IF(AI77&lt;&gt;"OK","UNRECOGNISED_VALUE","CLEAR")))))))</f>
        <v/>
      </c>
      <c r="AF77">
        <f>IF(AND(Q77="",R77=""),"",IF(IF(Q77&lt;&gt;"",Q77,R77)="Stage-A admissible - scoped","stage_a_admissible_scoped",IF(IF(Q77&lt;&gt;"",Q77,R77)="Stage-A admissible - scoped, control-dependent","stage_a_admissible_scoped_control_dependent",IF(IF(Q77&lt;&gt;"",Q77,R77)="Stage-A non-admissible - patchable","stage_a_non_admissible_patchable",IF(IF(Q77&lt;&gt;"",Q77,R77)="Stage-A non-admissible - unpatchable for stated claim","stage_a_non_admissible_unpatchable_for_stated_claim",IF(IF(Q77&lt;&gt;"",Q77,R77)="Indeterminate - insufficient evidence","indeterminate_insufficient_evidence",IF(IF(Q77&lt;&gt;"",Q77,R77)="Protocol refusal to evaluate","protocol_refusal_to_evaluate",IF(IF(Q77&lt;&gt;"",Q77,R77)="Out of scope","out_of_scope",IF(IF(Q77&lt;&gt;"",Q77,R77)="Withdrawn","withdrawn",IF(IF(Q77&lt;&gt;"",Q77,R77)="Not reviewed","not_reviewed","unknown_status"))))))))))</f>
        <v/>
      </c>
      <c r="AG77">
        <f>IF(AND(AF77="",T77=""),"",IF(AND(AF77&lt;&gt;"",ISNUMBER(SEARCH("token="&amp;AF77&amp;";",T77)),ISNUMBER(SEARCH(AK77,T77)),ISNUMBER(SEARCH("CL basis="&amp;AL77&amp;";",T77))),"VALID","INVALID_OR_INCOMPLETE"))</f>
        <v/>
      </c>
      <c r="AH77">
        <f>COUNTIF(K77:P77,"Adequate for scope")</f>
        <v/>
      </c>
      <c r="AI77">
        <f>IF(COUNTA(K77:P77)=0,"",IF(AA77+AB77+AC77+AD77+AH77=6,"OK","UNRECOGNISED_VALUE"))</f>
        <v/>
      </c>
      <c r="AJ77" s="303" t="n"/>
      <c r="AK77" s="303">
        <f>IF(A77="","",Vocabulary!$B$5)</f>
        <v/>
      </c>
      <c r="AL77" s="303">
        <f>IF(A77="","",Vocabulary!$B$6)</f>
        <v/>
      </c>
      <c r="AM77" s="303">
        <f>IF(AJ77="","OK",IF(COUNTIF(Vocabulary!$O$5:$O$8,AJ77)=1,"OK","UNRECOGNISED_ADMIN_DISPOSITION"))</f>
        <v/>
      </c>
    </row>
    <row r="78">
      <c r="Q78">
        <f>IF(AE78="","",IF(AE78="ADMIN_DISPOSITION",AJ78,IF(OR(AE78="ADMIN_INCOMPLETE",AE78="ADMIN_INVALID",AE78="BURDEN_NOT_FEASIBLE",AE78="UNRECOGNISED_VALUE",AE78="UNRECOGNISED_ADMIN_DISPOSITION"),"Protocol refusal to evaluate",IF(AA78&gt;0,"Stage-A non-admissible - unpatchable for stated claim",IF(AB78&gt;0,"Stage-A non-admissible - patchable",IF(OR(J78="Yes",I78="Indeterminate",AC78&gt;0),"Indeterminate - insufficient evidence",IF(AND(AH78=6,AD78=0),"Stage-A admissible - scoped",IF(AND(AH78+AD78=6,AD78&gt;0),"Stage-A admissible - scoped, control-dependent","Protocol refusal to evaluate"))))))))</f>
        <v/>
      </c>
      <c r="S78">
        <f>IF(AND(Q78="",R78=""),"",IF(AND(Q78&lt;&gt;"",R78=""),"UNRECORDED",IF(AND(Q78="",R78&lt;&gt;""),"ORPHAN_RECORDED",IF(Q78=R78,"MATCH","MISMATCH"))))</f>
        <v/>
      </c>
      <c r="AA78">
        <f>COUNTIF(K78:P78,"Material defect - unpatchable for stated claim")</f>
        <v/>
      </c>
      <c r="AB78">
        <f>COUNTIF(K78:P78,"Material defect - patchable")</f>
        <v/>
      </c>
      <c r="AC78">
        <f>COUNTIF(K78:P78,"Indeterminate")+COUNTIF(K78:P78,"Not reviewed")</f>
        <v/>
      </c>
      <c r="AD78">
        <f>COUNTIF(K78:P78,"Adequate - control-dependent")</f>
        <v/>
      </c>
      <c r="AE78">
        <f>IF(COUNTA(A78:P78)+COUNTA(AJ78)=0,"",IF(AM78&lt;&gt;"OK","UNRECOGNISED_ADMIN_DISPOSITION",IF(AND(AJ78&lt;&gt;"",AJ78&lt;&gt;"None"),IF(OR(LEN(TRIM(A78))=0,LEN(TRIM(B78))=0,LEN(TRIM(C78))=0,LEN(TRIM(F78))=0),"ADMIN_INCOMPLETE","ADMIN_DISPOSITION"),IF(OR(LEN(TRIM(A78))=0,LEN(TRIM(B78))=0,LEN(TRIM(C78))=0,LEN(TRIM(D78))=0,LEN(TRIM(E78))=0,LEN(TRIM(F78))=0,LEN(TRIM(G78))=0,LEN(TRIM(H78))=0,LEN(TRIM(I78))=0,LEN(TRIM(J78))=0,LEN(TRIM(K78))=0,LEN(TRIM(L78))=0,LEN(TRIM(M78))=0,LEN(TRIM(N78))=0,LEN(TRIM(O78))=0,LEN(TRIM(P78))=0),"ADMIN_INCOMPLETE",IF(H78&lt;&gt;"Yes","ADMIN_INVALID",IF(I78="Not feasible","BURDEN_NOT_FEASIBLE",IF(AI78&lt;&gt;"OK","UNRECOGNISED_VALUE","CLEAR")))))))</f>
        <v/>
      </c>
      <c r="AF78">
        <f>IF(AND(Q78="",R78=""),"",IF(IF(Q78&lt;&gt;"",Q78,R78)="Stage-A admissible - scoped","stage_a_admissible_scoped",IF(IF(Q78&lt;&gt;"",Q78,R78)="Stage-A admissible - scoped, control-dependent","stage_a_admissible_scoped_control_dependent",IF(IF(Q78&lt;&gt;"",Q78,R78)="Stage-A non-admissible - patchable","stage_a_non_admissible_patchable",IF(IF(Q78&lt;&gt;"",Q78,R78)="Stage-A non-admissible - unpatchable for stated claim","stage_a_non_admissible_unpatchable_for_stated_claim",IF(IF(Q78&lt;&gt;"",Q78,R78)="Indeterminate - insufficient evidence","indeterminate_insufficient_evidence",IF(IF(Q78&lt;&gt;"",Q78,R78)="Protocol refusal to evaluate","protocol_refusal_to_evaluate",IF(IF(Q78&lt;&gt;"",Q78,R78)="Out of scope","out_of_scope",IF(IF(Q78&lt;&gt;"",Q78,R78)="Withdrawn","withdrawn",IF(IF(Q78&lt;&gt;"",Q78,R78)="Not reviewed","not_reviewed","unknown_status"))))))))))</f>
        <v/>
      </c>
      <c r="AG78">
        <f>IF(AND(AF78="",T78=""),"",IF(AND(AF78&lt;&gt;"",ISNUMBER(SEARCH("token="&amp;AF78&amp;";",T78)),ISNUMBER(SEARCH(AK78,T78)),ISNUMBER(SEARCH("CL basis="&amp;AL78&amp;";",T78))),"VALID","INVALID_OR_INCOMPLETE"))</f>
        <v/>
      </c>
      <c r="AH78">
        <f>COUNTIF(K78:P78,"Adequate for scope")</f>
        <v/>
      </c>
      <c r="AI78">
        <f>IF(COUNTA(K78:P78)=0,"",IF(AA78+AB78+AC78+AD78+AH78=6,"OK","UNRECOGNISED_VALUE"))</f>
        <v/>
      </c>
      <c r="AJ78" s="303" t="n"/>
      <c r="AK78" s="303">
        <f>IF(A78="","",Vocabulary!$B$5)</f>
        <v/>
      </c>
      <c r="AL78" s="303">
        <f>IF(A78="","",Vocabulary!$B$6)</f>
        <v/>
      </c>
      <c r="AM78" s="303">
        <f>IF(AJ78="","OK",IF(COUNTIF(Vocabulary!$O$5:$O$8,AJ78)=1,"OK","UNRECOGNISED_ADMIN_DISPOSITION"))</f>
        <v/>
      </c>
    </row>
    <row r="79">
      <c r="Q79">
        <f>IF(AE79="","",IF(AE79="ADMIN_DISPOSITION",AJ79,IF(OR(AE79="ADMIN_INCOMPLETE",AE79="ADMIN_INVALID",AE79="BURDEN_NOT_FEASIBLE",AE79="UNRECOGNISED_VALUE",AE79="UNRECOGNISED_ADMIN_DISPOSITION"),"Protocol refusal to evaluate",IF(AA79&gt;0,"Stage-A non-admissible - unpatchable for stated claim",IF(AB79&gt;0,"Stage-A non-admissible - patchable",IF(OR(J79="Yes",I79="Indeterminate",AC79&gt;0),"Indeterminate - insufficient evidence",IF(AND(AH79=6,AD79=0),"Stage-A admissible - scoped",IF(AND(AH79+AD79=6,AD79&gt;0),"Stage-A admissible - scoped, control-dependent","Protocol refusal to evaluate"))))))))</f>
        <v/>
      </c>
      <c r="S79">
        <f>IF(AND(Q79="",R79=""),"",IF(AND(Q79&lt;&gt;"",R79=""),"UNRECORDED",IF(AND(Q79="",R79&lt;&gt;""),"ORPHAN_RECORDED",IF(Q79=R79,"MATCH","MISMATCH"))))</f>
        <v/>
      </c>
      <c r="AA79">
        <f>COUNTIF(K79:P79,"Material defect - unpatchable for stated claim")</f>
        <v/>
      </c>
      <c r="AB79">
        <f>COUNTIF(K79:P79,"Material defect - patchable")</f>
        <v/>
      </c>
      <c r="AC79">
        <f>COUNTIF(K79:P79,"Indeterminate")+COUNTIF(K79:P79,"Not reviewed")</f>
        <v/>
      </c>
      <c r="AD79">
        <f>COUNTIF(K79:P79,"Adequate - control-dependent")</f>
        <v/>
      </c>
      <c r="AE79">
        <f>IF(COUNTA(A79:P79)+COUNTA(AJ79)=0,"",IF(AM79&lt;&gt;"OK","UNRECOGNISED_ADMIN_DISPOSITION",IF(AND(AJ79&lt;&gt;"",AJ79&lt;&gt;"None"),IF(OR(LEN(TRIM(A79))=0,LEN(TRIM(B79))=0,LEN(TRIM(C79))=0,LEN(TRIM(F79))=0),"ADMIN_INCOMPLETE","ADMIN_DISPOSITION"),IF(OR(LEN(TRIM(A79))=0,LEN(TRIM(B79))=0,LEN(TRIM(C79))=0,LEN(TRIM(D79))=0,LEN(TRIM(E79))=0,LEN(TRIM(F79))=0,LEN(TRIM(G79))=0,LEN(TRIM(H79))=0,LEN(TRIM(I79))=0,LEN(TRIM(J79))=0,LEN(TRIM(K79))=0,LEN(TRIM(L79))=0,LEN(TRIM(M79))=0,LEN(TRIM(N79))=0,LEN(TRIM(O79))=0,LEN(TRIM(P79))=0),"ADMIN_INCOMPLETE",IF(H79&lt;&gt;"Yes","ADMIN_INVALID",IF(I79="Not feasible","BURDEN_NOT_FEASIBLE",IF(AI79&lt;&gt;"OK","UNRECOGNISED_VALUE","CLEAR")))))))</f>
        <v/>
      </c>
      <c r="AF79">
        <f>IF(AND(Q79="",R79=""),"",IF(IF(Q79&lt;&gt;"",Q79,R79)="Stage-A admissible - scoped","stage_a_admissible_scoped",IF(IF(Q79&lt;&gt;"",Q79,R79)="Stage-A admissible - scoped, control-dependent","stage_a_admissible_scoped_control_dependent",IF(IF(Q79&lt;&gt;"",Q79,R79)="Stage-A non-admissible - patchable","stage_a_non_admissible_patchable",IF(IF(Q79&lt;&gt;"",Q79,R79)="Stage-A non-admissible - unpatchable for stated claim","stage_a_non_admissible_unpatchable_for_stated_claim",IF(IF(Q79&lt;&gt;"",Q79,R79)="Indeterminate - insufficient evidence","indeterminate_insufficient_evidence",IF(IF(Q79&lt;&gt;"",Q79,R79)="Protocol refusal to evaluate","protocol_refusal_to_evaluate",IF(IF(Q79&lt;&gt;"",Q79,R79)="Out of scope","out_of_scope",IF(IF(Q79&lt;&gt;"",Q79,R79)="Withdrawn","withdrawn",IF(IF(Q79&lt;&gt;"",Q79,R79)="Not reviewed","not_reviewed","unknown_status"))))))))))</f>
        <v/>
      </c>
      <c r="AG79">
        <f>IF(AND(AF79="",T79=""),"",IF(AND(AF79&lt;&gt;"",ISNUMBER(SEARCH("token="&amp;AF79&amp;";",T79)),ISNUMBER(SEARCH(AK79,T79)),ISNUMBER(SEARCH("CL basis="&amp;AL79&amp;";",T79))),"VALID","INVALID_OR_INCOMPLETE"))</f>
        <v/>
      </c>
      <c r="AH79">
        <f>COUNTIF(K79:P79,"Adequate for scope")</f>
        <v/>
      </c>
      <c r="AI79">
        <f>IF(COUNTA(K79:P79)=0,"",IF(AA79+AB79+AC79+AD79+AH79=6,"OK","UNRECOGNISED_VALUE"))</f>
        <v/>
      </c>
      <c r="AJ79" s="303" t="n"/>
      <c r="AK79" s="303">
        <f>IF(A79="","",Vocabulary!$B$5)</f>
        <v/>
      </c>
      <c r="AL79" s="303">
        <f>IF(A79="","",Vocabulary!$B$6)</f>
        <v/>
      </c>
      <c r="AM79" s="303">
        <f>IF(AJ79="","OK",IF(COUNTIF(Vocabulary!$O$5:$O$8,AJ79)=1,"OK","UNRECOGNISED_ADMIN_DISPOSITION"))</f>
        <v/>
      </c>
    </row>
    <row r="80">
      <c r="Q80">
        <f>IF(AE80="","",IF(AE80="ADMIN_DISPOSITION",AJ80,IF(OR(AE80="ADMIN_INCOMPLETE",AE80="ADMIN_INVALID",AE80="BURDEN_NOT_FEASIBLE",AE80="UNRECOGNISED_VALUE",AE80="UNRECOGNISED_ADMIN_DISPOSITION"),"Protocol refusal to evaluate",IF(AA80&gt;0,"Stage-A non-admissible - unpatchable for stated claim",IF(AB80&gt;0,"Stage-A non-admissible - patchable",IF(OR(J80="Yes",I80="Indeterminate",AC80&gt;0),"Indeterminate - insufficient evidence",IF(AND(AH80=6,AD80=0),"Stage-A admissible - scoped",IF(AND(AH80+AD80=6,AD80&gt;0),"Stage-A admissible - scoped, control-dependent","Protocol refusal to evaluate"))))))))</f>
        <v/>
      </c>
      <c r="S80">
        <f>IF(AND(Q80="",R80=""),"",IF(AND(Q80&lt;&gt;"",R80=""),"UNRECORDED",IF(AND(Q80="",R80&lt;&gt;""),"ORPHAN_RECORDED",IF(Q80=R80,"MATCH","MISMATCH"))))</f>
        <v/>
      </c>
      <c r="AA80">
        <f>COUNTIF(K80:P80,"Material defect - unpatchable for stated claim")</f>
        <v/>
      </c>
      <c r="AB80">
        <f>COUNTIF(K80:P80,"Material defect - patchable")</f>
        <v/>
      </c>
      <c r="AC80">
        <f>COUNTIF(K80:P80,"Indeterminate")+COUNTIF(K80:P80,"Not reviewed")</f>
        <v/>
      </c>
      <c r="AD80">
        <f>COUNTIF(K80:P80,"Adequate - control-dependent")</f>
        <v/>
      </c>
      <c r="AE80">
        <f>IF(COUNTA(A80:P80)+COUNTA(AJ80)=0,"",IF(AM80&lt;&gt;"OK","UNRECOGNISED_ADMIN_DISPOSITION",IF(AND(AJ80&lt;&gt;"",AJ80&lt;&gt;"None"),IF(OR(LEN(TRIM(A80))=0,LEN(TRIM(B80))=0,LEN(TRIM(C80))=0,LEN(TRIM(F80))=0),"ADMIN_INCOMPLETE","ADMIN_DISPOSITION"),IF(OR(LEN(TRIM(A80))=0,LEN(TRIM(B80))=0,LEN(TRIM(C80))=0,LEN(TRIM(D80))=0,LEN(TRIM(E80))=0,LEN(TRIM(F80))=0,LEN(TRIM(G80))=0,LEN(TRIM(H80))=0,LEN(TRIM(I80))=0,LEN(TRIM(J80))=0,LEN(TRIM(K80))=0,LEN(TRIM(L80))=0,LEN(TRIM(M80))=0,LEN(TRIM(N80))=0,LEN(TRIM(O80))=0,LEN(TRIM(P80))=0),"ADMIN_INCOMPLETE",IF(H80&lt;&gt;"Yes","ADMIN_INVALID",IF(I80="Not feasible","BURDEN_NOT_FEASIBLE",IF(AI80&lt;&gt;"OK","UNRECOGNISED_VALUE","CLEAR")))))))</f>
        <v/>
      </c>
      <c r="AF80">
        <f>IF(AND(Q80="",R80=""),"",IF(IF(Q80&lt;&gt;"",Q80,R80)="Stage-A admissible - scoped","stage_a_admissible_scoped",IF(IF(Q80&lt;&gt;"",Q80,R80)="Stage-A admissible - scoped, control-dependent","stage_a_admissible_scoped_control_dependent",IF(IF(Q80&lt;&gt;"",Q80,R80)="Stage-A non-admissible - patchable","stage_a_non_admissible_patchable",IF(IF(Q80&lt;&gt;"",Q80,R80)="Stage-A non-admissible - unpatchable for stated claim","stage_a_non_admissible_unpatchable_for_stated_claim",IF(IF(Q80&lt;&gt;"",Q80,R80)="Indeterminate - insufficient evidence","indeterminate_insufficient_evidence",IF(IF(Q80&lt;&gt;"",Q80,R80)="Protocol refusal to evaluate","protocol_refusal_to_evaluate",IF(IF(Q80&lt;&gt;"",Q80,R80)="Out of scope","out_of_scope",IF(IF(Q80&lt;&gt;"",Q80,R80)="Withdrawn","withdrawn",IF(IF(Q80&lt;&gt;"",Q80,R80)="Not reviewed","not_reviewed","unknown_status"))))))))))</f>
        <v/>
      </c>
      <c r="AG80">
        <f>IF(AND(AF80="",T80=""),"",IF(AND(AF80&lt;&gt;"",ISNUMBER(SEARCH("token="&amp;AF80&amp;";",T80)),ISNUMBER(SEARCH(AK80,T80)),ISNUMBER(SEARCH("CL basis="&amp;AL80&amp;";",T80))),"VALID","INVALID_OR_INCOMPLETE"))</f>
        <v/>
      </c>
      <c r="AH80">
        <f>COUNTIF(K80:P80,"Adequate for scope")</f>
        <v/>
      </c>
      <c r="AI80">
        <f>IF(COUNTA(K80:P80)=0,"",IF(AA80+AB80+AC80+AD80+AH80=6,"OK","UNRECOGNISED_VALUE"))</f>
        <v/>
      </c>
      <c r="AJ80" s="303" t="n"/>
      <c r="AK80" s="303">
        <f>IF(A80="","",Vocabulary!$B$5)</f>
        <v/>
      </c>
      <c r="AL80" s="303">
        <f>IF(A80="","",Vocabulary!$B$6)</f>
        <v/>
      </c>
      <c r="AM80" s="303">
        <f>IF(AJ80="","OK",IF(COUNTIF(Vocabulary!$O$5:$O$8,AJ80)=1,"OK","UNRECOGNISED_ADMIN_DISPOSITION"))</f>
        <v/>
      </c>
    </row>
    <row r="81">
      <c r="Q81">
        <f>IF(AE81="","",IF(AE81="ADMIN_DISPOSITION",AJ81,IF(OR(AE81="ADMIN_INCOMPLETE",AE81="ADMIN_INVALID",AE81="BURDEN_NOT_FEASIBLE",AE81="UNRECOGNISED_VALUE",AE81="UNRECOGNISED_ADMIN_DISPOSITION"),"Protocol refusal to evaluate",IF(AA81&gt;0,"Stage-A non-admissible - unpatchable for stated claim",IF(AB81&gt;0,"Stage-A non-admissible - patchable",IF(OR(J81="Yes",I81="Indeterminate",AC81&gt;0),"Indeterminate - insufficient evidence",IF(AND(AH81=6,AD81=0),"Stage-A admissible - scoped",IF(AND(AH81+AD81=6,AD81&gt;0),"Stage-A admissible - scoped, control-dependent","Protocol refusal to evaluate"))))))))</f>
        <v/>
      </c>
      <c r="S81">
        <f>IF(AND(Q81="",R81=""),"",IF(AND(Q81&lt;&gt;"",R81=""),"UNRECORDED",IF(AND(Q81="",R81&lt;&gt;""),"ORPHAN_RECORDED",IF(Q81=R81,"MATCH","MISMATCH"))))</f>
        <v/>
      </c>
      <c r="AA81">
        <f>COUNTIF(K81:P81,"Material defect - unpatchable for stated claim")</f>
        <v/>
      </c>
      <c r="AB81">
        <f>COUNTIF(K81:P81,"Material defect - patchable")</f>
        <v/>
      </c>
      <c r="AC81">
        <f>COUNTIF(K81:P81,"Indeterminate")+COUNTIF(K81:P81,"Not reviewed")</f>
        <v/>
      </c>
      <c r="AD81">
        <f>COUNTIF(K81:P81,"Adequate - control-dependent")</f>
        <v/>
      </c>
      <c r="AE81">
        <f>IF(COUNTA(A81:P81)+COUNTA(AJ81)=0,"",IF(AM81&lt;&gt;"OK","UNRECOGNISED_ADMIN_DISPOSITION",IF(AND(AJ81&lt;&gt;"",AJ81&lt;&gt;"None"),IF(OR(LEN(TRIM(A81))=0,LEN(TRIM(B81))=0,LEN(TRIM(C81))=0,LEN(TRIM(F81))=0),"ADMIN_INCOMPLETE","ADMIN_DISPOSITION"),IF(OR(LEN(TRIM(A81))=0,LEN(TRIM(B81))=0,LEN(TRIM(C81))=0,LEN(TRIM(D81))=0,LEN(TRIM(E81))=0,LEN(TRIM(F81))=0,LEN(TRIM(G81))=0,LEN(TRIM(H81))=0,LEN(TRIM(I81))=0,LEN(TRIM(J81))=0,LEN(TRIM(K81))=0,LEN(TRIM(L81))=0,LEN(TRIM(M81))=0,LEN(TRIM(N81))=0,LEN(TRIM(O81))=0,LEN(TRIM(P81))=0),"ADMIN_INCOMPLETE",IF(H81&lt;&gt;"Yes","ADMIN_INVALID",IF(I81="Not feasible","BURDEN_NOT_FEASIBLE",IF(AI81&lt;&gt;"OK","UNRECOGNISED_VALUE","CLEAR")))))))</f>
        <v/>
      </c>
      <c r="AF81">
        <f>IF(AND(Q81="",R81=""),"",IF(IF(Q81&lt;&gt;"",Q81,R81)="Stage-A admissible - scoped","stage_a_admissible_scoped",IF(IF(Q81&lt;&gt;"",Q81,R81)="Stage-A admissible - scoped, control-dependent","stage_a_admissible_scoped_control_dependent",IF(IF(Q81&lt;&gt;"",Q81,R81)="Stage-A non-admissible - patchable","stage_a_non_admissible_patchable",IF(IF(Q81&lt;&gt;"",Q81,R81)="Stage-A non-admissible - unpatchable for stated claim","stage_a_non_admissible_unpatchable_for_stated_claim",IF(IF(Q81&lt;&gt;"",Q81,R81)="Indeterminate - insufficient evidence","indeterminate_insufficient_evidence",IF(IF(Q81&lt;&gt;"",Q81,R81)="Protocol refusal to evaluate","protocol_refusal_to_evaluate",IF(IF(Q81&lt;&gt;"",Q81,R81)="Out of scope","out_of_scope",IF(IF(Q81&lt;&gt;"",Q81,R81)="Withdrawn","withdrawn",IF(IF(Q81&lt;&gt;"",Q81,R81)="Not reviewed","not_reviewed","unknown_status"))))))))))</f>
        <v/>
      </c>
      <c r="AG81">
        <f>IF(AND(AF81="",T81=""),"",IF(AND(AF81&lt;&gt;"",ISNUMBER(SEARCH("token="&amp;AF81&amp;";",T81)),ISNUMBER(SEARCH(AK81,T81)),ISNUMBER(SEARCH("CL basis="&amp;AL81&amp;";",T81))),"VALID","INVALID_OR_INCOMPLETE"))</f>
        <v/>
      </c>
      <c r="AH81">
        <f>COUNTIF(K81:P81,"Adequate for scope")</f>
        <v/>
      </c>
      <c r="AI81">
        <f>IF(COUNTA(K81:P81)=0,"",IF(AA81+AB81+AC81+AD81+AH81=6,"OK","UNRECOGNISED_VALUE"))</f>
        <v/>
      </c>
      <c r="AJ81" s="303" t="n"/>
      <c r="AK81" s="303">
        <f>IF(A81="","",Vocabulary!$B$5)</f>
        <v/>
      </c>
      <c r="AL81" s="303">
        <f>IF(A81="","",Vocabulary!$B$6)</f>
        <v/>
      </c>
      <c r="AM81" s="303">
        <f>IF(AJ81="","OK",IF(COUNTIF(Vocabulary!$O$5:$O$8,AJ81)=1,"OK","UNRECOGNISED_ADMIN_DISPOSITION"))</f>
        <v/>
      </c>
    </row>
    <row r="82">
      <c r="Q82">
        <f>IF(AE82="","",IF(AE82="ADMIN_DISPOSITION",AJ82,IF(OR(AE82="ADMIN_INCOMPLETE",AE82="ADMIN_INVALID",AE82="BURDEN_NOT_FEASIBLE",AE82="UNRECOGNISED_VALUE",AE82="UNRECOGNISED_ADMIN_DISPOSITION"),"Protocol refusal to evaluate",IF(AA82&gt;0,"Stage-A non-admissible - unpatchable for stated claim",IF(AB82&gt;0,"Stage-A non-admissible - patchable",IF(OR(J82="Yes",I82="Indeterminate",AC82&gt;0),"Indeterminate - insufficient evidence",IF(AND(AH82=6,AD82=0),"Stage-A admissible - scoped",IF(AND(AH82+AD82=6,AD82&gt;0),"Stage-A admissible - scoped, control-dependent","Protocol refusal to evaluate"))))))))</f>
        <v/>
      </c>
      <c r="S82">
        <f>IF(AND(Q82="",R82=""),"",IF(AND(Q82&lt;&gt;"",R82=""),"UNRECORDED",IF(AND(Q82="",R82&lt;&gt;""),"ORPHAN_RECORDED",IF(Q82=R82,"MATCH","MISMATCH"))))</f>
        <v/>
      </c>
      <c r="AA82">
        <f>COUNTIF(K82:P82,"Material defect - unpatchable for stated claim")</f>
        <v/>
      </c>
      <c r="AB82">
        <f>COUNTIF(K82:P82,"Material defect - patchable")</f>
        <v/>
      </c>
      <c r="AC82">
        <f>COUNTIF(K82:P82,"Indeterminate")+COUNTIF(K82:P82,"Not reviewed")</f>
        <v/>
      </c>
      <c r="AD82">
        <f>COUNTIF(K82:P82,"Adequate - control-dependent")</f>
        <v/>
      </c>
      <c r="AE82">
        <f>IF(COUNTA(A82:P82)+COUNTA(AJ82)=0,"",IF(AM82&lt;&gt;"OK","UNRECOGNISED_ADMIN_DISPOSITION",IF(AND(AJ82&lt;&gt;"",AJ82&lt;&gt;"None"),IF(OR(LEN(TRIM(A82))=0,LEN(TRIM(B82))=0,LEN(TRIM(C82))=0,LEN(TRIM(F82))=0),"ADMIN_INCOMPLETE","ADMIN_DISPOSITION"),IF(OR(LEN(TRIM(A82))=0,LEN(TRIM(B82))=0,LEN(TRIM(C82))=0,LEN(TRIM(D82))=0,LEN(TRIM(E82))=0,LEN(TRIM(F82))=0,LEN(TRIM(G82))=0,LEN(TRIM(H82))=0,LEN(TRIM(I82))=0,LEN(TRIM(J82))=0,LEN(TRIM(K82))=0,LEN(TRIM(L82))=0,LEN(TRIM(M82))=0,LEN(TRIM(N82))=0,LEN(TRIM(O82))=0,LEN(TRIM(P82))=0),"ADMIN_INCOMPLETE",IF(H82&lt;&gt;"Yes","ADMIN_INVALID",IF(I82="Not feasible","BURDEN_NOT_FEASIBLE",IF(AI82&lt;&gt;"OK","UNRECOGNISED_VALUE","CLEAR")))))))</f>
        <v/>
      </c>
      <c r="AF82">
        <f>IF(AND(Q82="",R82=""),"",IF(IF(Q82&lt;&gt;"",Q82,R82)="Stage-A admissible - scoped","stage_a_admissible_scoped",IF(IF(Q82&lt;&gt;"",Q82,R82)="Stage-A admissible - scoped, control-dependent","stage_a_admissible_scoped_control_dependent",IF(IF(Q82&lt;&gt;"",Q82,R82)="Stage-A non-admissible - patchable","stage_a_non_admissible_patchable",IF(IF(Q82&lt;&gt;"",Q82,R82)="Stage-A non-admissible - unpatchable for stated claim","stage_a_non_admissible_unpatchable_for_stated_claim",IF(IF(Q82&lt;&gt;"",Q82,R82)="Indeterminate - insufficient evidence","indeterminate_insufficient_evidence",IF(IF(Q82&lt;&gt;"",Q82,R82)="Protocol refusal to evaluate","protocol_refusal_to_evaluate",IF(IF(Q82&lt;&gt;"",Q82,R82)="Out of scope","out_of_scope",IF(IF(Q82&lt;&gt;"",Q82,R82)="Withdrawn","withdrawn",IF(IF(Q82&lt;&gt;"",Q82,R82)="Not reviewed","not_reviewed","unknown_status"))))))))))</f>
        <v/>
      </c>
      <c r="AG82">
        <f>IF(AND(AF82="",T82=""),"",IF(AND(AF82&lt;&gt;"",ISNUMBER(SEARCH("token="&amp;AF82&amp;";",T82)),ISNUMBER(SEARCH(AK82,T82)),ISNUMBER(SEARCH("CL basis="&amp;AL82&amp;";",T82))),"VALID","INVALID_OR_INCOMPLETE"))</f>
        <v/>
      </c>
      <c r="AH82">
        <f>COUNTIF(K82:P82,"Adequate for scope")</f>
        <v/>
      </c>
      <c r="AI82">
        <f>IF(COUNTA(K82:P82)=0,"",IF(AA82+AB82+AC82+AD82+AH82=6,"OK","UNRECOGNISED_VALUE"))</f>
        <v/>
      </c>
      <c r="AJ82" s="303" t="n"/>
      <c r="AK82" s="303">
        <f>IF(A82="","",Vocabulary!$B$5)</f>
        <v/>
      </c>
      <c r="AL82" s="303">
        <f>IF(A82="","",Vocabulary!$B$6)</f>
        <v/>
      </c>
      <c r="AM82" s="303">
        <f>IF(AJ82="","OK",IF(COUNTIF(Vocabulary!$O$5:$O$8,AJ82)=1,"OK","UNRECOGNISED_ADMIN_DISPOSITION"))</f>
        <v/>
      </c>
    </row>
    <row r="83">
      <c r="Q83">
        <f>IF(AE83="","",IF(AE83="ADMIN_DISPOSITION",AJ83,IF(OR(AE83="ADMIN_INCOMPLETE",AE83="ADMIN_INVALID",AE83="BURDEN_NOT_FEASIBLE",AE83="UNRECOGNISED_VALUE",AE83="UNRECOGNISED_ADMIN_DISPOSITION"),"Protocol refusal to evaluate",IF(AA83&gt;0,"Stage-A non-admissible - unpatchable for stated claim",IF(AB83&gt;0,"Stage-A non-admissible - patchable",IF(OR(J83="Yes",I83="Indeterminate",AC83&gt;0),"Indeterminate - insufficient evidence",IF(AND(AH83=6,AD83=0),"Stage-A admissible - scoped",IF(AND(AH83+AD83=6,AD83&gt;0),"Stage-A admissible - scoped, control-dependent","Protocol refusal to evaluate"))))))))</f>
        <v/>
      </c>
      <c r="S83">
        <f>IF(AND(Q83="",R83=""),"",IF(AND(Q83&lt;&gt;"",R83=""),"UNRECORDED",IF(AND(Q83="",R83&lt;&gt;""),"ORPHAN_RECORDED",IF(Q83=R83,"MATCH","MISMATCH"))))</f>
        <v/>
      </c>
      <c r="AA83">
        <f>COUNTIF(K83:P83,"Material defect - unpatchable for stated claim")</f>
        <v/>
      </c>
      <c r="AB83">
        <f>COUNTIF(K83:P83,"Material defect - patchable")</f>
        <v/>
      </c>
      <c r="AC83">
        <f>COUNTIF(K83:P83,"Indeterminate")+COUNTIF(K83:P83,"Not reviewed")</f>
        <v/>
      </c>
      <c r="AD83">
        <f>COUNTIF(K83:P83,"Adequate - control-dependent")</f>
        <v/>
      </c>
      <c r="AE83">
        <f>IF(COUNTA(A83:P83)+COUNTA(AJ83)=0,"",IF(AM83&lt;&gt;"OK","UNRECOGNISED_ADMIN_DISPOSITION",IF(AND(AJ83&lt;&gt;"",AJ83&lt;&gt;"None"),IF(OR(LEN(TRIM(A83))=0,LEN(TRIM(B83))=0,LEN(TRIM(C83))=0,LEN(TRIM(F83))=0),"ADMIN_INCOMPLETE","ADMIN_DISPOSITION"),IF(OR(LEN(TRIM(A83))=0,LEN(TRIM(B83))=0,LEN(TRIM(C83))=0,LEN(TRIM(D83))=0,LEN(TRIM(E83))=0,LEN(TRIM(F83))=0,LEN(TRIM(G83))=0,LEN(TRIM(H83))=0,LEN(TRIM(I83))=0,LEN(TRIM(J83))=0,LEN(TRIM(K83))=0,LEN(TRIM(L83))=0,LEN(TRIM(M83))=0,LEN(TRIM(N83))=0,LEN(TRIM(O83))=0,LEN(TRIM(P83))=0),"ADMIN_INCOMPLETE",IF(H83&lt;&gt;"Yes","ADMIN_INVALID",IF(I83="Not feasible","BURDEN_NOT_FEASIBLE",IF(AI83&lt;&gt;"OK","UNRECOGNISED_VALUE","CLEAR")))))))</f>
        <v/>
      </c>
      <c r="AF83">
        <f>IF(AND(Q83="",R83=""),"",IF(IF(Q83&lt;&gt;"",Q83,R83)="Stage-A admissible - scoped","stage_a_admissible_scoped",IF(IF(Q83&lt;&gt;"",Q83,R83)="Stage-A admissible - scoped, control-dependent","stage_a_admissible_scoped_control_dependent",IF(IF(Q83&lt;&gt;"",Q83,R83)="Stage-A non-admissible - patchable","stage_a_non_admissible_patchable",IF(IF(Q83&lt;&gt;"",Q83,R83)="Stage-A non-admissible - unpatchable for stated claim","stage_a_non_admissible_unpatchable_for_stated_claim",IF(IF(Q83&lt;&gt;"",Q83,R83)="Indeterminate - insufficient evidence","indeterminate_insufficient_evidence",IF(IF(Q83&lt;&gt;"",Q83,R83)="Protocol refusal to evaluate","protocol_refusal_to_evaluate",IF(IF(Q83&lt;&gt;"",Q83,R83)="Out of scope","out_of_scope",IF(IF(Q83&lt;&gt;"",Q83,R83)="Withdrawn","withdrawn",IF(IF(Q83&lt;&gt;"",Q83,R83)="Not reviewed","not_reviewed","unknown_status"))))))))))</f>
        <v/>
      </c>
      <c r="AG83">
        <f>IF(AND(AF83="",T83=""),"",IF(AND(AF83&lt;&gt;"",ISNUMBER(SEARCH("token="&amp;AF83&amp;";",T83)),ISNUMBER(SEARCH(AK83,T83)),ISNUMBER(SEARCH("CL basis="&amp;AL83&amp;";",T83))),"VALID","INVALID_OR_INCOMPLETE"))</f>
        <v/>
      </c>
      <c r="AH83">
        <f>COUNTIF(K83:P83,"Adequate for scope")</f>
        <v/>
      </c>
      <c r="AI83">
        <f>IF(COUNTA(K83:P83)=0,"",IF(AA83+AB83+AC83+AD83+AH83=6,"OK","UNRECOGNISED_VALUE"))</f>
        <v/>
      </c>
      <c r="AJ83" s="303" t="n"/>
      <c r="AK83" s="303">
        <f>IF(A83="","",Vocabulary!$B$5)</f>
        <v/>
      </c>
      <c r="AL83" s="303">
        <f>IF(A83="","",Vocabulary!$B$6)</f>
        <v/>
      </c>
      <c r="AM83" s="303">
        <f>IF(AJ83="","OK",IF(COUNTIF(Vocabulary!$O$5:$O$8,AJ83)=1,"OK","UNRECOGNISED_ADMIN_DISPOSITION"))</f>
        <v/>
      </c>
    </row>
    <row r="84">
      <c r="Q84">
        <f>IF(AE84="","",IF(AE84="ADMIN_DISPOSITION",AJ84,IF(OR(AE84="ADMIN_INCOMPLETE",AE84="ADMIN_INVALID",AE84="BURDEN_NOT_FEASIBLE",AE84="UNRECOGNISED_VALUE",AE84="UNRECOGNISED_ADMIN_DISPOSITION"),"Protocol refusal to evaluate",IF(AA84&gt;0,"Stage-A non-admissible - unpatchable for stated claim",IF(AB84&gt;0,"Stage-A non-admissible - patchable",IF(OR(J84="Yes",I84="Indeterminate",AC84&gt;0),"Indeterminate - insufficient evidence",IF(AND(AH84=6,AD84=0),"Stage-A admissible - scoped",IF(AND(AH84+AD84=6,AD84&gt;0),"Stage-A admissible - scoped, control-dependent","Protocol refusal to evaluate"))))))))</f>
        <v/>
      </c>
      <c r="S84">
        <f>IF(AND(Q84="",R84=""),"",IF(AND(Q84&lt;&gt;"",R84=""),"UNRECORDED",IF(AND(Q84="",R84&lt;&gt;""),"ORPHAN_RECORDED",IF(Q84=R84,"MATCH","MISMATCH"))))</f>
        <v/>
      </c>
      <c r="AA84">
        <f>COUNTIF(K84:P84,"Material defect - unpatchable for stated claim")</f>
        <v/>
      </c>
      <c r="AB84">
        <f>COUNTIF(K84:P84,"Material defect - patchable")</f>
        <v/>
      </c>
      <c r="AC84">
        <f>COUNTIF(K84:P84,"Indeterminate")+COUNTIF(K84:P84,"Not reviewed")</f>
        <v/>
      </c>
      <c r="AD84">
        <f>COUNTIF(K84:P84,"Adequate - control-dependent")</f>
        <v/>
      </c>
      <c r="AE84">
        <f>IF(COUNTA(A84:P84)+COUNTA(AJ84)=0,"",IF(AM84&lt;&gt;"OK","UNRECOGNISED_ADMIN_DISPOSITION",IF(AND(AJ84&lt;&gt;"",AJ84&lt;&gt;"None"),IF(OR(LEN(TRIM(A84))=0,LEN(TRIM(B84))=0,LEN(TRIM(C84))=0,LEN(TRIM(F84))=0),"ADMIN_INCOMPLETE","ADMIN_DISPOSITION"),IF(OR(LEN(TRIM(A84))=0,LEN(TRIM(B84))=0,LEN(TRIM(C84))=0,LEN(TRIM(D84))=0,LEN(TRIM(E84))=0,LEN(TRIM(F84))=0,LEN(TRIM(G84))=0,LEN(TRIM(H84))=0,LEN(TRIM(I84))=0,LEN(TRIM(J84))=0,LEN(TRIM(K84))=0,LEN(TRIM(L84))=0,LEN(TRIM(M84))=0,LEN(TRIM(N84))=0,LEN(TRIM(O84))=0,LEN(TRIM(P84))=0),"ADMIN_INCOMPLETE",IF(H84&lt;&gt;"Yes","ADMIN_INVALID",IF(I84="Not feasible","BURDEN_NOT_FEASIBLE",IF(AI84&lt;&gt;"OK","UNRECOGNISED_VALUE","CLEAR")))))))</f>
        <v/>
      </c>
      <c r="AF84">
        <f>IF(AND(Q84="",R84=""),"",IF(IF(Q84&lt;&gt;"",Q84,R84)="Stage-A admissible - scoped","stage_a_admissible_scoped",IF(IF(Q84&lt;&gt;"",Q84,R84)="Stage-A admissible - scoped, control-dependent","stage_a_admissible_scoped_control_dependent",IF(IF(Q84&lt;&gt;"",Q84,R84)="Stage-A non-admissible - patchable","stage_a_non_admissible_patchable",IF(IF(Q84&lt;&gt;"",Q84,R84)="Stage-A non-admissible - unpatchable for stated claim","stage_a_non_admissible_unpatchable_for_stated_claim",IF(IF(Q84&lt;&gt;"",Q84,R84)="Indeterminate - insufficient evidence","indeterminate_insufficient_evidence",IF(IF(Q84&lt;&gt;"",Q84,R84)="Protocol refusal to evaluate","protocol_refusal_to_evaluate",IF(IF(Q84&lt;&gt;"",Q84,R84)="Out of scope","out_of_scope",IF(IF(Q84&lt;&gt;"",Q84,R84)="Withdrawn","withdrawn",IF(IF(Q84&lt;&gt;"",Q84,R84)="Not reviewed","not_reviewed","unknown_status"))))))))))</f>
        <v/>
      </c>
      <c r="AG84">
        <f>IF(AND(AF84="",T84=""),"",IF(AND(AF84&lt;&gt;"",ISNUMBER(SEARCH("token="&amp;AF84&amp;";",T84)),ISNUMBER(SEARCH(AK84,T84)),ISNUMBER(SEARCH("CL basis="&amp;AL84&amp;";",T84))),"VALID","INVALID_OR_INCOMPLETE"))</f>
        <v/>
      </c>
      <c r="AH84">
        <f>COUNTIF(K84:P84,"Adequate for scope")</f>
        <v/>
      </c>
      <c r="AI84">
        <f>IF(COUNTA(K84:P84)=0,"",IF(AA84+AB84+AC84+AD84+AH84=6,"OK","UNRECOGNISED_VALUE"))</f>
        <v/>
      </c>
      <c r="AJ84" s="303" t="n"/>
      <c r="AK84" s="303">
        <f>IF(A84="","",Vocabulary!$B$5)</f>
        <v/>
      </c>
      <c r="AL84" s="303">
        <f>IF(A84="","",Vocabulary!$B$6)</f>
        <v/>
      </c>
      <c r="AM84" s="303">
        <f>IF(AJ84="","OK",IF(COUNTIF(Vocabulary!$O$5:$O$8,AJ84)=1,"OK","UNRECOGNISED_ADMIN_DISPOSITION"))</f>
        <v/>
      </c>
    </row>
    <row r="85">
      <c r="Q85">
        <f>IF(AE85="","",IF(AE85="ADMIN_DISPOSITION",AJ85,IF(OR(AE85="ADMIN_INCOMPLETE",AE85="ADMIN_INVALID",AE85="BURDEN_NOT_FEASIBLE",AE85="UNRECOGNISED_VALUE",AE85="UNRECOGNISED_ADMIN_DISPOSITION"),"Protocol refusal to evaluate",IF(AA85&gt;0,"Stage-A non-admissible - unpatchable for stated claim",IF(AB85&gt;0,"Stage-A non-admissible - patchable",IF(OR(J85="Yes",I85="Indeterminate",AC85&gt;0),"Indeterminate - insufficient evidence",IF(AND(AH85=6,AD85=0),"Stage-A admissible - scoped",IF(AND(AH85+AD85=6,AD85&gt;0),"Stage-A admissible - scoped, control-dependent","Protocol refusal to evaluate"))))))))</f>
        <v/>
      </c>
      <c r="S85">
        <f>IF(AND(Q85="",R85=""),"",IF(AND(Q85&lt;&gt;"",R85=""),"UNRECORDED",IF(AND(Q85="",R85&lt;&gt;""),"ORPHAN_RECORDED",IF(Q85=R85,"MATCH","MISMATCH"))))</f>
        <v/>
      </c>
      <c r="AA85">
        <f>COUNTIF(K85:P85,"Material defect - unpatchable for stated claim")</f>
        <v/>
      </c>
      <c r="AB85">
        <f>COUNTIF(K85:P85,"Material defect - patchable")</f>
        <v/>
      </c>
      <c r="AC85">
        <f>COUNTIF(K85:P85,"Indeterminate")+COUNTIF(K85:P85,"Not reviewed")</f>
        <v/>
      </c>
      <c r="AD85">
        <f>COUNTIF(K85:P85,"Adequate - control-dependent")</f>
        <v/>
      </c>
      <c r="AE85">
        <f>IF(COUNTA(A85:P85)+COUNTA(AJ85)=0,"",IF(AM85&lt;&gt;"OK","UNRECOGNISED_ADMIN_DISPOSITION",IF(AND(AJ85&lt;&gt;"",AJ85&lt;&gt;"None"),IF(OR(LEN(TRIM(A85))=0,LEN(TRIM(B85))=0,LEN(TRIM(C85))=0,LEN(TRIM(F85))=0),"ADMIN_INCOMPLETE","ADMIN_DISPOSITION"),IF(OR(LEN(TRIM(A85))=0,LEN(TRIM(B85))=0,LEN(TRIM(C85))=0,LEN(TRIM(D85))=0,LEN(TRIM(E85))=0,LEN(TRIM(F85))=0,LEN(TRIM(G85))=0,LEN(TRIM(H85))=0,LEN(TRIM(I85))=0,LEN(TRIM(J85))=0,LEN(TRIM(K85))=0,LEN(TRIM(L85))=0,LEN(TRIM(M85))=0,LEN(TRIM(N85))=0,LEN(TRIM(O85))=0,LEN(TRIM(P85))=0),"ADMIN_INCOMPLETE",IF(H85&lt;&gt;"Yes","ADMIN_INVALID",IF(I85="Not feasible","BURDEN_NOT_FEASIBLE",IF(AI85&lt;&gt;"OK","UNRECOGNISED_VALUE","CLEAR")))))))</f>
        <v/>
      </c>
      <c r="AF85">
        <f>IF(AND(Q85="",R85=""),"",IF(IF(Q85&lt;&gt;"",Q85,R85)="Stage-A admissible - scoped","stage_a_admissible_scoped",IF(IF(Q85&lt;&gt;"",Q85,R85)="Stage-A admissible - scoped, control-dependent","stage_a_admissible_scoped_control_dependent",IF(IF(Q85&lt;&gt;"",Q85,R85)="Stage-A non-admissible - patchable","stage_a_non_admissible_patchable",IF(IF(Q85&lt;&gt;"",Q85,R85)="Stage-A non-admissible - unpatchable for stated claim","stage_a_non_admissible_unpatchable_for_stated_claim",IF(IF(Q85&lt;&gt;"",Q85,R85)="Indeterminate - insufficient evidence","indeterminate_insufficient_evidence",IF(IF(Q85&lt;&gt;"",Q85,R85)="Protocol refusal to evaluate","protocol_refusal_to_evaluate",IF(IF(Q85&lt;&gt;"",Q85,R85)="Out of scope","out_of_scope",IF(IF(Q85&lt;&gt;"",Q85,R85)="Withdrawn","withdrawn",IF(IF(Q85&lt;&gt;"",Q85,R85)="Not reviewed","not_reviewed","unknown_status"))))))))))</f>
        <v/>
      </c>
      <c r="AG85">
        <f>IF(AND(AF85="",T85=""),"",IF(AND(AF85&lt;&gt;"",ISNUMBER(SEARCH("token="&amp;AF85&amp;";",T85)),ISNUMBER(SEARCH(AK85,T85)),ISNUMBER(SEARCH("CL basis="&amp;AL85&amp;";",T85))),"VALID","INVALID_OR_INCOMPLETE"))</f>
        <v/>
      </c>
      <c r="AH85">
        <f>COUNTIF(K85:P85,"Adequate for scope")</f>
        <v/>
      </c>
      <c r="AI85">
        <f>IF(COUNTA(K85:P85)=0,"",IF(AA85+AB85+AC85+AD85+AH85=6,"OK","UNRECOGNISED_VALUE"))</f>
        <v/>
      </c>
      <c r="AJ85" s="303" t="n"/>
      <c r="AK85" s="303">
        <f>IF(A85="","",Vocabulary!$B$5)</f>
        <v/>
      </c>
      <c r="AL85" s="303">
        <f>IF(A85="","",Vocabulary!$B$6)</f>
        <v/>
      </c>
      <c r="AM85" s="303">
        <f>IF(AJ85="","OK",IF(COUNTIF(Vocabulary!$O$5:$O$8,AJ85)=1,"OK","UNRECOGNISED_ADMIN_DISPOSITION"))</f>
        <v/>
      </c>
    </row>
    <row r="86">
      <c r="Q86">
        <f>IF(AE86="","",IF(AE86="ADMIN_DISPOSITION",AJ86,IF(OR(AE86="ADMIN_INCOMPLETE",AE86="ADMIN_INVALID",AE86="BURDEN_NOT_FEASIBLE",AE86="UNRECOGNISED_VALUE",AE86="UNRECOGNISED_ADMIN_DISPOSITION"),"Protocol refusal to evaluate",IF(AA86&gt;0,"Stage-A non-admissible - unpatchable for stated claim",IF(AB86&gt;0,"Stage-A non-admissible - patchable",IF(OR(J86="Yes",I86="Indeterminate",AC86&gt;0),"Indeterminate - insufficient evidence",IF(AND(AH86=6,AD86=0),"Stage-A admissible - scoped",IF(AND(AH86+AD86=6,AD86&gt;0),"Stage-A admissible - scoped, control-dependent","Protocol refusal to evaluate"))))))))</f>
        <v/>
      </c>
      <c r="S86">
        <f>IF(AND(Q86="",R86=""),"",IF(AND(Q86&lt;&gt;"",R86=""),"UNRECORDED",IF(AND(Q86="",R86&lt;&gt;""),"ORPHAN_RECORDED",IF(Q86=R86,"MATCH","MISMATCH"))))</f>
        <v/>
      </c>
      <c r="AA86">
        <f>COUNTIF(K86:P86,"Material defect - unpatchable for stated claim")</f>
        <v/>
      </c>
      <c r="AB86">
        <f>COUNTIF(K86:P86,"Material defect - patchable")</f>
        <v/>
      </c>
      <c r="AC86">
        <f>COUNTIF(K86:P86,"Indeterminate")+COUNTIF(K86:P86,"Not reviewed")</f>
        <v/>
      </c>
      <c r="AD86">
        <f>COUNTIF(K86:P86,"Adequate - control-dependent")</f>
        <v/>
      </c>
      <c r="AE86">
        <f>IF(COUNTA(A86:P86)+COUNTA(AJ86)=0,"",IF(AM86&lt;&gt;"OK","UNRECOGNISED_ADMIN_DISPOSITION",IF(AND(AJ86&lt;&gt;"",AJ86&lt;&gt;"None"),IF(OR(LEN(TRIM(A86))=0,LEN(TRIM(B86))=0,LEN(TRIM(C86))=0,LEN(TRIM(F86))=0),"ADMIN_INCOMPLETE","ADMIN_DISPOSITION"),IF(OR(LEN(TRIM(A86))=0,LEN(TRIM(B86))=0,LEN(TRIM(C86))=0,LEN(TRIM(D86))=0,LEN(TRIM(E86))=0,LEN(TRIM(F86))=0,LEN(TRIM(G86))=0,LEN(TRIM(H86))=0,LEN(TRIM(I86))=0,LEN(TRIM(J86))=0,LEN(TRIM(K86))=0,LEN(TRIM(L86))=0,LEN(TRIM(M86))=0,LEN(TRIM(N86))=0,LEN(TRIM(O86))=0,LEN(TRIM(P86))=0),"ADMIN_INCOMPLETE",IF(H86&lt;&gt;"Yes","ADMIN_INVALID",IF(I86="Not feasible","BURDEN_NOT_FEASIBLE",IF(AI86&lt;&gt;"OK","UNRECOGNISED_VALUE","CLEAR")))))))</f>
        <v/>
      </c>
      <c r="AF86">
        <f>IF(AND(Q86="",R86=""),"",IF(IF(Q86&lt;&gt;"",Q86,R86)="Stage-A admissible - scoped","stage_a_admissible_scoped",IF(IF(Q86&lt;&gt;"",Q86,R86)="Stage-A admissible - scoped, control-dependent","stage_a_admissible_scoped_control_dependent",IF(IF(Q86&lt;&gt;"",Q86,R86)="Stage-A non-admissible - patchable","stage_a_non_admissible_patchable",IF(IF(Q86&lt;&gt;"",Q86,R86)="Stage-A non-admissible - unpatchable for stated claim","stage_a_non_admissible_unpatchable_for_stated_claim",IF(IF(Q86&lt;&gt;"",Q86,R86)="Indeterminate - insufficient evidence","indeterminate_insufficient_evidence",IF(IF(Q86&lt;&gt;"",Q86,R86)="Protocol refusal to evaluate","protocol_refusal_to_evaluate",IF(IF(Q86&lt;&gt;"",Q86,R86)="Out of scope","out_of_scope",IF(IF(Q86&lt;&gt;"",Q86,R86)="Withdrawn","withdrawn",IF(IF(Q86&lt;&gt;"",Q86,R86)="Not reviewed","not_reviewed","unknown_status"))))))))))</f>
        <v/>
      </c>
      <c r="AG86">
        <f>IF(AND(AF86="",T86=""),"",IF(AND(AF86&lt;&gt;"",ISNUMBER(SEARCH("token="&amp;AF86&amp;";",T86)),ISNUMBER(SEARCH(AK86,T86)),ISNUMBER(SEARCH("CL basis="&amp;AL86&amp;";",T86))),"VALID","INVALID_OR_INCOMPLETE"))</f>
        <v/>
      </c>
      <c r="AH86">
        <f>COUNTIF(K86:P86,"Adequate for scope")</f>
        <v/>
      </c>
      <c r="AI86">
        <f>IF(COUNTA(K86:P86)=0,"",IF(AA86+AB86+AC86+AD86+AH86=6,"OK","UNRECOGNISED_VALUE"))</f>
        <v/>
      </c>
      <c r="AJ86" s="303" t="n"/>
      <c r="AK86" s="303">
        <f>IF(A86="","",Vocabulary!$B$5)</f>
        <v/>
      </c>
      <c r="AL86" s="303">
        <f>IF(A86="","",Vocabulary!$B$6)</f>
        <v/>
      </c>
      <c r="AM86" s="303">
        <f>IF(AJ86="","OK",IF(COUNTIF(Vocabulary!$O$5:$O$8,AJ86)=1,"OK","UNRECOGNISED_ADMIN_DISPOSITION"))</f>
        <v/>
      </c>
    </row>
    <row r="87">
      <c r="Q87">
        <f>IF(AE87="","",IF(AE87="ADMIN_DISPOSITION",AJ87,IF(OR(AE87="ADMIN_INCOMPLETE",AE87="ADMIN_INVALID",AE87="BURDEN_NOT_FEASIBLE",AE87="UNRECOGNISED_VALUE",AE87="UNRECOGNISED_ADMIN_DISPOSITION"),"Protocol refusal to evaluate",IF(AA87&gt;0,"Stage-A non-admissible - unpatchable for stated claim",IF(AB87&gt;0,"Stage-A non-admissible - patchable",IF(OR(J87="Yes",I87="Indeterminate",AC87&gt;0),"Indeterminate - insufficient evidence",IF(AND(AH87=6,AD87=0),"Stage-A admissible - scoped",IF(AND(AH87+AD87=6,AD87&gt;0),"Stage-A admissible - scoped, control-dependent","Protocol refusal to evaluate"))))))))</f>
        <v/>
      </c>
      <c r="S87">
        <f>IF(AND(Q87="",R87=""),"",IF(AND(Q87&lt;&gt;"",R87=""),"UNRECORDED",IF(AND(Q87="",R87&lt;&gt;""),"ORPHAN_RECORDED",IF(Q87=R87,"MATCH","MISMATCH"))))</f>
        <v/>
      </c>
      <c r="AA87">
        <f>COUNTIF(K87:P87,"Material defect - unpatchable for stated claim")</f>
        <v/>
      </c>
      <c r="AB87">
        <f>COUNTIF(K87:P87,"Material defect - patchable")</f>
        <v/>
      </c>
      <c r="AC87">
        <f>COUNTIF(K87:P87,"Indeterminate")+COUNTIF(K87:P87,"Not reviewed")</f>
        <v/>
      </c>
      <c r="AD87">
        <f>COUNTIF(K87:P87,"Adequate - control-dependent")</f>
        <v/>
      </c>
      <c r="AE87">
        <f>IF(COUNTA(A87:P87)+COUNTA(AJ87)=0,"",IF(AM87&lt;&gt;"OK","UNRECOGNISED_ADMIN_DISPOSITION",IF(AND(AJ87&lt;&gt;"",AJ87&lt;&gt;"None"),IF(OR(LEN(TRIM(A87))=0,LEN(TRIM(B87))=0,LEN(TRIM(C87))=0,LEN(TRIM(F87))=0),"ADMIN_INCOMPLETE","ADMIN_DISPOSITION"),IF(OR(LEN(TRIM(A87))=0,LEN(TRIM(B87))=0,LEN(TRIM(C87))=0,LEN(TRIM(D87))=0,LEN(TRIM(E87))=0,LEN(TRIM(F87))=0,LEN(TRIM(G87))=0,LEN(TRIM(H87))=0,LEN(TRIM(I87))=0,LEN(TRIM(J87))=0,LEN(TRIM(K87))=0,LEN(TRIM(L87))=0,LEN(TRIM(M87))=0,LEN(TRIM(N87))=0,LEN(TRIM(O87))=0,LEN(TRIM(P87))=0),"ADMIN_INCOMPLETE",IF(H87&lt;&gt;"Yes","ADMIN_INVALID",IF(I87="Not feasible","BURDEN_NOT_FEASIBLE",IF(AI87&lt;&gt;"OK","UNRECOGNISED_VALUE","CLEAR")))))))</f>
        <v/>
      </c>
      <c r="AF87">
        <f>IF(AND(Q87="",R87=""),"",IF(IF(Q87&lt;&gt;"",Q87,R87)="Stage-A admissible - scoped","stage_a_admissible_scoped",IF(IF(Q87&lt;&gt;"",Q87,R87)="Stage-A admissible - scoped, control-dependent","stage_a_admissible_scoped_control_dependent",IF(IF(Q87&lt;&gt;"",Q87,R87)="Stage-A non-admissible - patchable","stage_a_non_admissible_patchable",IF(IF(Q87&lt;&gt;"",Q87,R87)="Stage-A non-admissible - unpatchable for stated claim","stage_a_non_admissible_unpatchable_for_stated_claim",IF(IF(Q87&lt;&gt;"",Q87,R87)="Indeterminate - insufficient evidence","indeterminate_insufficient_evidence",IF(IF(Q87&lt;&gt;"",Q87,R87)="Protocol refusal to evaluate","protocol_refusal_to_evaluate",IF(IF(Q87&lt;&gt;"",Q87,R87)="Out of scope","out_of_scope",IF(IF(Q87&lt;&gt;"",Q87,R87)="Withdrawn","withdrawn",IF(IF(Q87&lt;&gt;"",Q87,R87)="Not reviewed","not_reviewed","unknown_status"))))))))))</f>
        <v/>
      </c>
      <c r="AG87">
        <f>IF(AND(AF87="",T87=""),"",IF(AND(AF87&lt;&gt;"",ISNUMBER(SEARCH("token="&amp;AF87&amp;";",T87)),ISNUMBER(SEARCH(AK87,T87)),ISNUMBER(SEARCH("CL basis="&amp;AL87&amp;";",T87))),"VALID","INVALID_OR_INCOMPLETE"))</f>
        <v/>
      </c>
      <c r="AH87">
        <f>COUNTIF(K87:P87,"Adequate for scope")</f>
        <v/>
      </c>
      <c r="AI87">
        <f>IF(COUNTA(K87:P87)=0,"",IF(AA87+AB87+AC87+AD87+AH87=6,"OK","UNRECOGNISED_VALUE"))</f>
        <v/>
      </c>
      <c r="AJ87" s="303" t="n"/>
      <c r="AK87" s="303">
        <f>IF(A87="","",Vocabulary!$B$5)</f>
        <v/>
      </c>
      <c r="AL87" s="303">
        <f>IF(A87="","",Vocabulary!$B$6)</f>
        <v/>
      </c>
      <c r="AM87" s="303">
        <f>IF(AJ87="","OK",IF(COUNTIF(Vocabulary!$O$5:$O$8,AJ87)=1,"OK","UNRECOGNISED_ADMIN_DISPOSITION"))</f>
        <v/>
      </c>
    </row>
    <row r="88">
      <c r="Q88">
        <f>IF(AE88="","",IF(AE88="ADMIN_DISPOSITION",AJ88,IF(OR(AE88="ADMIN_INCOMPLETE",AE88="ADMIN_INVALID",AE88="BURDEN_NOT_FEASIBLE",AE88="UNRECOGNISED_VALUE",AE88="UNRECOGNISED_ADMIN_DISPOSITION"),"Protocol refusal to evaluate",IF(AA88&gt;0,"Stage-A non-admissible - unpatchable for stated claim",IF(AB88&gt;0,"Stage-A non-admissible - patchable",IF(OR(J88="Yes",I88="Indeterminate",AC88&gt;0),"Indeterminate - insufficient evidence",IF(AND(AH88=6,AD88=0),"Stage-A admissible - scoped",IF(AND(AH88+AD88=6,AD88&gt;0),"Stage-A admissible - scoped, control-dependent","Protocol refusal to evaluate"))))))))</f>
        <v/>
      </c>
      <c r="S88">
        <f>IF(AND(Q88="",R88=""),"",IF(AND(Q88&lt;&gt;"",R88=""),"UNRECORDED",IF(AND(Q88="",R88&lt;&gt;""),"ORPHAN_RECORDED",IF(Q88=R88,"MATCH","MISMATCH"))))</f>
        <v/>
      </c>
      <c r="AA88">
        <f>COUNTIF(K88:P88,"Material defect - unpatchable for stated claim")</f>
        <v/>
      </c>
      <c r="AB88">
        <f>COUNTIF(K88:P88,"Material defect - patchable")</f>
        <v/>
      </c>
      <c r="AC88">
        <f>COUNTIF(K88:P88,"Indeterminate")+COUNTIF(K88:P88,"Not reviewed")</f>
        <v/>
      </c>
      <c r="AD88">
        <f>COUNTIF(K88:P88,"Adequate - control-dependent")</f>
        <v/>
      </c>
      <c r="AE88">
        <f>IF(COUNTA(A88:P88)+COUNTA(AJ88)=0,"",IF(AM88&lt;&gt;"OK","UNRECOGNISED_ADMIN_DISPOSITION",IF(AND(AJ88&lt;&gt;"",AJ88&lt;&gt;"None"),IF(OR(LEN(TRIM(A88))=0,LEN(TRIM(B88))=0,LEN(TRIM(C88))=0,LEN(TRIM(F88))=0),"ADMIN_INCOMPLETE","ADMIN_DISPOSITION"),IF(OR(LEN(TRIM(A88))=0,LEN(TRIM(B88))=0,LEN(TRIM(C88))=0,LEN(TRIM(D88))=0,LEN(TRIM(E88))=0,LEN(TRIM(F88))=0,LEN(TRIM(G88))=0,LEN(TRIM(H88))=0,LEN(TRIM(I88))=0,LEN(TRIM(J88))=0,LEN(TRIM(K88))=0,LEN(TRIM(L88))=0,LEN(TRIM(M88))=0,LEN(TRIM(N88))=0,LEN(TRIM(O88))=0,LEN(TRIM(P88))=0),"ADMIN_INCOMPLETE",IF(H88&lt;&gt;"Yes","ADMIN_INVALID",IF(I88="Not feasible","BURDEN_NOT_FEASIBLE",IF(AI88&lt;&gt;"OK","UNRECOGNISED_VALUE","CLEAR")))))))</f>
        <v/>
      </c>
      <c r="AF88">
        <f>IF(AND(Q88="",R88=""),"",IF(IF(Q88&lt;&gt;"",Q88,R88)="Stage-A admissible - scoped","stage_a_admissible_scoped",IF(IF(Q88&lt;&gt;"",Q88,R88)="Stage-A admissible - scoped, control-dependent","stage_a_admissible_scoped_control_dependent",IF(IF(Q88&lt;&gt;"",Q88,R88)="Stage-A non-admissible - patchable","stage_a_non_admissible_patchable",IF(IF(Q88&lt;&gt;"",Q88,R88)="Stage-A non-admissible - unpatchable for stated claim","stage_a_non_admissible_unpatchable_for_stated_claim",IF(IF(Q88&lt;&gt;"",Q88,R88)="Indeterminate - insufficient evidence","indeterminate_insufficient_evidence",IF(IF(Q88&lt;&gt;"",Q88,R88)="Protocol refusal to evaluate","protocol_refusal_to_evaluate",IF(IF(Q88&lt;&gt;"",Q88,R88)="Out of scope","out_of_scope",IF(IF(Q88&lt;&gt;"",Q88,R88)="Withdrawn","withdrawn",IF(IF(Q88&lt;&gt;"",Q88,R88)="Not reviewed","not_reviewed","unknown_status"))))))))))</f>
        <v/>
      </c>
      <c r="AG88">
        <f>IF(AND(AF88="",T88=""),"",IF(AND(AF88&lt;&gt;"",ISNUMBER(SEARCH("token="&amp;AF88&amp;";",T88)),ISNUMBER(SEARCH(AK88,T88)),ISNUMBER(SEARCH("CL basis="&amp;AL88&amp;";",T88))),"VALID","INVALID_OR_INCOMPLETE"))</f>
        <v/>
      </c>
      <c r="AH88">
        <f>COUNTIF(K88:P88,"Adequate for scope")</f>
        <v/>
      </c>
      <c r="AI88">
        <f>IF(COUNTA(K88:P88)=0,"",IF(AA88+AB88+AC88+AD88+AH88=6,"OK","UNRECOGNISED_VALUE"))</f>
        <v/>
      </c>
      <c r="AJ88" s="303" t="n"/>
      <c r="AK88" s="303">
        <f>IF(A88="","",Vocabulary!$B$5)</f>
        <v/>
      </c>
      <c r="AL88" s="303">
        <f>IF(A88="","",Vocabulary!$B$6)</f>
        <v/>
      </c>
      <c r="AM88" s="303">
        <f>IF(AJ88="","OK",IF(COUNTIF(Vocabulary!$O$5:$O$8,AJ88)=1,"OK","UNRECOGNISED_ADMIN_DISPOSITION"))</f>
        <v/>
      </c>
    </row>
    <row r="89">
      <c r="Q89">
        <f>IF(AE89="","",IF(AE89="ADMIN_DISPOSITION",AJ89,IF(OR(AE89="ADMIN_INCOMPLETE",AE89="ADMIN_INVALID",AE89="BURDEN_NOT_FEASIBLE",AE89="UNRECOGNISED_VALUE",AE89="UNRECOGNISED_ADMIN_DISPOSITION"),"Protocol refusal to evaluate",IF(AA89&gt;0,"Stage-A non-admissible - unpatchable for stated claim",IF(AB89&gt;0,"Stage-A non-admissible - patchable",IF(OR(J89="Yes",I89="Indeterminate",AC89&gt;0),"Indeterminate - insufficient evidence",IF(AND(AH89=6,AD89=0),"Stage-A admissible - scoped",IF(AND(AH89+AD89=6,AD89&gt;0),"Stage-A admissible - scoped, control-dependent","Protocol refusal to evaluate"))))))))</f>
        <v/>
      </c>
      <c r="S89">
        <f>IF(AND(Q89="",R89=""),"",IF(AND(Q89&lt;&gt;"",R89=""),"UNRECORDED",IF(AND(Q89="",R89&lt;&gt;""),"ORPHAN_RECORDED",IF(Q89=R89,"MATCH","MISMATCH"))))</f>
        <v/>
      </c>
      <c r="AA89">
        <f>COUNTIF(K89:P89,"Material defect - unpatchable for stated claim")</f>
        <v/>
      </c>
      <c r="AB89">
        <f>COUNTIF(K89:P89,"Material defect - patchable")</f>
        <v/>
      </c>
      <c r="AC89">
        <f>COUNTIF(K89:P89,"Indeterminate")+COUNTIF(K89:P89,"Not reviewed")</f>
        <v/>
      </c>
      <c r="AD89">
        <f>COUNTIF(K89:P89,"Adequate - control-dependent")</f>
        <v/>
      </c>
      <c r="AE89">
        <f>IF(COUNTA(A89:P89)+COUNTA(AJ89)=0,"",IF(AM89&lt;&gt;"OK","UNRECOGNISED_ADMIN_DISPOSITION",IF(AND(AJ89&lt;&gt;"",AJ89&lt;&gt;"None"),IF(OR(LEN(TRIM(A89))=0,LEN(TRIM(B89))=0,LEN(TRIM(C89))=0,LEN(TRIM(F89))=0),"ADMIN_INCOMPLETE","ADMIN_DISPOSITION"),IF(OR(LEN(TRIM(A89))=0,LEN(TRIM(B89))=0,LEN(TRIM(C89))=0,LEN(TRIM(D89))=0,LEN(TRIM(E89))=0,LEN(TRIM(F89))=0,LEN(TRIM(G89))=0,LEN(TRIM(H89))=0,LEN(TRIM(I89))=0,LEN(TRIM(J89))=0,LEN(TRIM(K89))=0,LEN(TRIM(L89))=0,LEN(TRIM(M89))=0,LEN(TRIM(N89))=0,LEN(TRIM(O89))=0,LEN(TRIM(P89))=0),"ADMIN_INCOMPLETE",IF(H89&lt;&gt;"Yes","ADMIN_INVALID",IF(I89="Not feasible","BURDEN_NOT_FEASIBLE",IF(AI89&lt;&gt;"OK","UNRECOGNISED_VALUE","CLEAR")))))))</f>
        <v/>
      </c>
      <c r="AF89">
        <f>IF(AND(Q89="",R89=""),"",IF(IF(Q89&lt;&gt;"",Q89,R89)="Stage-A admissible - scoped","stage_a_admissible_scoped",IF(IF(Q89&lt;&gt;"",Q89,R89)="Stage-A admissible - scoped, control-dependent","stage_a_admissible_scoped_control_dependent",IF(IF(Q89&lt;&gt;"",Q89,R89)="Stage-A non-admissible - patchable","stage_a_non_admissible_patchable",IF(IF(Q89&lt;&gt;"",Q89,R89)="Stage-A non-admissible - unpatchable for stated claim","stage_a_non_admissible_unpatchable_for_stated_claim",IF(IF(Q89&lt;&gt;"",Q89,R89)="Indeterminate - insufficient evidence","indeterminate_insufficient_evidence",IF(IF(Q89&lt;&gt;"",Q89,R89)="Protocol refusal to evaluate","protocol_refusal_to_evaluate",IF(IF(Q89&lt;&gt;"",Q89,R89)="Out of scope","out_of_scope",IF(IF(Q89&lt;&gt;"",Q89,R89)="Withdrawn","withdrawn",IF(IF(Q89&lt;&gt;"",Q89,R89)="Not reviewed","not_reviewed","unknown_status"))))))))))</f>
        <v/>
      </c>
      <c r="AG89">
        <f>IF(AND(AF89="",T89=""),"",IF(AND(AF89&lt;&gt;"",ISNUMBER(SEARCH("token="&amp;AF89&amp;";",T89)),ISNUMBER(SEARCH(AK89,T89)),ISNUMBER(SEARCH("CL basis="&amp;AL89&amp;";",T89))),"VALID","INVALID_OR_INCOMPLETE"))</f>
        <v/>
      </c>
      <c r="AH89">
        <f>COUNTIF(K89:P89,"Adequate for scope")</f>
        <v/>
      </c>
      <c r="AI89">
        <f>IF(COUNTA(K89:P89)=0,"",IF(AA89+AB89+AC89+AD89+AH89=6,"OK","UNRECOGNISED_VALUE"))</f>
        <v/>
      </c>
      <c r="AJ89" s="303" t="n"/>
      <c r="AK89" s="303">
        <f>IF(A89="","",Vocabulary!$B$5)</f>
        <v/>
      </c>
      <c r="AL89" s="303">
        <f>IF(A89="","",Vocabulary!$B$6)</f>
        <v/>
      </c>
      <c r="AM89" s="303">
        <f>IF(AJ89="","OK",IF(COUNTIF(Vocabulary!$O$5:$O$8,AJ89)=1,"OK","UNRECOGNISED_ADMIN_DISPOSITION"))</f>
        <v/>
      </c>
    </row>
    <row r="90">
      <c r="Q90">
        <f>IF(AE90="","",IF(AE90="ADMIN_DISPOSITION",AJ90,IF(OR(AE90="ADMIN_INCOMPLETE",AE90="ADMIN_INVALID",AE90="BURDEN_NOT_FEASIBLE",AE90="UNRECOGNISED_VALUE",AE90="UNRECOGNISED_ADMIN_DISPOSITION"),"Protocol refusal to evaluate",IF(AA90&gt;0,"Stage-A non-admissible - unpatchable for stated claim",IF(AB90&gt;0,"Stage-A non-admissible - patchable",IF(OR(J90="Yes",I90="Indeterminate",AC90&gt;0),"Indeterminate - insufficient evidence",IF(AND(AH90=6,AD90=0),"Stage-A admissible - scoped",IF(AND(AH90+AD90=6,AD90&gt;0),"Stage-A admissible - scoped, control-dependent","Protocol refusal to evaluate"))))))))</f>
        <v/>
      </c>
      <c r="S90">
        <f>IF(AND(Q90="",R90=""),"",IF(AND(Q90&lt;&gt;"",R90=""),"UNRECORDED",IF(AND(Q90="",R90&lt;&gt;""),"ORPHAN_RECORDED",IF(Q90=R90,"MATCH","MISMATCH"))))</f>
        <v/>
      </c>
      <c r="AA90">
        <f>COUNTIF(K90:P90,"Material defect - unpatchable for stated claim")</f>
        <v/>
      </c>
      <c r="AB90">
        <f>COUNTIF(K90:P90,"Material defect - patchable")</f>
        <v/>
      </c>
      <c r="AC90">
        <f>COUNTIF(K90:P90,"Indeterminate")+COUNTIF(K90:P90,"Not reviewed")</f>
        <v/>
      </c>
      <c r="AD90">
        <f>COUNTIF(K90:P90,"Adequate - control-dependent")</f>
        <v/>
      </c>
      <c r="AE90">
        <f>IF(COUNTA(A90:P90)+COUNTA(AJ90)=0,"",IF(AM90&lt;&gt;"OK","UNRECOGNISED_ADMIN_DISPOSITION",IF(AND(AJ90&lt;&gt;"",AJ90&lt;&gt;"None"),IF(OR(LEN(TRIM(A90))=0,LEN(TRIM(B90))=0,LEN(TRIM(C90))=0,LEN(TRIM(F90))=0),"ADMIN_INCOMPLETE","ADMIN_DISPOSITION"),IF(OR(LEN(TRIM(A90))=0,LEN(TRIM(B90))=0,LEN(TRIM(C90))=0,LEN(TRIM(D90))=0,LEN(TRIM(E90))=0,LEN(TRIM(F90))=0,LEN(TRIM(G90))=0,LEN(TRIM(H90))=0,LEN(TRIM(I90))=0,LEN(TRIM(J90))=0,LEN(TRIM(K90))=0,LEN(TRIM(L90))=0,LEN(TRIM(M90))=0,LEN(TRIM(N90))=0,LEN(TRIM(O90))=0,LEN(TRIM(P90))=0),"ADMIN_INCOMPLETE",IF(H90&lt;&gt;"Yes","ADMIN_INVALID",IF(I90="Not feasible","BURDEN_NOT_FEASIBLE",IF(AI90&lt;&gt;"OK","UNRECOGNISED_VALUE","CLEAR")))))))</f>
        <v/>
      </c>
      <c r="AF90">
        <f>IF(AND(Q90="",R90=""),"",IF(IF(Q90&lt;&gt;"",Q90,R90)="Stage-A admissible - scoped","stage_a_admissible_scoped",IF(IF(Q90&lt;&gt;"",Q90,R90)="Stage-A admissible - scoped, control-dependent","stage_a_admissible_scoped_control_dependent",IF(IF(Q90&lt;&gt;"",Q90,R90)="Stage-A non-admissible - patchable","stage_a_non_admissible_patchable",IF(IF(Q90&lt;&gt;"",Q90,R90)="Stage-A non-admissible - unpatchable for stated claim","stage_a_non_admissible_unpatchable_for_stated_claim",IF(IF(Q90&lt;&gt;"",Q90,R90)="Indeterminate - insufficient evidence","indeterminate_insufficient_evidence",IF(IF(Q90&lt;&gt;"",Q90,R90)="Protocol refusal to evaluate","protocol_refusal_to_evaluate",IF(IF(Q90&lt;&gt;"",Q90,R90)="Out of scope","out_of_scope",IF(IF(Q90&lt;&gt;"",Q90,R90)="Withdrawn","withdrawn",IF(IF(Q90&lt;&gt;"",Q90,R90)="Not reviewed","not_reviewed","unknown_status"))))))))))</f>
        <v/>
      </c>
      <c r="AG90">
        <f>IF(AND(AF90="",T90=""),"",IF(AND(AF90&lt;&gt;"",ISNUMBER(SEARCH("token="&amp;AF90&amp;";",T90)),ISNUMBER(SEARCH(AK90,T90)),ISNUMBER(SEARCH("CL basis="&amp;AL90&amp;";",T90))),"VALID","INVALID_OR_INCOMPLETE"))</f>
        <v/>
      </c>
      <c r="AH90">
        <f>COUNTIF(K90:P90,"Adequate for scope")</f>
        <v/>
      </c>
      <c r="AI90">
        <f>IF(COUNTA(K90:P90)=0,"",IF(AA90+AB90+AC90+AD90+AH90=6,"OK","UNRECOGNISED_VALUE"))</f>
        <v/>
      </c>
      <c r="AJ90" s="303" t="n"/>
      <c r="AK90" s="303">
        <f>IF(A90="","",Vocabulary!$B$5)</f>
        <v/>
      </c>
      <c r="AL90" s="303">
        <f>IF(A90="","",Vocabulary!$B$6)</f>
        <v/>
      </c>
      <c r="AM90" s="303">
        <f>IF(AJ90="","OK",IF(COUNTIF(Vocabulary!$O$5:$O$8,AJ90)=1,"OK","UNRECOGNISED_ADMIN_DISPOSITION"))</f>
        <v/>
      </c>
    </row>
    <row r="91">
      <c r="Q91">
        <f>IF(AE91="","",IF(AE91="ADMIN_DISPOSITION",AJ91,IF(OR(AE91="ADMIN_INCOMPLETE",AE91="ADMIN_INVALID",AE91="BURDEN_NOT_FEASIBLE",AE91="UNRECOGNISED_VALUE",AE91="UNRECOGNISED_ADMIN_DISPOSITION"),"Protocol refusal to evaluate",IF(AA91&gt;0,"Stage-A non-admissible - unpatchable for stated claim",IF(AB91&gt;0,"Stage-A non-admissible - patchable",IF(OR(J91="Yes",I91="Indeterminate",AC91&gt;0),"Indeterminate - insufficient evidence",IF(AND(AH91=6,AD91=0),"Stage-A admissible - scoped",IF(AND(AH91+AD91=6,AD91&gt;0),"Stage-A admissible - scoped, control-dependent","Protocol refusal to evaluate"))))))))</f>
        <v/>
      </c>
      <c r="S91">
        <f>IF(AND(Q91="",R91=""),"",IF(AND(Q91&lt;&gt;"",R91=""),"UNRECORDED",IF(AND(Q91="",R91&lt;&gt;""),"ORPHAN_RECORDED",IF(Q91=R91,"MATCH","MISMATCH"))))</f>
        <v/>
      </c>
      <c r="AA91">
        <f>COUNTIF(K91:P91,"Material defect - unpatchable for stated claim")</f>
        <v/>
      </c>
      <c r="AB91">
        <f>COUNTIF(K91:P91,"Material defect - patchable")</f>
        <v/>
      </c>
      <c r="AC91">
        <f>COUNTIF(K91:P91,"Indeterminate")+COUNTIF(K91:P91,"Not reviewed")</f>
        <v/>
      </c>
      <c r="AD91">
        <f>COUNTIF(K91:P91,"Adequate - control-dependent")</f>
        <v/>
      </c>
      <c r="AE91">
        <f>IF(COUNTA(A91:P91)+COUNTA(AJ91)=0,"",IF(AM91&lt;&gt;"OK","UNRECOGNISED_ADMIN_DISPOSITION",IF(AND(AJ91&lt;&gt;"",AJ91&lt;&gt;"None"),IF(OR(LEN(TRIM(A91))=0,LEN(TRIM(B91))=0,LEN(TRIM(C91))=0,LEN(TRIM(F91))=0),"ADMIN_INCOMPLETE","ADMIN_DISPOSITION"),IF(OR(LEN(TRIM(A91))=0,LEN(TRIM(B91))=0,LEN(TRIM(C91))=0,LEN(TRIM(D91))=0,LEN(TRIM(E91))=0,LEN(TRIM(F91))=0,LEN(TRIM(G91))=0,LEN(TRIM(H91))=0,LEN(TRIM(I91))=0,LEN(TRIM(J91))=0,LEN(TRIM(K91))=0,LEN(TRIM(L91))=0,LEN(TRIM(M91))=0,LEN(TRIM(N91))=0,LEN(TRIM(O91))=0,LEN(TRIM(P91))=0),"ADMIN_INCOMPLETE",IF(H91&lt;&gt;"Yes","ADMIN_INVALID",IF(I91="Not feasible","BURDEN_NOT_FEASIBLE",IF(AI91&lt;&gt;"OK","UNRECOGNISED_VALUE","CLEAR")))))))</f>
        <v/>
      </c>
      <c r="AF91">
        <f>IF(AND(Q91="",R91=""),"",IF(IF(Q91&lt;&gt;"",Q91,R91)="Stage-A admissible - scoped","stage_a_admissible_scoped",IF(IF(Q91&lt;&gt;"",Q91,R91)="Stage-A admissible - scoped, control-dependent","stage_a_admissible_scoped_control_dependent",IF(IF(Q91&lt;&gt;"",Q91,R91)="Stage-A non-admissible - patchable","stage_a_non_admissible_patchable",IF(IF(Q91&lt;&gt;"",Q91,R91)="Stage-A non-admissible - unpatchable for stated claim","stage_a_non_admissible_unpatchable_for_stated_claim",IF(IF(Q91&lt;&gt;"",Q91,R91)="Indeterminate - insufficient evidence","indeterminate_insufficient_evidence",IF(IF(Q91&lt;&gt;"",Q91,R91)="Protocol refusal to evaluate","protocol_refusal_to_evaluate",IF(IF(Q91&lt;&gt;"",Q91,R91)="Out of scope","out_of_scope",IF(IF(Q91&lt;&gt;"",Q91,R91)="Withdrawn","withdrawn",IF(IF(Q91&lt;&gt;"",Q91,R91)="Not reviewed","not_reviewed","unknown_status"))))))))))</f>
        <v/>
      </c>
      <c r="AG91">
        <f>IF(AND(AF91="",T91=""),"",IF(AND(AF91&lt;&gt;"",ISNUMBER(SEARCH("token="&amp;AF91&amp;";",T91)),ISNUMBER(SEARCH(AK91,T91)),ISNUMBER(SEARCH("CL basis="&amp;AL91&amp;";",T91))),"VALID","INVALID_OR_INCOMPLETE"))</f>
        <v/>
      </c>
      <c r="AH91">
        <f>COUNTIF(K91:P91,"Adequate for scope")</f>
        <v/>
      </c>
      <c r="AI91">
        <f>IF(COUNTA(K91:P91)=0,"",IF(AA91+AB91+AC91+AD91+AH91=6,"OK","UNRECOGNISED_VALUE"))</f>
        <v/>
      </c>
      <c r="AJ91" s="303" t="n"/>
      <c r="AK91" s="303">
        <f>IF(A91="","",Vocabulary!$B$5)</f>
        <v/>
      </c>
      <c r="AL91" s="303">
        <f>IF(A91="","",Vocabulary!$B$6)</f>
        <v/>
      </c>
      <c r="AM91" s="303">
        <f>IF(AJ91="","OK",IF(COUNTIF(Vocabulary!$O$5:$O$8,AJ91)=1,"OK","UNRECOGNISED_ADMIN_DISPOSITION"))</f>
        <v/>
      </c>
    </row>
    <row r="92">
      <c r="Q92">
        <f>IF(AE92="","",IF(AE92="ADMIN_DISPOSITION",AJ92,IF(OR(AE92="ADMIN_INCOMPLETE",AE92="ADMIN_INVALID",AE92="BURDEN_NOT_FEASIBLE",AE92="UNRECOGNISED_VALUE",AE92="UNRECOGNISED_ADMIN_DISPOSITION"),"Protocol refusal to evaluate",IF(AA92&gt;0,"Stage-A non-admissible - unpatchable for stated claim",IF(AB92&gt;0,"Stage-A non-admissible - patchable",IF(OR(J92="Yes",I92="Indeterminate",AC92&gt;0),"Indeterminate - insufficient evidence",IF(AND(AH92=6,AD92=0),"Stage-A admissible - scoped",IF(AND(AH92+AD92=6,AD92&gt;0),"Stage-A admissible - scoped, control-dependent","Protocol refusal to evaluate"))))))))</f>
        <v/>
      </c>
      <c r="S92">
        <f>IF(AND(Q92="",R92=""),"",IF(AND(Q92&lt;&gt;"",R92=""),"UNRECORDED",IF(AND(Q92="",R92&lt;&gt;""),"ORPHAN_RECORDED",IF(Q92=R92,"MATCH","MISMATCH"))))</f>
        <v/>
      </c>
      <c r="AA92">
        <f>COUNTIF(K92:P92,"Material defect - unpatchable for stated claim")</f>
        <v/>
      </c>
      <c r="AB92">
        <f>COUNTIF(K92:P92,"Material defect - patchable")</f>
        <v/>
      </c>
      <c r="AC92">
        <f>COUNTIF(K92:P92,"Indeterminate")+COUNTIF(K92:P92,"Not reviewed")</f>
        <v/>
      </c>
      <c r="AD92">
        <f>COUNTIF(K92:P92,"Adequate - control-dependent")</f>
        <v/>
      </c>
      <c r="AE92">
        <f>IF(COUNTA(A92:P92)+COUNTA(AJ92)=0,"",IF(AM92&lt;&gt;"OK","UNRECOGNISED_ADMIN_DISPOSITION",IF(AND(AJ92&lt;&gt;"",AJ92&lt;&gt;"None"),IF(OR(LEN(TRIM(A92))=0,LEN(TRIM(B92))=0,LEN(TRIM(C92))=0,LEN(TRIM(F92))=0),"ADMIN_INCOMPLETE","ADMIN_DISPOSITION"),IF(OR(LEN(TRIM(A92))=0,LEN(TRIM(B92))=0,LEN(TRIM(C92))=0,LEN(TRIM(D92))=0,LEN(TRIM(E92))=0,LEN(TRIM(F92))=0,LEN(TRIM(G92))=0,LEN(TRIM(H92))=0,LEN(TRIM(I92))=0,LEN(TRIM(J92))=0,LEN(TRIM(K92))=0,LEN(TRIM(L92))=0,LEN(TRIM(M92))=0,LEN(TRIM(N92))=0,LEN(TRIM(O92))=0,LEN(TRIM(P92))=0),"ADMIN_INCOMPLETE",IF(H92&lt;&gt;"Yes","ADMIN_INVALID",IF(I92="Not feasible","BURDEN_NOT_FEASIBLE",IF(AI92&lt;&gt;"OK","UNRECOGNISED_VALUE","CLEAR")))))))</f>
        <v/>
      </c>
      <c r="AF92">
        <f>IF(AND(Q92="",R92=""),"",IF(IF(Q92&lt;&gt;"",Q92,R92)="Stage-A admissible - scoped","stage_a_admissible_scoped",IF(IF(Q92&lt;&gt;"",Q92,R92)="Stage-A admissible - scoped, control-dependent","stage_a_admissible_scoped_control_dependent",IF(IF(Q92&lt;&gt;"",Q92,R92)="Stage-A non-admissible - patchable","stage_a_non_admissible_patchable",IF(IF(Q92&lt;&gt;"",Q92,R92)="Stage-A non-admissible - unpatchable for stated claim","stage_a_non_admissible_unpatchable_for_stated_claim",IF(IF(Q92&lt;&gt;"",Q92,R92)="Indeterminate - insufficient evidence","indeterminate_insufficient_evidence",IF(IF(Q92&lt;&gt;"",Q92,R92)="Protocol refusal to evaluate","protocol_refusal_to_evaluate",IF(IF(Q92&lt;&gt;"",Q92,R92)="Out of scope","out_of_scope",IF(IF(Q92&lt;&gt;"",Q92,R92)="Withdrawn","withdrawn",IF(IF(Q92&lt;&gt;"",Q92,R92)="Not reviewed","not_reviewed","unknown_status"))))))))))</f>
        <v/>
      </c>
      <c r="AG92">
        <f>IF(AND(AF92="",T92=""),"",IF(AND(AF92&lt;&gt;"",ISNUMBER(SEARCH("token="&amp;AF92&amp;";",T92)),ISNUMBER(SEARCH(AK92,T92)),ISNUMBER(SEARCH("CL basis="&amp;AL92&amp;";",T92))),"VALID","INVALID_OR_INCOMPLETE"))</f>
        <v/>
      </c>
      <c r="AH92">
        <f>COUNTIF(K92:P92,"Adequate for scope")</f>
        <v/>
      </c>
      <c r="AI92">
        <f>IF(COUNTA(K92:P92)=0,"",IF(AA92+AB92+AC92+AD92+AH92=6,"OK","UNRECOGNISED_VALUE"))</f>
        <v/>
      </c>
      <c r="AJ92" s="303" t="n"/>
      <c r="AK92" s="303">
        <f>IF(A92="","",Vocabulary!$B$5)</f>
        <v/>
      </c>
      <c r="AL92" s="303">
        <f>IF(A92="","",Vocabulary!$B$6)</f>
        <v/>
      </c>
      <c r="AM92" s="303">
        <f>IF(AJ92="","OK",IF(COUNTIF(Vocabulary!$O$5:$O$8,AJ92)=1,"OK","UNRECOGNISED_ADMIN_DISPOSITION"))</f>
        <v/>
      </c>
    </row>
    <row r="93">
      <c r="Q93">
        <f>IF(AE93="","",IF(AE93="ADMIN_DISPOSITION",AJ93,IF(OR(AE93="ADMIN_INCOMPLETE",AE93="ADMIN_INVALID",AE93="BURDEN_NOT_FEASIBLE",AE93="UNRECOGNISED_VALUE",AE93="UNRECOGNISED_ADMIN_DISPOSITION"),"Protocol refusal to evaluate",IF(AA93&gt;0,"Stage-A non-admissible - unpatchable for stated claim",IF(AB93&gt;0,"Stage-A non-admissible - patchable",IF(OR(J93="Yes",I93="Indeterminate",AC93&gt;0),"Indeterminate - insufficient evidence",IF(AND(AH93=6,AD93=0),"Stage-A admissible - scoped",IF(AND(AH93+AD93=6,AD93&gt;0),"Stage-A admissible - scoped, control-dependent","Protocol refusal to evaluate"))))))))</f>
        <v/>
      </c>
      <c r="S93">
        <f>IF(AND(Q93="",R93=""),"",IF(AND(Q93&lt;&gt;"",R93=""),"UNRECORDED",IF(AND(Q93="",R93&lt;&gt;""),"ORPHAN_RECORDED",IF(Q93=R93,"MATCH","MISMATCH"))))</f>
        <v/>
      </c>
      <c r="AA93">
        <f>COUNTIF(K93:P93,"Material defect - unpatchable for stated claim")</f>
        <v/>
      </c>
      <c r="AB93">
        <f>COUNTIF(K93:P93,"Material defect - patchable")</f>
        <v/>
      </c>
      <c r="AC93">
        <f>COUNTIF(K93:P93,"Indeterminate")+COUNTIF(K93:P93,"Not reviewed")</f>
        <v/>
      </c>
      <c r="AD93">
        <f>COUNTIF(K93:P93,"Adequate - control-dependent")</f>
        <v/>
      </c>
      <c r="AE93">
        <f>IF(COUNTA(A93:P93)+COUNTA(AJ93)=0,"",IF(AM93&lt;&gt;"OK","UNRECOGNISED_ADMIN_DISPOSITION",IF(AND(AJ93&lt;&gt;"",AJ93&lt;&gt;"None"),IF(OR(LEN(TRIM(A93))=0,LEN(TRIM(B93))=0,LEN(TRIM(C93))=0,LEN(TRIM(F93))=0),"ADMIN_INCOMPLETE","ADMIN_DISPOSITION"),IF(OR(LEN(TRIM(A93))=0,LEN(TRIM(B93))=0,LEN(TRIM(C93))=0,LEN(TRIM(D93))=0,LEN(TRIM(E93))=0,LEN(TRIM(F93))=0,LEN(TRIM(G93))=0,LEN(TRIM(H93))=0,LEN(TRIM(I93))=0,LEN(TRIM(J93))=0,LEN(TRIM(K93))=0,LEN(TRIM(L93))=0,LEN(TRIM(M93))=0,LEN(TRIM(N93))=0,LEN(TRIM(O93))=0,LEN(TRIM(P93))=0),"ADMIN_INCOMPLETE",IF(H93&lt;&gt;"Yes","ADMIN_INVALID",IF(I93="Not feasible","BURDEN_NOT_FEASIBLE",IF(AI93&lt;&gt;"OK","UNRECOGNISED_VALUE","CLEAR")))))))</f>
        <v/>
      </c>
      <c r="AF93">
        <f>IF(AND(Q93="",R93=""),"",IF(IF(Q93&lt;&gt;"",Q93,R93)="Stage-A admissible - scoped","stage_a_admissible_scoped",IF(IF(Q93&lt;&gt;"",Q93,R93)="Stage-A admissible - scoped, control-dependent","stage_a_admissible_scoped_control_dependent",IF(IF(Q93&lt;&gt;"",Q93,R93)="Stage-A non-admissible - patchable","stage_a_non_admissible_patchable",IF(IF(Q93&lt;&gt;"",Q93,R93)="Stage-A non-admissible - unpatchable for stated claim","stage_a_non_admissible_unpatchable_for_stated_claim",IF(IF(Q93&lt;&gt;"",Q93,R93)="Indeterminate - insufficient evidence","indeterminate_insufficient_evidence",IF(IF(Q93&lt;&gt;"",Q93,R93)="Protocol refusal to evaluate","protocol_refusal_to_evaluate",IF(IF(Q93&lt;&gt;"",Q93,R93)="Out of scope","out_of_scope",IF(IF(Q93&lt;&gt;"",Q93,R93)="Withdrawn","withdrawn",IF(IF(Q93&lt;&gt;"",Q93,R93)="Not reviewed","not_reviewed","unknown_status"))))))))))</f>
        <v/>
      </c>
      <c r="AG93">
        <f>IF(AND(AF93="",T93=""),"",IF(AND(AF93&lt;&gt;"",ISNUMBER(SEARCH("token="&amp;AF93&amp;";",T93)),ISNUMBER(SEARCH(AK93,T93)),ISNUMBER(SEARCH("CL basis="&amp;AL93&amp;";",T93))),"VALID","INVALID_OR_INCOMPLETE"))</f>
        <v/>
      </c>
      <c r="AH93">
        <f>COUNTIF(K93:P93,"Adequate for scope")</f>
        <v/>
      </c>
      <c r="AI93">
        <f>IF(COUNTA(K93:P93)=0,"",IF(AA93+AB93+AC93+AD93+AH93=6,"OK","UNRECOGNISED_VALUE"))</f>
        <v/>
      </c>
      <c r="AJ93" s="303" t="n"/>
      <c r="AK93" s="303">
        <f>IF(A93="","",Vocabulary!$B$5)</f>
        <v/>
      </c>
      <c r="AL93" s="303">
        <f>IF(A93="","",Vocabulary!$B$6)</f>
        <v/>
      </c>
      <c r="AM93" s="303">
        <f>IF(AJ93="","OK",IF(COUNTIF(Vocabulary!$O$5:$O$8,AJ93)=1,"OK","UNRECOGNISED_ADMIN_DISPOSITION"))</f>
        <v/>
      </c>
    </row>
    <row r="94">
      <c r="Q94">
        <f>IF(AE94="","",IF(AE94="ADMIN_DISPOSITION",AJ94,IF(OR(AE94="ADMIN_INCOMPLETE",AE94="ADMIN_INVALID",AE94="BURDEN_NOT_FEASIBLE",AE94="UNRECOGNISED_VALUE",AE94="UNRECOGNISED_ADMIN_DISPOSITION"),"Protocol refusal to evaluate",IF(AA94&gt;0,"Stage-A non-admissible - unpatchable for stated claim",IF(AB94&gt;0,"Stage-A non-admissible - patchable",IF(OR(J94="Yes",I94="Indeterminate",AC94&gt;0),"Indeterminate - insufficient evidence",IF(AND(AH94=6,AD94=0),"Stage-A admissible - scoped",IF(AND(AH94+AD94=6,AD94&gt;0),"Stage-A admissible - scoped, control-dependent","Protocol refusal to evaluate"))))))))</f>
        <v/>
      </c>
      <c r="S94">
        <f>IF(AND(Q94="",R94=""),"",IF(AND(Q94&lt;&gt;"",R94=""),"UNRECORDED",IF(AND(Q94="",R94&lt;&gt;""),"ORPHAN_RECORDED",IF(Q94=R94,"MATCH","MISMATCH"))))</f>
        <v/>
      </c>
      <c r="AA94">
        <f>COUNTIF(K94:P94,"Material defect - unpatchable for stated claim")</f>
        <v/>
      </c>
      <c r="AB94">
        <f>COUNTIF(K94:P94,"Material defect - patchable")</f>
        <v/>
      </c>
      <c r="AC94">
        <f>COUNTIF(K94:P94,"Indeterminate")+COUNTIF(K94:P94,"Not reviewed")</f>
        <v/>
      </c>
      <c r="AD94">
        <f>COUNTIF(K94:P94,"Adequate - control-dependent")</f>
        <v/>
      </c>
      <c r="AE94">
        <f>IF(COUNTA(A94:P94)+COUNTA(AJ94)=0,"",IF(AM94&lt;&gt;"OK","UNRECOGNISED_ADMIN_DISPOSITION",IF(AND(AJ94&lt;&gt;"",AJ94&lt;&gt;"None"),IF(OR(LEN(TRIM(A94))=0,LEN(TRIM(B94))=0,LEN(TRIM(C94))=0,LEN(TRIM(F94))=0),"ADMIN_INCOMPLETE","ADMIN_DISPOSITION"),IF(OR(LEN(TRIM(A94))=0,LEN(TRIM(B94))=0,LEN(TRIM(C94))=0,LEN(TRIM(D94))=0,LEN(TRIM(E94))=0,LEN(TRIM(F94))=0,LEN(TRIM(G94))=0,LEN(TRIM(H94))=0,LEN(TRIM(I94))=0,LEN(TRIM(J94))=0,LEN(TRIM(K94))=0,LEN(TRIM(L94))=0,LEN(TRIM(M94))=0,LEN(TRIM(N94))=0,LEN(TRIM(O94))=0,LEN(TRIM(P94))=0),"ADMIN_INCOMPLETE",IF(H94&lt;&gt;"Yes","ADMIN_INVALID",IF(I94="Not feasible","BURDEN_NOT_FEASIBLE",IF(AI94&lt;&gt;"OK","UNRECOGNISED_VALUE","CLEAR")))))))</f>
        <v/>
      </c>
      <c r="AF94">
        <f>IF(AND(Q94="",R94=""),"",IF(IF(Q94&lt;&gt;"",Q94,R94)="Stage-A admissible - scoped","stage_a_admissible_scoped",IF(IF(Q94&lt;&gt;"",Q94,R94)="Stage-A admissible - scoped, control-dependent","stage_a_admissible_scoped_control_dependent",IF(IF(Q94&lt;&gt;"",Q94,R94)="Stage-A non-admissible - patchable","stage_a_non_admissible_patchable",IF(IF(Q94&lt;&gt;"",Q94,R94)="Stage-A non-admissible - unpatchable for stated claim","stage_a_non_admissible_unpatchable_for_stated_claim",IF(IF(Q94&lt;&gt;"",Q94,R94)="Indeterminate - insufficient evidence","indeterminate_insufficient_evidence",IF(IF(Q94&lt;&gt;"",Q94,R94)="Protocol refusal to evaluate","protocol_refusal_to_evaluate",IF(IF(Q94&lt;&gt;"",Q94,R94)="Out of scope","out_of_scope",IF(IF(Q94&lt;&gt;"",Q94,R94)="Withdrawn","withdrawn",IF(IF(Q94&lt;&gt;"",Q94,R94)="Not reviewed","not_reviewed","unknown_status"))))))))))</f>
        <v/>
      </c>
      <c r="AG94">
        <f>IF(AND(AF94="",T94=""),"",IF(AND(AF94&lt;&gt;"",ISNUMBER(SEARCH("token="&amp;AF94&amp;";",T94)),ISNUMBER(SEARCH(AK94,T94)),ISNUMBER(SEARCH("CL basis="&amp;AL94&amp;";",T94))),"VALID","INVALID_OR_INCOMPLETE"))</f>
        <v/>
      </c>
      <c r="AH94">
        <f>COUNTIF(K94:P94,"Adequate for scope")</f>
        <v/>
      </c>
      <c r="AI94">
        <f>IF(COUNTA(K94:P94)=0,"",IF(AA94+AB94+AC94+AD94+AH94=6,"OK","UNRECOGNISED_VALUE"))</f>
        <v/>
      </c>
      <c r="AJ94" s="303" t="n"/>
      <c r="AK94" s="303">
        <f>IF(A94="","",Vocabulary!$B$5)</f>
        <v/>
      </c>
      <c r="AL94" s="303">
        <f>IF(A94="","",Vocabulary!$B$6)</f>
        <v/>
      </c>
      <c r="AM94" s="303">
        <f>IF(AJ94="","OK",IF(COUNTIF(Vocabulary!$O$5:$O$8,AJ94)=1,"OK","UNRECOGNISED_ADMIN_DISPOSITION"))</f>
        <v/>
      </c>
    </row>
    <row r="95">
      <c r="Q95">
        <f>IF(AE95="","",IF(AE95="ADMIN_DISPOSITION",AJ95,IF(OR(AE95="ADMIN_INCOMPLETE",AE95="ADMIN_INVALID",AE95="BURDEN_NOT_FEASIBLE",AE95="UNRECOGNISED_VALUE",AE95="UNRECOGNISED_ADMIN_DISPOSITION"),"Protocol refusal to evaluate",IF(AA95&gt;0,"Stage-A non-admissible - unpatchable for stated claim",IF(AB95&gt;0,"Stage-A non-admissible - patchable",IF(OR(J95="Yes",I95="Indeterminate",AC95&gt;0),"Indeterminate - insufficient evidence",IF(AND(AH95=6,AD95=0),"Stage-A admissible - scoped",IF(AND(AH95+AD95=6,AD95&gt;0),"Stage-A admissible - scoped, control-dependent","Protocol refusal to evaluate"))))))))</f>
        <v/>
      </c>
      <c r="S95">
        <f>IF(AND(Q95="",R95=""),"",IF(AND(Q95&lt;&gt;"",R95=""),"UNRECORDED",IF(AND(Q95="",R95&lt;&gt;""),"ORPHAN_RECORDED",IF(Q95=R95,"MATCH","MISMATCH"))))</f>
        <v/>
      </c>
      <c r="AA95">
        <f>COUNTIF(K95:P95,"Material defect - unpatchable for stated claim")</f>
        <v/>
      </c>
      <c r="AB95">
        <f>COUNTIF(K95:P95,"Material defect - patchable")</f>
        <v/>
      </c>
      <c r="AC95">
        <f>COUNTIF(K95:P95,"Indeterminate")+COUNTIF(K95:P95,"Not reviewed")</f>
        <v/>
      </c>
      <c r="AD95">
        <f>COUNTIF(K95:P95,"Adequate - control-dependent")</f>
        <v/>
      </c>
      <c r="AE95">
        <f>IF(COUNTA(A95:P95)+COUNTA(AJ95)=0,"",IF(AM95&lt;&gt;"OK","UNRECOGNISED_ADMIN_DISPOSITION",IF(AND(AJ95&lt;&gt;"",AJ95&lt;&gt;"None"),IF(OR(LEN(TRIM(A95))=0,LEN(TRIM(B95))=0,LEN(TRIM(C95))=0,LEN(TRIM(F95))=0),"ADMIN_INCOMPLETE","ADMIN_DISPOSITION"),IF(OR(LEN(TRIM(A95))=0,LEN(TRIM(B95))=0,LEN(TRIM(C95))=0,LEN(TRIM(D95))=0,LEN(TRIM(E95))=0,LEN(TRIM(F95))=0,LEN(TRIM(G95))=0,LEN(TRIM(H95))=0,LEN(TRIM(I95))=0,LEN(TRIM(J95))=0,LEN(TRIM(K95))=0,LEN(TRIM(L95))=0,LEN(TRIM(M95))=0,LEN(TRIM(N95))=0,LEN(TRIM(O95))=0,LEN(TRIM(P95))=0),"ADMIN_INCOMPLETE",IF(H95&lt;&gt;"Yes","ADMIN_INVALID",IF(I95="Not feasible","BURDEN_NOT_FEASIBLE",IF(AI95&lt;&gt;"OK","UNRECOGNISED_VALUE","CLEAR")))))))</f>
        <v/>
      </c>
      <c r="AF95">
        <f>IF(AND(Q95="",R95=""),"",IF(IF(Q95&lt;&gt;"",Q95,R95)="Stage-A admissible - scoped","stage_a_admissible_scoped",IF(IF(Q95&lt;&gt;"",Q95,R95)="Stage-A admissible - scoped, control-dependent","stage_a_admissible_scoped_control_dependent",IF(IF(Q95&lt;&gt;"",Q95,R95)="Stage-A non-admissible - patchable","stage_a_non_admissible_patchable",IF(IF(Q95&lt;&gt;"",Q95,R95)="Stage-A non-admissible - unpatchable for stated claim","stage_a_non_admissible_unpatchable_for_stated_claim",IF(IF(Q95&lt;&gt;"",Q95,R95)="Indeterminate - insufficient evidence","indeterminate_insufficient_evidence",IF(IF(Q95&lt;&gt;"",Q95,R95)="Protocol refusal to evaluate","protocol_refusal_to_evaluate",IF(IF(Q95&lt;&gt;"",Q95,R95)="Out of scope","out_of_scope",IF(IF(Q95&lt;&gt;"",Q95,R95)="Withdrawn","withdrawn",IF(IF(Q95&lt;&gt;"",Q95,R95)="Not reviewed","not_reviewed","unknown_status"))))))))))</f>
        <v/>
      </c>
      <c r="AG95">
        <f>IF(AND(AF95="",T95=""),"",IF(AND(AF95&lt;&gt;"",ISNUMBER(SEARCH("token="&amp;AF95&amp;";",T95)),ISNUMBER(SEARCH(AK95,T95)),ISNUMBER(SEARCH("CL basis="&amp;AL95&amp;";",T95))),"VALID","INVALID_OR_INCOMPLETE"))</f>
        <v/>
      </c>
      <c r="AH95">
        <f>COUNTIF(K95:P95,"Adequate for scope")</f>
        <v/>
      </c>
      <c r="AI95">
        <f>IF(COUNTA(K95:P95)=0,"",IF(AA95+AB95+AC95+AD95+AH95=6,"OK","UNRECOGNISED_VALUE"))</f>
        <v/>
      </c>
      <c r="AJ95" s="303" t="n"/>
      <c r="AK95" s="303">
        <f>IF(A95="","",Vocabulary!$B$5)</f>
        <v/>
      </c>
      <c r="AL95" s="303">
        <f>IF(A95="","",Vocabulary!$B$6)</f>
        <v/>
      </c>
      <c r="AM95" s="303">
        <f>IF(AJ95="","OK",IF(COUNTIF(Vocabulary!$O$5:$O$8,AJ95)=1,"OK","UNRECOGNISED_ADMIN_DISPOSITION"))</f>
        <v/>
      </c>
    </row>
    <row r="96">
      <c r="Q96">
        <f>IF(AE96="","",IF(AE96="ADMIN_DISPOSITION",AJ96,IF(OR(AE96="ADMIN_INCOMPLETE",AE96="ADMIN_INVALID",AE96="BURDEN_NOT_FEASIBLE",AE96="UNRECOGNISED_VALUE",AE96="UNRECOGNISED_ADMIN_DISPOSITION"),"Protocol refusal to evaluate",IF(AA96&gt;0,"Stage-A non-admissible - unpatchable for stated claim",IF(AB96&gt;0,"Stage-A non-admissible - patchable",IF(OR(J96="Yes",I96="Indeterminate",AC96&gt;0),"Indeterminate - insufficient evidence",IF(AND(AH96=6,AD96=0),"Stage-A admissible - scoped",IF(AND(AH96+AD96=6,AD96&gt;0),"Stage-A admissible - scoped, control-dependent","Protocol refusal to evaluate"))))))))</f>
        <v/>
      </c>
      <c r="S96">
        <f>IF(AND(Q96="",R96=""),"",IF(AND(Q96&lt;&gt;"",R96=""),"UNRECORDED",IF(AND(Q96="",R96&lt;&gt;""),"ORPHAN_RECORDED",IF(Q96=R96,"MATCH","MISMATCH"))))</f>
        <v/>
      </c>
      <c r="AA96">
        <f>COUNTIF(K96:P96,"Material defect - unpatchable for stated claim")</f>
        <v/>
      </c>
      <c r="AB96">
        <f>COUNTIF(K96:P96,"Material defect - patchable")</f>
        <v/>
      </c>
      <c r="AC96">
        <f>COUNTIF(K96:P96,"Indeterminate")+COUNTIF(K96:P96,"Not reviewed")</f>
        <v/>
      </c>
      <c r="AD96">
        <f>COUNTIF(K96:P96,"Adequate - control-dependent")</f>
        <v/>
      </c>
      <c r="AE96">
        <f>IF(COUNTA(A96:P96)+COUNTA(AJ96)=0,"",IF(AM96&lt;&gt;"OK","UNRECOGNISED_ADMIN_DISPOSITION",IF(AND(AJ96&lt;&gt;"",AJ96&lt;&gt;"None"),IF(OR(LEN(TRIM(A96))=0,LEN(TRIM(B96))=0,LEN(TRIM(C96))=0,LEN(TRIM(F96))=0),"ADMIN_INCOMPLETE","ADMIN_DISPOSITION"),IF(OR(LEN(TRIM(A96))=0,LEN(TRIM(B96))=0,LEN(TRIM(C96))=0,LEN(TRIM(D96))=0,LEN(TRIM(E96))=0,LEN(TRIM(F96))=0,LEN(TRIM(G96))=0,LEN(TRIM(H96))=0,LEN(TRIM(I96))=0,LEN(TRIM(J96))=0,LEN(TRIM(K96))=0,LEN(TRIM(L96))=0,LEN(TRIM(M96))=0,LEN(TRIM(N96))=0,LEN(TRIM(O96))=0,LEN(TRIM(P96))=0),"ADMIN_INCOMPLETE",IF(H96&lt;&gt;"Yes","ADMIN_INVALID",IF(I96="Not feasible","BURDEN_NOT_FEASIBLE",IF(AI96&lt;&gt;"OK","UNRECOGNISED_VALUE","CLEAR")))))))</f>
        <v/>
      </c>
      <c r="AF96">
        <f>IF(AND(Q96="",R96=""),"",IF(IF(Q96&lt;&gt;"",Q96,R96)="Stage-A admissible - scoped","stage_a_admissible_scoped",IF(IF(Q96&lt;&gt;"",Q96,R96)="Stage-A admissible - scoped, control-dependent","stage_a_admissible_scoped_control_dependent",IF(IF(Q96&lt;&gt;"",Q96,R96)="Stage-A non-admissible - patchable","stage_a_non_admissible_patchable",IF(IF(Q96&lt;&gt;"",Q96,R96)="Stage-A non-admissible - unpatchable for stated claim","stage_a_non_admissible_unpatchable_for_stated_claim",IF(IF(Q96&lt;&gt;"",Q96,R96)="Indeterminate - insufficient evidence","indeterminate_insufficient_evidence",IF(IF(Q96&lt;&gt;"",Q96,R96)="Protocol refusal to evaluate","protocol_refusal_to_evaluate",IF(IF(Q96&lt;&gt;"",Q96,R96)="Out of scope","out_of_scope",IF(IF(Q96&lt;&gt;"",Q96,R96)="Withdrawn","withdrawn",IF(IF(Q96&lt;&gt;"",Q96,R96)="Not reviewed","not_reviewed","unknown_status"))))))))))</f>
        <v/>
      </c>
      <c r="AG96">
        <f>IF(AND(AF96="",T96=""),"",IF(AND(AF96&lt;&gt;"",ISNUMBER(SEARCH("token="&amp;AF96&amp;";",T96)),ISNUMBER(SEARCH(AK96,T96)),ISNUMBER(SEARCH("CL basis="&amp;AL96&amp;";",T96))),"VALID","INVALID_OR_INCOMPLETE"))</f>
        <v/>
      </c>
      <c r="AH96">
        <f>COUNTIF(K96:P96,"Adequate for scope")</f>
        <v/>
      </c>
      <c r="AI96">
        <f>IF(COUNTA(K96:P96)=0,"",IF(AA96+AB96+AC96+AD96+AH96=6,"OK","UNRECOGNISED_VALUE"))</f>
        <v/>
      </c>
      <c r="AJ96" s="303" t="n"/>
      <c r="AK96" s="303">
        <f>IF(A96="","",Vocabulary!$B$5)</f>
        <v/>
      </c>
      <c r="AL96" s="303">
        <f>IF(A96="","",Vocabulary!$B$6)</f>
        <v/>
      </c>
      <c r="AM96" s="303">
        <f>IF(AJ96="","OK",IF(COUNTIF(Vocabulary!$O$5:$O$8,AJ96)=1,"OK","UNRECOGNISED_ADMIN_DISPOSITION"))</f>
        <v/>
      </c>
    </row>
    <row r="97">
      <c r="Q97">
        <f>IF(AE97="","",IF(AE97="ADMIN_DISPOSITION",AJ97,IF(OR(AE97="ADMIN_INCOMPLETE",AE97="ADMIN_INVALID",AE97="BURDEN_NOT_FEASIBLE",AE97="UNRECOGNISED_VALUE",AE97="UNRECOGNISED_ADMIN_DISPOSITION"),"Protocol refusal to evaluate",IF(AA97&gt;0,"Stage-A non-admissible - unpatchable for stated claim",IF(AB97&gt;0,"Stage-A non-admissible - patchable",IF(OR(J97="Yes",I97="Indeterminate",AC97&gt;0),"Indeterminate - insufficient evidence",IF(AND(AH97=6,AD97=0),"Stage-A admissible - scoped",IF(AND(AH97+AD97=6,AD97&gt;0),"Stage-A admissible - scoped, control-dependent","Protocol refusal to evaluate"))))))))</f>
        <v/>
      </c>
      <c r="S97">
        <f>IF(AND(Q97="",R97=""),"",IF(AND(Q97&lt;&gt;"",R97=""),"UNRECORDED",IF(AND(Q97="",R97&lt;&gt;""),"ORPHAN_RECORDED",IF(Q97=R97,"MATCH","MISMATCH"))))</f>
        <v/>
      </c>
      <c r="AA97">
        <f>COUNTIF(K97:P97,"Material defect - unpatchable for stated claim")</f>
        <v/>
      </c>
      <c r="AB97">
        <f>COUNTIF(K97:P97,"Material defect - patchable")</f>
        <v/>
      </c>
      <c r="AC97">
        <f>COUNTIF(K97:P97,"Indeterminate")+COUNTIF(K97:P97,"Not reviewed")</f>
        <v/>
      </c>
      <c r="AD97">
        <f>COUNTIF(K97:P97,"Adequate - control-dependent")</f>
        <v/>
      </c>
      <c r="AE97">
        <f>IF(COUNTA(A97:P97)+COUNTA(AJ97)=0,"",IF(AM97&lt;&gt;"OK","UNRECOGNISED_ADMIN_DISPOSITION",IF(AND(AJ97&lt;&gt;"",AJ97&lt;&gt;"None"),IF(OR(LEN(TRIM(A97))=0,LEN(TRIM(B97))=0,LEN(TRIM(C97))=0,LEN(TRIM(F97))=0),"ADMIN_INCOMPLETE","ADMIN_DISPOSITION"),IF(OR(LEN(TRIM(A97))=0,LEN(TRIM(B97))=0,LEN(TRIM(C97))=0,LEN(TRIM(D97))=0,LEN(TRIM(E97))=0,LEN(TRIM(F97))=0,LEN(TRIM(G97))=0,LEN(TRIM(H97))=0,LEN(TRIM(I97))=0,LEN(TRIM(J97))=0,LEN(TRIM(K97))=0,LEN(TRIM(L97))=0,LEN(TRIM(M97))=0,LEN(TRIM(N97))=0,LEN(TRIM(O97))=0,LEN(TRIM(P97))=0),"ADMIN_INCOMPLETE",IF(H97&lt;&gt;"Yes","ADMIN_INVALID",IF(I97="Not feasible","BURDEN_NOT_FEASIBLE",IF(AI97&lt;&gt;"OK","UNRECOGNISED_VALUE","CLEAR")))))))</f>
        <v/>
      </c>
      <c r="AF97">
        <f>IF(AND(Q97="",R97=""),"",IF(IF(Q97&lt;&gt;"",Q97,R97)="Stage-A admissible - scoped","stage_a_admissible_scoped",IF(IF(Q97&lt;&gt;"",Q97,R97)="Stage-A admissible - scoped, control-dependent","stage_a_admissible_scoped_control_dependent",IF(IF(Q97&lt;&gt;"",Q97,R97)="Stage-A non-admissible - patchable","stage_a_non_admissible_patchable",IF(IF(Q97&lt;&gt;"",Q97,R97)="Stage-A non-admissible - unpatchable for stated claim","stage_a_non_admissible_unpatchable_for_stated_claim",IF(IF(Q97&lt;&gt;"",Q97,R97)="Indeterminate - insufficient evidence","indeterminate_insufficient_evidence",IF(IF(Q97&lt;&gt;"",Q97,R97)="Protocol refusal to evaluate","protocol_refusal_to_evaluate",IF(IF(Q97&lt;&gt;"",Q97,R97)="Out of scope","out_of_scope",IF(IF(Q97&lt;&gt;"",Q97,R97)="Withdrawn","withdrawn",IF(IF(Q97&lt;&gt;"",Q97,R97)="Not reviewed","not_reviewed","unknown_status"))))))))))</f>
        <v/>
      </c>
      <c r="AG97">
        <f>IF(AND(AF97="",T97=""),"",IF(AND(AF97&lt;&gt;"",ISNUMBER(SEARCH("token="&amp;AF97&amp;";",T97)),ISNUMBER(SEARCH(AK97,T97)),ISNUMBER(SEARCH("CL basis="&amp;AL97&amp;";",T97))),"VALID","INVALID_OR_INCOMPLETE"))</f>
        <v/>
      </c>
      <c r="AH97">
        <f>COUNTIF(K97:P97,"Adequate for scope")</f>
        <v/>
      </c>
      <c r="AI97">
        <f>IF(COUNTA(K97:P97)=0,"",IF(AA97+AB97+AC97+AD97+AH97=6,"OK","UNRECOGNISED_VALUE"))</f>
        <v/>
      </c>
      <c r="AJ97" s="303" t="n"/>
      <c r="AK97" s="303">
        <f>IF(A97="","",Vocabulary!$B$5)</f>
        <v/>
      </c>
      <c r="AL97" s="303">
        <f>IF(A97="","",Vocabulary!$B$6)</f>
        <v/>
      </c>
      <c r="AM97" s="303">
        <f>IF(AJ97="","OK",IF(COUNTIF(Vocabulary!$O$5:$O$8,AJ97)=1,"OK","UNRECOGNISED_ADMIN_DISPOSITION"))</f>
        <v/>
      </c>
    </row>
    <row r="98">
      <c r="Q98">
        <f>IF(AE98="","",IF(AE98="ADMIN_DISPOSITION",AJ98,IF(OR(AE98="ADMIN_INCOMPLETE",AE98="ADMIN_INVALID",AE98="BURDEN_NOT_FEASIBLE",AE98="UNRECOGNISED_VALUE",AE98="UNRECOGNISED_ADMIN_DISPOSITION"),"Protocol refusal to evaluate",IF(AA98&gt;0,"Stage-A non-admissible - unpatchable for stated claim",IF(AB98&gt;0,"Stage-A non-admissible - patchable",IF(OR(J98="Yes",I98="Indeterminate",AC98&gt;0),"Indeterminate - insufficient evidence",IF(AND(AH98=6,AD98=0),"Stage-A admissible - scoped",IF(AND(AH98+AD98=6,AD98&gt;0),"Stage-A admissible - scoped, control-dependent","Protocol refusal to evaluate"))))))))</f>
        <v/>
      </c>
      <c r="S98">
        <f>IF(AND(Q98="",R98=""),"",IF(AND(Q98&lt;&gt;"",R98=""),"UNRECORDED",IF(AND(Q98="",R98&lt;&gt;""),"ORPHAN_RECORDED",IF(Q98=R98,"MATCH","MISMATCH"))))</f>
        <v/>
      </c>
      <c r="AA98">
        <f>COUNTIF(K98:P98,"Material defect - unpatchable for stated claim")</f>
        <v/>
      </c>
      <c r="AB98">
        <f>COUNTIF(K98:P98,"Material defect - patchable")</f>
        <v/>
      </c>
      <c r="AC98">
        <f>COUNTIF(K98:P98,"Indeterminate")+COUNTIF(K98:P98,"Not reviewed")</f>
        <v/>
      </c>
      <c r="AD98">
        <f>COUNTIF(K98:P98,"Adequate - control-dependent")</f>
        <v/>
      </c>
      <c r="AE98">
        <f>IF(COUNTA(A98:P98)+COUNTA(AJ98)=0,"",IF(AM98&lt;&gt;"OK","UNRECOGNISED_ADMIN_DISPOSITION",IF(AND(AJ98&lt;&gt;"",AJ98&lt;&gt;"None"),IF(OR(LEN(TRIM(A98))=0,LEN(TRIM(B98))=0,LEN(TRIM(C98))=0,LEN(TRIM(F98))=0),"ADMIN_INCOMPLETE","ADMIN_DISPOSITION"),IF(OR(LEN(TRIM(A98))=0,LEN(TRIM(B98))=0,LEN(TRIM(C98))=0,LEN(TRIM(D98))=0,LEN(TRIM(E98))=0,LEN(TRIM(F98))=0,LEN(TRIM(G98))=0,LEN(TRIM(H98))=0,LEN(TRIM(I98))=0,LEN(TRIM(J98))=0,LEN(TRIM(K98))=0,LEN(TRIM(L98))=0,LEN(TRIM(M98))=0,LEN(TRIM(N98))=0,LEN(TRIM(O98))=0,LEN(TRIM(P98))=0),"ADMIN_INCOMPLETE",IF(H98&lt;&gt;"Yes","ADMIN_INVALID",IF(I98="Not feasible","BURDEN_NOT_FEASIBLE",IF(AI98&lt;&gt;"OK","UNRECOGNISED_VALUE","CLEAR")))))))</f>
        <v/>
      </c>
      <c r="AF98">
        <f>IF(AND(Q98="",R98=""),"",IF(IF(Q98&lt;&gt;"",Q98,R98)="Stage-A admissible - scoped","stage_a_admissible_scoped",IF(IF(Q98&lt;&gt;"",Q98,R98)="Stage-A admissible - scoped, control-dependent","stage_a_admissible_scoped_control_dependent",IF(IF(Q98&lt;&gt;"",Q98,R98)="Stage-A non-admissible - patchable","stage_a_non_admissible_patchable",IF(IF(Q98&lt;&gt;"",Q98,R98)="Stage-A non-admissible - unpatchable for stated claim","stage_a_non_admissible_unpatchable_for_stated_claim",IF(IF(Q98&lt;&gt;"",Q98,R98)="Indeterminate - insufficient evidence","indeterminate_insufficient_evidence",IF(IF(Q98&lt;&gt;"",Q98,R98)="Protocol refusal to evaluate","protocol_refusal_to_evaluate",IF(IF(Q98&lt;&gt;"",Q98,R98)="Out of scope","out_of_scope",IF(IF(Q98&lt;&gt;"",Q98,R98)="Withdrawn","withdrawn",IF(IF(Q98&lt;&gt;"",Q98,R98)="Not reviewed","not_reviewed","unknown_status"))))))))))</f>
        <v/>
      </c>
      <c r="AG98">
        <f>IF(AND(AF98="",T98=""),"",IF(AND(AF98&lt;&gt;"",ISNUMBER(SEARCH("token="&amp;AF98&amp;";",T98)),ISNUMBER(SEARCH(AK98,T98)),ISNUMBER(SEARCH("CL basis="&amp;AL98&amp;";",T98))),"VALID","INVALID_OR_INCOMPLETE"))</f>
        <v/>
      </c>
      <c r="AH98">
        <f>COUNTIF(K98:P98,"Adequate for scope")</f>
        <v/>
      </c>
      <c r="AI98">
        <f>IF(COUNTA(K98:P98)=0,"",IF(AA98+AB98+AC98+AD98+AH98=6,"OK","UNRECOGNISED_VALUE"))</f>
        <v/>
      </c>
      <c r="AJ98" s="303" t="n"/>
      <c r="AK98" s="303">
        <f>IF(A98="","",Vocabulary!$B$5)</f>
        <v/>
      </c>
      <c r="AL98" s="303">
        <f>IF(A98="","",Vocabulary!$B$6)</f>
        <v/>
      </c>
      <c r="AM98" s="303">
        <f>IF(AJ98="","OK",IF(COUNTIF(Vocabulary!$O$5:$O$8,AJ98)=1,"OK","UNRECOGNISED_ADMIN_DISPOSITION"))</f>
        <v/>
      </c>
    </row>
    <row r="99">
      <c r="Q99">
        <f>IF(AE99="","",IF(AE99="ADMIN_DISPOSITION",AJ99,IF(OR(AE99="ADMIN_INCOMPLETE",AE99="ADMIN_INVALID",AE99="BURDEN_NOT_FEASIBLE",AE99="UNRECOGNISED_VALUE",AE99="UNRECOGNISED_ADMIN_DISPOSITION"),"Protocol refusal to evaluate",IF(AA99&gt;0,"Stage-A non-admissible - unpatchable for stated claim",IF(AB99&gt;0,"Stage-A non-admissible - patchable",IF(OR(J99="Yes",I99="Indeterminate",AC99&gt;0),"Indeterminate - insufficient evidence",IF(AND(AH99=6,AD99=0),"Stage-A admissible - scoped",IF(AND(AH99+AD99=6,AD99&gt;0),"Stage-A admissible - scoped, control-dependent","Protocol refusal to evaluate"))))))))</f>
        <v/>
      </c>
      <c r="S99">
        <f>IF(AND(Q99="",R99=""),"",IF(AND(Q99&lt;&gt;"",R99=""),"UNRECORDED",IF(AND(Q99="",R99&lt;&gt;""),"ORPHAN_RECORDED",IF(Q99=R99,"MATCH","MISMATCH"))))</f>
        <v/>
      </c>
      <c r="AA99">
        <f>COUNTIF(K99:P99,"Material defect - unpatchable for stated claim")</f>
        <v/>
      </c>
      <c r="AB99">
        <f>COUNTIF(K99:P99,"Material defect - patchable")</f>
        <v/>
      </c>
      <c r="AC99">
        <f>COUNTIF(K99:P99,"Indeterminate")+COUNTIF(K99:P99,"Not reviewed")</f>
        <v/>
      </c>
      <c r="AD99">
        <f>COUNTIF(K99:P99,"Adequate - control-dependent")</f>
        <v/>
      </c>
      <c r="AE99">
        <f>IF(COUNTA(A99:P99)+COUNTA(AJ99)=0,"",IF(AM99&lt;&gt;"OK","UNRECOGNISED_ADMIN_DISPOSITION",IF(AND(AJ99&lt;&gt;"",AJ99&lt;&gt;"None"),IF(OR(LEN(TRIM(A99))=0,LEN(TRIM(B99))=0,LEN(TRIM(C99))=0,LEN(TRIM(F99))=0),"ADMIN_INCOMPLETE","ADMIN_DISPOSITION"),IF(OR(LEN(TRIM(A99))=0,LEN(TRIM(B99))=0,LEN(TRIM(C99))=0,LEN(TRIM(D99))=0,LEN(TRIM(E99))=0,LEN(TRIM(F99))=0,LEN(TRIM(G99))=0,LEN(TRIM(H99))=0,LEN(TRIM(I99))=0,LEN(TRIM(J99))=0,LEN(TRIM(K99))=0,LEN(TRIM(L99))=0,LEN(TRIM(M99))=0,LEN(TRIM(N99))=0,LEN(TRIM(O99))=0,LEN(TRIM(P99))=0),"ADMIN_INCOMPLETE",IF(H99&lt;&gt;"Yes","ADMIN_INVALID",IF(I99="Not feasible","BURDEN_NOT_FEASIBLE",IF(AI99&lt;&gt;"OK","UNRECOGNISED_VALUE","CLEAR")))))))</f>
        <v/>
      </c>
      <c r="AF99">
        <f>IF(AND(Q99="",R99=""),"",IF(IF(Q99&lt;&gt;"",Q99,R99)="Stage-A admissible - scoped","stage_a_admissible_scoped",IF(IF(Q99&lt;&gt;"",Q99,R99)="Stage-A admissible - scoped, control-dependent","stage_a_admissible_scoped_control_dependent",IF(IF(Q99&lt;&gt;"",Q99,R99)="Stage-A non-admissible - patchable","stage_a_non_admissible_patchable",IF(IF(Q99&lt;&gt;"",Q99,R99)="Stage-A non-admissible - unpatchable for stated claim","stage_a_non_admissible_unpatchable_for_stated_claim",IF(IF(Q99&lt;&gt;"",Q99,R99)="Indeterminate - insufficient evidence","indeterminate_insufficient_evidence",IF(IF(Q99&lt;&gt;"",Q99,R99)="Protocol refusal to evaluate","protocol_refusal_to_evaluate",IF(IF(Q99&lt;&gt;"",Q99,R99)="Out of scope","out_of_scope",IF(IF(Q99&lt;&gt;"",Q99,R99)="Withdrawn","withdrawn",IF(IF(Q99&lt;&gt;"",Q99,R99)="Not reviewed","not_reviewed","unknown_status"))))))))))</f>
        <v/>
      </c>
      <c r="AG99">
        <f>IF(AND(AF99="",T99=""),"",IF(AND(AF99&lt;&gt;"",ISNUMBER(SEARCH("token="&amp;AF99&amp;";",T99)),ISNUMBER(SEARCH(AK99,T99)),ISNUMBER(SEARCH("CL basis="&amp;AL99&amp;";",T99))),"VALID","INVALID_OR_INCOMPLETE"))</f>
        <v/>
      </c>
      <c r="AH99">
        <f>COUNTIF(K99:P99,"Adequate for scope")</f>
        <v/>
      </c>
      <c r="AI99">
        <f>IF(COUNTA(K99:P99)=0,"",IF(AA99+AB99+AC99+AD99+AH99=6,"OK","UNRECOGNISED_VALUE"))</f>
        <v/>
      </c>
      <c r="AJ99" s="303" t="n"/>
      <c r="AK99" s="303">
        <f>IF(A99="","",Vocabulary!$B$5)</f>
        <v/>
      </c>
      <c r="AL99" s="303">
        <f>IF(A99="","",Vocabulary!$B$6)</f>
        <v/>
      </c>
      <c r="AM99" s="303">
        <f>IF(AJ99="","OK",IF(COUNTIF(Vocabulary!$O$5:$O$8,AJ99)=1,"OK","UNRECOGNISED_ADMIN_DISPOSITION"))</f>
        <v/>
      </c>
    </row>
    <row r="100">
      <c r="Q100">
        <f>IF(AE100="","",IF(AE100="ADMIN_DISPOSITION",AJ100,IF(OR(AE100="ADMIN_INCOMPLETE",AE100="ADMIN_INVALID",AE100="BURDEN_NOT_FEASIBLE",AE100="UNRECOGNISED_VALUE",AE100="UNRECOGNISED_ADMIN_DISPOSITION"),"Protocol refusal to evaluate",IF(AA100&gt;0,"Stage-A non-admissible - unpatchable for stated claim",IF(AB100&gt;0,"Stage-A non-admissible - patchable",IF(OR(J100="Yes",I100="Indeterminate",AC100&gt;0),"Indeterminate - insufficient evidence",IF(AND(AH100=6,AD100=0),"Stage-A admissible - scoped",IF(AND(AH100+AD100=6,AD100&gt;0),"Stage-A admissible - scoped, control-dependent","Protocol refusal to evaluate"))))))))</f>
        <v/>
      </c>
      <c r="S100">
        <f>IF(AND(Q100="",R100=""),"",IF(AND(Q100&lt;&gt;"",R100=""),"UNRECORDED",IF(AND(Q100="",R100&lt;&gt;""),"ORPHAN_RECORDED",IF(Q100=R100,"MATCH","MISMATCH"))))</f>
        <v/>
      </c>
      <c r="AA100">
        <f>COUNTIF(K100:P100,"Material defect - unpatchable for stated claim")</f>
        <v/>
      </c>
      <c r="AB100">
        <f>COUNTIF(K100:P100,"Material defect - patchable")</f>
        <v/>
      </c>
      <c r="AC100">
        <f>COUNTIF(K100:P100,"Indeterminate")+COUNTIF(K100:P100,"Not reviewed")</f>
        <v/>
      </c>
      <c r="AD100">
        <f>COUNTIF(K100:P100,"Adequate - control-dependent")</f>
        <v/>
      </c>
      <c r="AE100">
        <f>IF(COUNTA(A100:P100)+COUNTA(AJ100)=0,"",IF(AM100&lt;&gt;"OK","UNRECOGNISED_ADMIN_DISPOSITION",IF(AND(AJ100&lt;&gt;"",AJ100&lt;&gt;"None"),IF(OR(LEN(TRIM(A100))=0,LEN(TRIM(B100))=0,LEN(TRIM(C100))=0,LEN(TRIM(F100))=0),"ADMIN_INCOMPLETE","ADMIN_DISPOSITION"),IF(OR(LEN(TRIM(A100))=0,LEN(TRIM(B100))=0,LEN(TRIM(C100))=0,LEN(TRIM(D100))=0,LEN(TRIM(E100))=0,LEN(TRIM(F100))=0,LEN(TRIM(G100))=0,LEN(TRIM(H100))=0,LEN(TRIM(I100))=0,LEN(TRIM(J100))=0,LEN(TRIM(K100))=0,LEN(TRIM(L100))=0,LEN(TRIM(M100))=0,LEN(TRIM(N100))=0,LEN(TRIM(O100))=0,LEN(TRIM(P100))=0),"ADMIN_INCOMPLETE",IF(H100&lt;&gt;"Yes","ADMIN_INVALID",IF(I100="Not feasible","BURDEN_NOT_FEASIBLE",IF(AI100&lt;&gt;"OK","UNRECOGNISED_VALUE","CLEAR")))))))</f>
        <v/>
      </c>
      <c r="AF100">
        <f>IF(AND(Q100="",R100=""),"",IF(IF(Q100&lt;&gt;"",Q100,R100)="Stage-A admissible - scoped","stage_a_admissible_scoped",IF(IF(Q100&lt;&gt;"",Q100,R100)="Stage-A admissible - scoped, control-dependent","stage_a_admissible_scoped_control_dependent",IF(IF(Q100&lt;&gt;"",Q100,R100)="Stage-A non-admissible - patchable","stage_a_non_admissible_patchable",IF(IF(Q100&lt;&gt;"",Q100,R100)="Stage-A non-admissible - unpatchable for stated claim","stage_a_non_admissible_unpatchable_for_stated_claim",IF(IF(Q100&lt;&gt;"",Q100,R100)="Indeterminate - insufficient evidence","indeterminate_insufficient_evidence",IF(IF(Q100&lt;&gt;"",Q100,R100)="Protocol refusal to evaluate","protocol_refusal_to_evaluate",IF(IF(Q100&lt;&gt;"",Q100,R100)="Out of scope","out_of_scope",IF(IF(Q100&lt;&gt;"",Q100,R100)="Withdrawn","withdrawn",IF(IF(Q100&lt;&gt;"",Q100,R100)="Not reviewed","not_reviewed","unknown_status"))))))))))</f>
        <v/>
      </c>
      <c r="AG100">
        <f>IF(AND(AF100="",T100=""),"",IF(AND(AF100&lt;&gt;"",ISNUMBER(SEARCH("token="&amp;AF100&amp;";",T100)),ISNUMBER(SEARCH(AK100,T100)),ISNUMBER(SEARCH("CL basis="&amp;AL100&amp;";",T100))),"VALID","INVALID_OR_INCOMPLETE"))</f>
        <v/>
      </c>
      <c r="AH100">
        <f>COUNTIF(K100:P100,"Adequate for scope")</f>
        <v/>
      </c>
      <c r="AI100">
        <f>IF(COUNTA(K100:P100)=0,"",IF(AA100+AB100+AC100+AD100+AH100=6,"OK","UNRECOGNISED_VALUE"))</f>
        <v/>
      </c>
      <c r="AJ100" s="303" t="n"/>
      <c r="AK100" s="303">
        <f>IF(A100="","",Vocabulary!$B$5)</f>
        <v/>
      </c>
      <c r="AL100" s="303">
        <f>IF(A100="","",Vocabulary!$B$6)</f>
        <v/>
      </c>
      <c r="AM100" s="303">
        <f>IF(AJ100="","OK",IF(COUNTIF(Vocabulary!$O$5:$O$8,AJ100)=1,"OK","UNRECOGNISED_ADMIN_DISPOSITION"))</f>
        <v/>
      </c>
    </row>
    <row r="101">
      <c r="Q101">
        <f>IF(AE101="","",IF(AE101="ADMIN_DISPOSITION",AJ101,IF(OR(AE101="ADMIN_INCOMPLETE",AE101="ADMIN_INVALID",AE101="BURDEN_NOT_FEASIBLE",AE101="UNRECOGNISED_VALUE",AE101="UNRECOGNISED_ADMIN_DISPOSITION"),"Protocol refusal to evaluate",IF(AA101&gt;0,"Stage-A non-admissible - unpatchable for stated claim",IF(AB101&gt;0,"Stage-A non-admissible - patchable",IF(OR(J101="Yes",I101="Indeterminate",AC101&gt;0),"Indeterminate - insufficient evidence",IF(AND(AH101=6,AD101=0),"Stage-A admissible - scoped",IF(AND(AH101+AD101=6,AD101&gt;0),"Stage-A admissible - scoped, control-dependent","Protocol refusal to evaluate"))))))))</f>
        <v/>
      </c>
      <c r="S101">
        <f>IF(AND(Q101="",R101=""),"",IF(AND(Q101&lt;&gt;"",R101=""),"UNRECORDED",IF(AND(Q101="",R101&lt;&gt;""),"ORPHAN_RECORDED",IF(Q101=R101,"MATCH","MISMATCH"))))</f>
        <v/>
      </c>
      <c r="AA101">
        <f>COUNTIF(K101:P101,"Material defect - unpatchable for stated claim")</f>
        <v/>
      </c>
      <c r="AB101">
        <f>COUNTIF(K101:P101,"Material defect - patchable")</f>
        <v/>
      </c>
      <c r="AC101">
        <f>COUNTIF(K101:P101,"Indeterminate")+COUNTIF(K101:P101,"Not reviewed")</f>
        <v/>
      </c>
      <c r="AD101">
        <f>COUNTIF(K101:P101,"Adequate - control-dependent")</f>
        <v/>
      </c>
      <c r="AE101">
        <f>IF(COUNTA(A101:P101)+COUNTA(AJ101)=0,"",IF(AM101&lt;&gt;"OK","UNRECOGNISED_ADMIN_DISPOSITION",IF(AND(AJ101&lt;&gt;"",AJ101&lt;&gt;"None"),IF(OR(LEN(TRIM(A101))=0,LEN(TRIM(B101))=0,LEN(TRIM(C101))=0,LEN(TRIM(F101))=0),"ADMIN_INCOMPLETE","ADMIN_DISPOSITION"),IF(OR(LEN(TRIM(A101))=0,LEN(TRIM(B101))=0,LEN(TRIM(C101))=0,LEN(TRIM(D101))=0,LEN(TRIM(E101))=0,LEN(TRIM(F101))=0,LEN(TRIM(G101))=0,LEN(TRIM(H101))=0,LEN(TRIM(I101))=0,LEN(TRIM(J101))=0,LEN(TRIM(K101))=0,LEN(TRIM(L101))=0,LEN(TRIM(M101))=0,LEN(TRIM(N101))=0,LEN(TRIM(O101))=0,LEN(TRIM(P101))=0),"ADMIN_INCOMPLETE",IF(H101&lt;&gt;"Yes","ADMIN_INVALID",IF(I101="Not feasible","BURDEN_NOT_FEASIBLE",IF(AI101&lt;&gt;"OK","UNRECOGNISED_VALUE","CLEAR")))))))</f>
        <v/>
      </c>
      <c r="AF101">
        <f>IF(AND(Q101="",R101=""),"",IF(IF(Q101&lt;&gt;"",Q101,R101)="Stage-A admissible - scoped","stage_a_admissible_scoped",IF(IF(Q101&lt;&gt;"",Q101,R101)="Stage-A admissible - scoped, control-dependent","stage_a_admissible_scoped_control_dependent",IF(IF(Q101&lt;&gt;"",Q101,R101)="Stage-A non-admissible - patchable","stage_a_non_admissible_patchable",IF(IF(Q101&lt;&gt;"",Q101,R101)="Stage-A non-admissible - unpatchable for stated claim","stage_a_non_admissible_unpatchable_for_stated_claim",IF(IF(Q101&lt;&gt;"",Q101,R101)="Indeterminate - insufficient evidence","indeterminate_insufficient_evidence",IF(IF(Q101&lt;&gt;"",Q101,R101)="Protocol refusal to evaluate","protocol_refusal_to_evaluate",IF(IF(Q101&lt;&gt;"",Q101,R101)="Out of scope","out_of_scope",IF(IF(Q101&lt;&gt;"",Q101,R101)="Withdrawn","withdrawn",IF(IF(Q101&lt;&gt;"",Q101,R101)="Not reviewed","not_reviewed","unknown_status"))))))))))</f>
        <v/>
      </c>
      <c r="AG101">
        <f>IF(AND(AF101="",T101=""),"",IF(AND(AF101&lt;&gt;"",ISNUMBER(SEARCH("token="&amp;AF101&amp;";",T101)),ISNUMBER(SEARCH(AK101,T101)),ISNUMBER(SEARCH("CL basis="&amp;AL101&amp;";",T101))),"VALID","INVALID_OR_INCOMPLETE"))</f>
        <v/>
      </c>
      <c r="AH101">
        <f>COUNTIF(K101:P101,"Adequate for scope")</f>
        <v/>
      </c>
      <c r="AI101">
        <f>IF(COUNTA(K101:P101)=0,"",IF(AA101+AB101+AC101+AD101+AH101=6,"OK","UNRECOGNISED_VALUE"))</f>
        <v/>
      </c>
      <c r="AJ101" s="303" t="n"/>
      <c r="AK101" s="303">
        <f>IF(A101="","",Vocabulary!$B$5)</f>
        <v/>
      </c>
      <c r="AL101" s="303">
        <f>IF(A101="","",Vocabulary!$B$6)</f>
        <v/>
      </c>
      <c r="AM101" s="303">
        <f>IF(AJ101="","OK",IF(COUNTIF(Vocabulary!$O$5:$O$8,AJ101)=1,"OK","UNRECOGNISED_ADMIN_DISPOSITION"))</f>
        <v/>
      </c>
    </row>
    <row r="102">
      <c r="Q102">
        <f>IF(AE102="","",IF(AE102="ADMIN_DISPOSITION",AJ102,IF(OR(AE102="ADMIN_INCOMPLETE",AE102="ADMIN_INVALID",AE102="BURDEN_NOT_FEASIBLE",AE102="UNRECOGNISED_VALUE",AE102="UNRECOGNISED_ADMIN_DISPOSITION"),"Protocol refusal to evaluate",IF(AA102&gt;0,"Stage-A non-admissible - unpatchable for stated claim",IF(AB102&gt;0,"Stage-A non-admissible - patchable",IF(OR(J102="Yes",I102="Indeterminate",AC102&gt;0),"Indeterminate - insufficient evidence",IF(AND(AH102=6,AD102=0),"Stage-A admissible - scoped",IF(AND(AH102+AD102=6,AD102&gt;0),"Stage-A admissible - scoped, control-dependent","Protocol refusal to evaluate"))))))))</f>
        <v/>
      </c>
      <c r="S102">
        <f>IF(AND(Q102="",R102=""),"",IF(AND(Q102&lt;&gt;"",R102=""),"UNRECORDED",IF(AND(Q102="",R102&lt;&gt;""),"ORPHAN_RECORDED",IF(Q102=R102,"MATCH","MISMATCH"))))</f>
        <v/>
      </c>
      <c r="AA102">
        <f>COUNTIF(K102:P102,"Material defect - unpatchable for stated claim")</f>
        <v/>
      </c>
      <c r="AB102">
        <f>COUNTIF(K102:P102,"Material defect - patchable")</f>
        <v/>
      </c>
      <c r="AC102">
        <f>COUNTIF(K102:P102,"Indeterminate")+COUNTIF(K102:P102,"Not reviewed")</f>
        <v/>
      </c>
      <c r="AD102">
        <f>COUNTIF(K102:P102,"Adequate - control-dependent")</f>
        <v/>
      </c>
      <c r="AE102">
        <f>IF(COUNTA(A102:P102)+COUNTA(AJ102)=0,"",IF(AM102&lt;&gt;"OK","UNRECOGNISED_ADMIN_DISPOSITION",IF(AND(AJ102&lt;&gt;"",AJ102&lt;&gt;"None"),IF(OR(LEN(TRIM(A102))=0,LEN(TRIM(B102))=0,LEN(TRIM(C102))=0,LEN(TRIM(F102))=0),"ADMIN_INCOMPLETE","ADMIN_DISPOSITION"),IF(OR(LEN(TRIM(A102))=0,LEN(TRIM(B102))=0,LEN(TRIM(C102))=0,LEN(TRIM(D102))=0,LEN(TRIM(E102))=0,LEN(TRIM(F102))=0,LEN(TRIM(G102))=0,LEN(TRIM(H102))=0,LEN(TRIM(I102))=0,LEN(TRIM(J102))=0,LEN(TRIM(K102))=0,LEN(TRIM(L102))=0,LEN(TRIM(M102))=0,LEN(TRIM(N102))=0,LEN(TRIM(O102))=0,LEN(TRIM(P102))=0),"ADMIN_INCOMPLETE",IF(H102&lt;&gt;"Yes","ADMIN_INVALID",IF(I102="Not feasible","BURDEN_NOT_FEASIBLE",IF(AI102&lt;&gt;"OK","UNRECOGNISED_VALUE","CLEAR")))))))</f>
        <v/>
      </c>
      <c r="AF102">
        <f>IF(AND(Q102="",R102=""),"",IF(IF(Q102&lt;&gt;"",Q102,R102)="Stage-A admissible - scoped","stage_a_admissible_scoped",IF(IF(Q102&lt;&gt;"",Q102,R102)="Stage-A admissible - scoped, control-dependent","stage_a_admissible_scoped_control_dependent",IF(IF(Q102&lt;&gt;"",Q102,R102)="Stage-A non-admissible - patchable","stage_a_non_admissible_patchable",IF(IF(Q102&lt;&gt;"",Q102,R102)="Stage-A non-admissible - unpatchable for stated claim","stage_a_non_admissible_unpatchable_for_stated_claim",IF(IF(Q102&lt;&gt;"",Q102,R102)="Indeterminate - insufficient evidence","indeterminate_insufficient_evidence",IF(IF(Q102&lt;&gt;"",Q102,R102)="Protocol refusal to evaluate","protocol_refusal_to_evaluate",IF(IF(Q102&lt;&gt;"",Q102,R102)="Out of scope","out_of_scope",IF(IF(Q102&lt;&gt;"",Q102,R102)="Withdrawn","withdrawn",IF(IF(Q102&lt;&gt;"",Q102,R102)="Not reviewed","not_reviewed","unknown_status"))))))))))</f>
        <v/>
      </c>
      <c r="AG102">
        <f>IF(AND(AF102="",T102=""),"",IF(AND(AF102&lt;&gt;"",ISNUMBER(SEARCH("token="&amp;AF102&amp;";",T102)),ISNUMBER(SEARCH(AK102,T102)),ISNUMBER(SEARCH("CL basis="&amp;AL102&amp;";",T102))),"VALID","INVALID_OR_INCOMPLETE"))</f>
        <v/>
      </c>
      <c r="AH102">
        <f>COUNTIF(K102:P102,"Adequate for scope")</f>
        <v/>
      </c>
      <c r="AI102">
        <f>IF(COUNTA(K102:P102)=0,"",IF(AA102+AB102+AC102+AD102+AH102=6,"OK","UNRECOGNISED_VALUE"))</f>
        <v/>
      </c>
      <c r="AJ102" s="303" t="n"/>
      <c r="AK102" s="303">
        <f>IF(A102="","",Vocabulary!$B$5)</f>
        <v/>
      </c>
      <c r="AL102" s="303">
        <f>IF(A102="","",Vocabulary!$B$6)</f>
        <v/>
      </c>
      <c r="AM102" s="303">
        <f>IF(AJ102="","OK",IF(COUNTIF(Vocabulary!$O$5:$O$8,AJ102)=1,"OK","UNRECOGNISED_ADMIN_DISPOSITION"))</f>
        <v/>
      </c>
    </row>
    <row r="103">
      <c r="Q103">
        <f>IF(AE103="","",IF(AE103="ADMIN_DISPOSITION",AJ103,IF(OR(AE103="ADMIN_INCOMPLETE",AE103="ADMIN_INVALID",AE103="BURDEN_NOT_FEASIBLE",AE103="UNRECOGNISED_VALUE",AE103="UNRECOGNISED_ADMIN_DISPOSITION"),"Protocol refusal to evaluate",IF(AA103&gt;0,"Stage-A non-admissible - unpatchable for stated claim",IF(AB103&gt;0,"Stage-A non-admissible - patchable",IF(OR(J103="Yes",I103="Indeterminate",AC103&gt;0),"Indeterminate - insufficient evidence",IF(AND(AH103=6,AD103=0),"Stage-A admissible - scoped",IF(AND(AH103+AD103=6,AD103&gt;0),"Stage-A admissible - scoped, control-dependent","Protocol refusal to evaluate"))))))))</f>
        <v/>
      </c>
      <c r="S103">
        <f>IF(AND(Q103="",R103=""),"",IF(AND(Q103&lt;&gt;"",R103=""),"UNRECORDED",IF(AND(Q103="",R103&lt;&gt;""),"ORPHAN_RECORDED",IF(Q103=R103,"MATCH","MISMATCH"))))</f>
        <v/>
      </c>
      <c r="AA103">
        <f>COUNTIF(K103:P103,"Material defect - unpatchable for stated claim")</f>
        <v/>
      </c>
      <c r="AB103">
        <f>COUNTIF(K103:P103,"Material defect - patchable")</f>
        <v/>
      </c>
      <c r="AC103">
        <f>COUNTIF(K103:P103,"Indeterminate")+COUNTIF(K103:P103,"Not reviewed")</f>
        <v/>
      </c>
      <c r="AD103">
        <f>COUNTIF(K103:P103,"Adequate - control-dependent")</f>
        <v/>
      </c>
      <c r="AE103">
        <f>IF(COUNTA(A103:P103)+COUNTA(AJ103)=0,"",IF(AM103&lt;&gt;"OK","UNRECOGNISED_ADMIN_DISPOSITION",IF(AND(AJ103&lt;&gt;"",AJ103&lt;&gt;"None"),IF(OR(LEN(TRIM(A103))=0,LEN(TRIM(B103))=0,LEN(TRIM(C103))=0,LEN(TRIM(F103))=0),"ADMIN_INCOMPLETE","ADMIN_DISPOSITION"),IF(OR(LEN(TRIM(A103))=0,LEN(TRIM(B103))=0,LEN(TRIM(C103))=0,LEN(TRIM(D103))=0,LEN(TRIM(E103))=0,LEN(TRIM(F103))=0,LEN(TRIM(G103))=0,LEN(TRIM(H103))=0,LEN(TRIM(I103))=0,LEN(TRIM(J103))=0,LEN(TRIM(K103))=0,LEN(TRIM(L103))=0,LEN(TRIM(M103))=0,LEN(TRIM(N103))=0,LEN(TRIM(O103))=0,LEN(TRIM(P103))=0),"ADMIN_INCOMPLETE",IF(H103&lt;&gt;"Yes","ADMIN_INVALID",IF(I103="Not feasible","BURDEN_NOT_FEASIBLE",IF(AI103&lt;&gt;"OK","UNRECOGNISED_VALUE","CLEAR")))))))</f>
        <v/>
      </c>
      <c r="AF103">
        <f>IF(AND(Q103="",R103=""),"",IF(IF(Q103&lt;&gt;"",Q103,R103)="Stage-A admissible - scoped","stage_a_admissible_scoped",IF(IF(Q103&lt;&gt;"",Q103,R103)="Stage-A admissible - scoped, control-dependent","stage_a_admissible_scoped_control_dependent",IF(IF(Q103&lt;&gt;"",Q103,R103)="Stage-A non-admissible - patchable","stage_a_non_admissible_patchable",IF(IF(Q103&lt;&gt;"",Q103,R103)="Stage-A non-admissible - unpatchable for stated claim","stage_a_non_admissible_unpatchable_for_stated_claim",IF(IF(Q103&lt;&gt;"",Q103,R103)="Indeterminate - insufficient evidence","indeterminate_insufficient_evidence",IF(IF(Q103&lt;&gt;"",Q103,R103)="Protocol refusal to evaluate","protocol_refusal_to_evaluate",IF(IF(Q103&lt;&gt;"",Q103,R103)="Out of scope","out_of_scope",IF(IF(Q103&lt;&gt;"",Q103,R103)="Withdrawn","withdrawn",IF(IF(Q103&lt;&gt;"",Q103,R103)="Not reviewed","not_reviewed","unknown_status"))))))))))</f>
        <v/>
      </c>
      <c r="AG103">
        <f>IF(AND(AF103="",T103=""),"",IF(AND(AF103&lt;&gt;"",ISNUMBER(SEARCH("token="&amp;AF103&amp;";",T103)),ISNUMBER(SEARCH(AK103,T103)),ISNUMBER(SEARCH("CL basis="&amp;AL103&amp;";",T103))),"VALID","INVALID_OR_INCOMPLETE"))</f>
        <v/>
      </c>
      <c r="AH103">
        <f>COUNTIF(K103:P103,"Adequate for scope")</f>
        <v/>
      </c>
      <c r="AI103">
        <f>IF(COUNTA(K103:P103)=0,"",IF(AA103+AB103+AC103+AD103+AH103=6,"OK","UNRECOGNISED_VALUE"))</f>
        <v/>
      </c>
      <c r="AJ103" s="303" t="n"/>
      <c r="AK103" s="303">
        <f>IF(A103="","",Vocabulary!$B$5)</f>
        <v/>
      </c>
      <c r="AL103" s="303">
        <f>IF(A103="","",Vocabulary!$B$6)</f>
        <v/>
      </c>
      <c r="AM103" s="303">
        <f>IF(AJ103="","OK",IF(COUNTIF(Vocabulary!$O$5:$O$8,AJ103)=1,"OK","UNRECOGNISED_ADMIN_DISPOSITION"))</f>
        <v/>
      </c>
    </row>
    <row r="104">
      <c r="Q104">
        <f>IF(AE104="","",IF(AE104="ADMIN_DISPOSITION",AJ104,IF(OR(AE104="ADMIN_INCOMPLETE",AE104="ADMIN_INVALID",AE104="BURDEN_NOT_FEASIBLE",AE104="UNRECOGNISED_VALUE",AE104="UNRECOGNISED_ADMIN_DISPOSITION"),"Protocol refusal to evaluate",IF(AA104&gt;0,"Stage-A non-admissible - unpatchable for stated claim",IF(AB104&gt;0,"Stage-A non-admissible - patchable",IF(OR(J104="Yes",I104="Indeterminate",AC104&gt;0),"Indeterminate - insufficient evidence",IF(AND(AH104=6,AD104=0),"Stage-A admissible - scoped",IF(AND(AH104+AD104=6,AD104&gt;0),"Stage-A admissible - scoped, control-dependent","Protocol refusal to evaluate"))))))))</f>
        <v/>
      </c>
      <c r="S104">
        <f>IF(AND(Q104="",R104=""),"",IF(AND(Q104&lt;&gt;"",R104=""),"UNRECORDED",IF(AND(Q104="",R104&lt;&gt;""),"ORPHAN_RECORDED",IF(Q104=R104,"MATCH","MISMATCH"))))</f>
        <v/>
      </c>
      <c r="AA104">
        <f>COUNTIF(K104:P104,"Material defect - unpatchable for stated claim")</f>
        <v/>
      </c>
      <c r="AB104">
        <f>COUNTIF(K104:P104,"Material defect - patchable")</f>
        <v/>
      </c>
      <c r="AC104">
        <f>COUNTIF(K104:P104,"Indeterminate")+COUNTIF(K104:P104,"Not reviewed")</f>
        <v/>
      </c>
      <c r="AD104">
        <f>COUNTIF(K104:P104,"Adequate - control-dependent")</f>
        <v/>
      </c>
      <c r="AE104">
        <f>IF(COUNTA(A104:P104)+COUNTA(AJ104)=0,"",IF(AM104&lt;&gt;"OK","UNRECOGNISED_ADMIN_DISPOSITION",IF(AND(AJ104&lt;&gt;"",AJ104&lt;&gt;"None"),IF(OR(LEN(TRIM(A104))=0,LEN(TRIM(B104))=0,LEN(TRIM(C104))=0,LEN(TRIM(F104))=0),"ADMIN_INCOMPLETE","ADMIN_DISPOSITION"),IF(OR(LEN(TRIM(A104))=0,LEN(TRIM(B104))=0,LEN(TRIM(C104))=0,LEN(TRIM(D104))=0,LEN(TRIM(E104))=0,LEN(TRIM(F104))=0,LEN(TRIM(G104))=0,LEN(TRIM(H104))=0,LEN(TRIM(I104))=0,LEN(TRIM(J104))=0,LEN(TRIM(K104))=0,LEN(TRIM(L104))=0,LEN(TRIM(M104))=0,LEN(TRIM(N104))=0,LEN(TRIM(O104))=0,LEN(TRIM(P104))=0),"ADMIN_INCOMPLETE",IF(H104&lt;&gt;"Yes","ADMIN_INVALID",IF(I104="Not feasible","BURDEN_NOT_FEASIBLE",IF(AI104&lt;&gt;"OK","UNRECOGNISED_VALUE","CLEAR")))))))</f>
        <v/>
      </c>
      <c r="AF104">
        <f>IF(AND(Q104="",R104=""),"",IF(IF(Q104&lt;&gt;"",Q104,R104)="Stage-A admissible - scoped","stage_a_admissible_scoped",IF(IF(Q104&lt;&gt;"",Q104,R104)="Stage-A admissible - scoped, control-dependent","stage_a_admissible_scoped_control_dependent",IF(IF(Q104&lt;&gt;"",Q104,R104)="Stage-A non-admissible - patchable","stage_a_non_admissible_patchable",IF(IF(Q104&lt;&gt;"",Q104,R104)="Stage-A non-admissible - unpatchable for stated claim","stage_a_non_admissible_unpatchable_for_stated_claim",IF(IF(Q104&lt;&gt;"",Q104,R104)="Indeterminate - insufficient evidence","indeterminate_insufficient_evidence",IF(IF(Q104&lt;&gt;"",Q104,R104)="Protocol refusal to evaluate","protocol_refusal_to_evaluate",IF(IF(Q104&lt;&gt;"",Q104,R104)="Out of scope","out_of_scope",IF(IF(Q104&lt;&gt;"",Q104,R104)="Withdrawn","withdrawn",IF(IF(Q104&lt;&gt;"",Q104,R104)="Not reviewed","not_reviewed","unknown_status"))))))))))</f>
        <v/>
      </c>
      <c r="AG104">
        <f>IF(AND(AF104="",T104=""),"",IF(AND(AF104&lt;&gt;"",ISNUMBER(SEARCH("token="&amp;AF104&amp;";",T104)),ISNUMBER(SEARCH(AK104,T104)),ISNUMBER(SEARCH("CL basis="&amp;AL104&amp;";",T104))),"VALID","INVALID_OR_INCOMPLETE"))</f>
        <v/>
      </c>
      <c r="AH104">
        <f>COUNTIF(K104:P104,"Adequate for scope")</f>
        <v/>
      </c>
      <c r="AI104">
        <f>IF(COUNTA(K104:P104)=0,"",IF(AA104+AB104+AC104+AD104+AH104=6,"OK","UNRECOGNISED_VALUE"))</f>
        <v/>
      </c>
      <c r="AJ104" s="303" t="n"/>
      <c r="AK104" s="303">
        <f>IF(A104="","",Vocabulary!$B$5)</f>
        <v/>
      </c>
      <c r="AL104" s="303">
        <f>IF(A104="","",Vocabulary!$B$6)</f>
        <v/>
      </c>
      <c r="AM104" s="303">
        <f>IF(AJ104="","OK",IF(COUNTIF(Vocabulary!$O$5:$O$8,AJ104)=1,"OK","UNRECOGNISED_ADMIN_DISPOSITION"))</f>
        <v/>
      </c>
    </row>
    <row r="105">
      <c r="Q105">
        <f>IF(AE105="","",IF(AE105="ADMIN_DISPOSITION",AJ105,IF(OR(AE105="ADMIN_INCOMPLETE",AE105="ADMIN_INVALID",AE105="BURDEN_NOT_FEASIBLE",AE105="UNRECOGNISED_VALUE",AE105="UNRECOGNISED_ADMIN_DISPOSITION"),"Protocol refusal to evaluate",IF(AA105&gt;0,"Stage-A non-admissible - unpatchable for stated claim",IF(AB105&gt;0,"Stage-A non-admissible - patchable",IF(OR(J105="Yes",I105="Indeterminate",AC105&gt;0),"Indeterminate - insufficient evidence",IF(AND(AH105=6,AD105=0),"Stage-A admissible - scoped",IF(AND(AH105+AD105=6,AD105&gt;0),"Stage-A admissible - scoped, control-dependent","Protocol refusal to evaluate"))))))))</f>
        <v/>
      </c>
      <c r="S105">
        <f>IF(AND(Q105="",R105=""),"",IF(AND(Q105&lt;&gt;"",R105=""),"UNRECORDED",IF(AND(Q105="",R105&lt;&gt;""),"ORPHAN_RECORDED",IF(Q105=R105,"MATCH","MISMATCH"))))</f>
        <v/>
      </c>
      <c r="AA105">
        <f>COUNTIF(K105:P105,"Material defect - unpatchable for stated claim")</f>
        <v/>
      </c>
      <c r="AB105">
        <f>COUNTIF(K105:P105,"Material defect - patchable")</f>
        <v/>
      </c>
      <c r="AC105">
        <f>COUNTIF(K105:P105,"Indeterminate")+COUNTIF(K105:P105,"Not reviewed")</f>
        <v/>
      </c>
      <c r="AD105">
        <f>COUNTIF(K105:P105,"Adequate - control-dependent")</f>
        <v/>
      </c>
      <c r="AE105">
        <f>IF(COUNTA(A105:P105)+COUNTA(AJ105)=0,"",IF(AM105&lt;&gt;"OK","UNRECOGNISED_ADMIN_DISPOSITION",IF(AND(AJ105&lt;&gt;"",AJ105&lt;&gt;"None"),IF(OR(LEN(TRIM(A105))=0,LEN(TRIM(B105))=0,LEN(TRIM(C105))=0,LEN(TRIM(F105))=0),"ADMIN_INCOMPLETE","ADMIN_DISPOSITION"),IF(OR(LEN(TRIM(A105))=0,LEN(TRIM(B105))=0,LEN(TRIM(C105))=0,LEN(TRIM(D105))=0,LEN(TRIM(E105))=0,LEN(TRIM(F105))=0,LEN(TRIM(G105))=0,LEN(TRIM(H105))=0,LEN(TRIM(I105))=0,LEN(TRIM(J105))=0,LEN(TRIM(K105))=0,LEN(TRIM(L105))=0,LEN(TRIM(M105))=0,LEN(TRIM(N105))=0,LEN(TRIM(O105))=0,LEN(TRIM(P105))=0),"ADMIN_INCOMPLETE",IF(H105&lt;&gt;"Yes","ADMIN_INVALID",IF(I105="Not feasible","BURDEN_NOT_FEASIBLE",IF(AI105&lt;&gt;"OK","UNRECOGNISED_VALUE","CLEAR")))))))</f>
        <v/>
      </c>
      <c r="AF105">
        <f>IF(AND(Q105="",R105=""),"",IF(IF(Q105&lt;&gt;"",Q105,R105)="Stage-A admissible - scoped","stage_a_admissible_scoped",IF(IF(Q105&lt;&gt;"",Q105,R105)="Stage-A admissible - scoped, control-dependent","stage_a_admissible_scoped_control_dependent",IF(IF(Q105&lt;&gt;"",Q105,R105)="Stage-A non-admissible - patchable","stage_a_non_admissible_patchable",IF(IF(Q105&lt;&gt;"",Q105,R105)="Stage-A non-admissible - unpatchable for stated claim","stage_a_non_admissible_unpatchable_for_stated_claim",IF(IF(Q105&lt;&gt;"",Q105,R105)="Indeterminate - insufficient evidence","indeterminate_insufficient_evidence",IF(IF(Q105&lt;&gt;"",Q105,R105)="Protocol refusal to evaluate","protocol_refusal_to_evaluate",IF(IF(Q105&lt;&gt;"",Q105,R105)="Out of scope","out_of_scope",IF(IF(Q105&lt;&gt;"",Q105,R105)="Withdrawn","withdrawn",IF(IF(Q105&lt;&gt;"",Q105,R105)="Not reviewed","not_reviewed","unknown_status"))))))))))</f>
        <v/>
      </c>
      <c r="AG105">
        <f>IF(AND(AF105="",T105=""),"",IF(AND(AF105&lt;&gt;"",ISNUMBER(SEARCH("token="&amp;AF105&amp;";",T105)),ISNUMBER(SEARCH(AK105,T105)),ISNUMBER(SEARCH("CL basis="&amp;AL105&amp;";",T105))),"VALID","INVALID_OR_INCOMPLETE"))</f>
        <v/>
      </c>
      <c r="AH105">
        <f>COUNTIF(K105:P105,"Adequate for scope")</f>
        <v/>
      </c>
      <c r="AI105">
        <f>IF(COUNTA(K105:P105)=0,"",IF(AA105+AB105+AC105+AD105+AH105=6,"OK","UNRECOGNISED_VALUE"))</f>
        <v/>
      </c>
      <c r="AJ105" s="303" t="n"/>
      <c r="AK105" s="303">
        <f>IF(A105="","",Vocabulary!$B$5)</f>
        <v/>
      </c>
      <c r="AL105" s="303">
        <f>IF(A105="","",Vocabulary!$B$6)</f>
        <v/>
      </c>
      <c r="AM105" s="303">
        <f>IF(AJ105="","OK",IF(COUNTIF(Vocabulary!$O$5:$O$8,AJ105)=1,"OK","UNRECOGNISED_ADMIN_DISPOSITION"))</f>
        <v/>
      </c>
    </row>
    <row r="106">
      <c r="Q106">
        <f>IF(AE106="","",IF(AE106="ADMIN_DISPOSITION",AJ106,IF(OR(AE106="ADMIN_INCOMPLETE",AE106="ADMIN_INVALID",AE106="BURDEN_NOT_FEASIBLE",AE106="UNRECOGNISED_VALUE",AE106="UNRECOGNISED_ADMIN_DISPOSITION"),"Protocol refusal to evaluate",IF(AA106&gt;0,"Stage-A non-admissible - unpatchable for stated claim",IF(AB106&gt;0,"Stage-A non-admissible - patchable",IF(OR(J106="Yes",I106="Indeterminate",AC106&gt;0),"Indeterminate - insufficient evidence",IF(AND(AH106=6,AD106=0),"Stage-A admissible - scoped",IF(AND(AH106+AD106=6,AD106&gt;0),"Stage-A admissible - scoped, control-dependent","Protocol refusal to evaluate"))))))))</f>
        <v/>
      </c>
      <c r="S106">
        <f>IF(AND(Q106="",R106=""),"",IF(AND(Q106&lt;&gt;"",R106=""),"UNRECORDED",IF(AND(Q106="",R106&lt;&gt;""),"ORPHAN_RECORDED",IF(Q106=R106,"MATCH","MISMATCH"))))</f>
        <v/>
      </c>
      <c r="AA106">
        <f>COUNTIF(K106:P106,"Material defect - unpatchable for stated claim")</f>
        <v/>
      </c>
      <c r="AB106">
        <f>COUNTIF(K106:P106,"Material defect - patchable")</f>
        <v/>
      </c>
      <c r="AC106">
        <f>COUNTIF(K106:P106,"Indeterminate")+COUNTIF(K106:P106,"Not reviewed")</f>
        <v/>
      </c>
      <c r="AD106">
        <f>COUNTIF(K106:P106,"Adequate - control-dependent")</f>
        <v/>
      </c>
      <c r="AE106">
        <f>IF(COUNTA(A106:P106)+COUNTA(AJ106)=0,"",IF(AM106&lt;&gt;"OK","UNRECOGNISED_ADMIN_DISPOSITION",IF(AND(AJ106&lt;&gt;"",AJ106&lt;&gt;"None"),IF(OR(LEN(TRIM(A106))=0,LEN(TRIM(B106))=0,LEN(TRIM(C106))=0,LEN(TRIM(F106))=0),"ADMIN_INCOMPLETE","ADMIN_DISPOSITION"),IF(OR(LEN(TRIM(A106))=0,LEN(TRIM(B106))=0,LEN(TRIM(C106))=0,LEN(TRIM(D106))=0,LEN(TRIM(E106))=0,LEN(TRIM(F106))=0,LEN(TRIM(G106))=0,LEN(TRIM(H106))=0,LEN(TRIM(I106))=0,LEN(TRIM(J106))=0,LEN(TRIM(K106))=0,LEN(TRIM(L106))=0,LEN(TRIM(M106))=0,LEN(TRIM(N106))=0,LEN(TRIM(O106))=0,LEN(TRIM(P106))=0),"ADMIN_INCOMPLETE",IF(H106&lt;&gt;"Yes","ADMIN_INVALID",IF(I106="Not feasible","BURDEN_NOT_FEASIBLE",IF(AI106&lt;&gt;"OK","UNRECOGNISED_VALUE","CLEAR")))))))</f>
        <v/>
      </c>
      <c r="AF106">
        <f>IF(AND(Q106="",R106=""),"",IF(IF(Q106&lt;&gt;"",Q106,R106)="Stage-A admissible - scoped","stage_a_admissible_scoped",IF(IF(Q106&lt;&gt;"",Q106,R106)="Stage-A admissible - scoped, control-dependent","stage_a_admissible_scoped_control_dependent",IF(IF(Q106&lt;&gt;"",Q106,R106)="Stage-A non-admissible - patchable","stage_a_non_admissible_patchable",IF(IF(Q106&lt;&gt;"",Q106,R106)="Stage-A non-admissible - unpatchable for stated claim","stage_a_non_admissible_unpatchable_for_stated_claim",IF(IF(Q106&lt;&gt;"",Q106,R106)="Indeterminate - insufficient evidence","indeterminate_insufficient_evidence",IF(IF(Q106&lt;&gt;"",Q106,R106)="Protocol refusal to evaluate","protocol_refusal_to_evaluate",IF(IF(Q106&lt;&gt;"",Q106,R106)="Out of scope","out_of_scope",IF(IF(Q106&lt;&gt;"",Q106,R106)="Withdrawn","withdrawn",IF(IF(Q106&lt;&gt;"",Q106,R106)="Not reviewed","not_reviewed","unknown_status"))))))))))</f>
        <v/>
      </c>
      <c r="AG106">
        <f>IF(AND(AF106="",T106=""),"",IF(AND(AF106&lt;&gt;"",ISNUMBER(SEARCH("token="&amp;AF106&amp;";",T106)),ISNUMBER(SEARCH(AK106,T106)),ISNUMBER(SEARCH("CL basis="&amp;AL106&amp;";",T106))),"VALID","INVALID_OR_INCOMPLETE"))</f>
        <v/>
      </c>
      <c r="AH106">
        <f>COUNTIF(K106:P106,"Adequate for scope")</f>
        <v/>
      </c>
      <c r="AI106">
        <f>IF(COUNTA(K106:P106)=0,"",IF(AA106+AB106+AC106+AD106+AH106=6,"OK","UNRECOGNISED_VALUE"))</f>
        <v/>
      </c>
      <c r="AJ106" s="303" t="n"/>
      <c r="AK106" s="303">
        <f>IF(A106="","",Vocabulary!$B$5)</f>
        <v/>
      </c>
      <c r="AL106" s="303">
        <f>IF(A106="","",Vocabulary!$B$6)</f>
        <v/>
      </c>
      <c r="AM106" s="303">
        <f>IF(AJ106="","OK",IF(COUNTIF(Vocabulary!$O$5:$O$8,AJ106)=1,"OK","UNRECOGNISED_ADMIN_DISPOSITION"))</f>
        <v/>
      </c>
    </row>
    <row r="107">
      <c r="Q107">
        <f>IF(AE107="","",IF(AE107="ADMIN_DISPOSITION",AJ107,IF(OR(AE107="ADMIN_INCOMPLETE",AE107="ADMIN_INVALID",AE107="BURDEN_NOT_FEASIBLE",AE107="UNRECOGNISED_VALUE",AE107="UNRECOGNISED_ADMIN_DISPOSITION"),"Protocol refusal to evaluate",IF(AA107&gt;0,"Stage-A non-admissible - unpatchable for stated claim",IF(AB107&gt;0,"Stage-A non-admissible - patchable",IF(OR(J107="Yes",I107="Indeterminate",AC107&gt;0),"Indeterminate - insufficient evidence",IF(AND(AH107=6,AD107=0),"Stage-A admissible - scoped",IF(AND(AH107+AD107=6,AD107&gt;0),"Stage-A admissible - scoped, control-dependent","Protocol refusal to evaluate"))))))))</f>
        <v/>
      </c>
      <c r="S107">
        <f>IF(AND(Q107="",R107=""),"",IF(AND(Q107&lt;&gt;"",R107=""),"UNRECORDED",IF(AND(Q107="",R107&lt;&gt;""),"ORPHAN_RECORDED",IF(Q107=R107,"MATCH","MISMATCH"))))</f>
        <v/>
      </c>
      <c r="AA107">
        <f>COUNTIF(K107:P107,"Material defect - unpatchable for stated claim")</f>
        <v/>
      </c>
      <c r="AB107">
        <f>COUNTIF(K107:P107,"Material defect - patchable")</f>
        <v/>
      </c>
      <c r="AC107">
        <f>COUNTIF(K107:P107,"Indeterminate")+COUNTIF(K107:P107,"Not reviewed")</f>
        <v/>
      </c>
      <c r="AD107">
        <f>COUNTIF(K107:P107,"Adequate - control-dependent")</f>
        <v/>
      </c>
      <c r="AE107">
        <f>IF(COUNTA(A107:P107)+COUNTA(AJ107)=0,"",IF(AM107&lt;&gt;"OK","UNRECOGNISED_ADMIN_DISPOSITION",IF(AND(AJ107&lt;&gt;"",AJ107&lt;&gt;"None"),IF(OR(LEN(TRIM(A107))=0,LEN(TRIM(B107))=0,LEN(TRIM(C107))=0,LEN(TRIM(F107))=0),"ADMIN_INCOMPLETE","ADMIN_DISPOSITION"),IF(OR(LEN(TRIM(A107))=0,LEN(TRIM(B107))=0,LEN(TRIM(C107))=0,LEN(TRIM(D107))=0,LEN(TRIM(E107))=0,LEN(TRIM(F107))=0,LEN(TRIM(G107))=0,LEN(TRIM(H107))=0,LEN(TRIM(I107))=0,LEN(TRIM(J107))=0,LEN(TRIM(K107))=0,LEN(TRIM(L107))=0,LEN(TRIM(M107))=0,LEN(TRIM(N107))=0,LEN(TRIM(O107))=0,LEN(TRIM(P107))=0),"ADMIN_INCOMPLETE",IF(H107&lt;&gt;"Yes","ADMIN_INVALID",IF(I107="Not feasible","BURDEN_NOT_FEASIBLE",IF(AI107&lt;&gt;"OK","UNRECOGNISED_VALUE","CLEAR")))))))</f>
        <v/>
      </c>
      <c r="AF107">
        <f>IF(AND(Q107="",R107=""),"",IF(IF(Q107&lt;&gt;"",Q107,R107)="Stage-A admissible - scoped","stage_a_admissible_scoped",IF(IF(Q107&lt;&gt;"",Q107,R107)="Stage-A admissible - scoped, control-dependent","stage_a_admissible_scoped_control_dependent",IF(IF(Q107&lt;&gt;"",Q107,R107)="Stage-A non-admissible - patchable","stage_a_non_admissible_patchable",IF(IF(Q107&lt;&gt;"",Q107,R107)="Stage-A non-admissible - unpatchable for stated claim","stage_a_non_admissible_unpatchable_for_stated_claim",IF(IF(Q107&lt;&gt;"",Q107,R107)="Indeterminate - insufficient evidence","indeterminate_insufficient_evidence",IF(IF(Q107&lt;&gt;"",Q107,R107)="Protocol refusal to evaluate","protocol_refusal_to_evaluate",IF(IF(Q107&lt;&gt;"",Q107,R107)="Out of scope","out_of_scope",IF(IF(Q107&lt;&gt;"",Q107,R107)="Withdrawn","withdrawn",IF(IF(Q107&lt;&gt;"",Q107,R107)="Not reviewed","not_reviewed","unknown_status"))))))))))</f>
        <v/>
      </c>
      <c r="AG107">
        <f>IF(AND(AF107="",T107=""),"",IF(AND(AF107&lt;&gt;"",ISNUMBER(SEARCH("token="&amp;AF107&amp;";",T107)),ISNUMBER(SEARCH(AK107,T107)),ISNUMBER(SEARCH("CL basis="&amp;AL107&amp;";",T107))),"VALID","INVALID_OR_INCOMPLETE"))</f>
        <v/>
      </c>
      <c r="AH107">
        <f>COUNTIF(K107:P107,"Adequate for scope")</f>
        <v/>
      </c>
      <c r="AI107">
        <f>IF(COUNTA(K107:P107)=0,"",IF(AA107+AB107+AC107+AD107+AH107=6,"OK","UNRECOGNISED_VALUE"))</f>
        <v/>
      </c>
      <c r="AJ107" s="303" t="n"/>
      <c r="AK107" s="303">
        <f>IF(A107="","",Vocabulary!$B$5)</f>
        <v/>
      </c>
      <c r="AL107" s="303">
        <f>IF(A107="","",Vocabulary!$B$6)</f>
        <v/>
      </c>
      <c r="AM107" s="303">
        <f>IF(AJ107="","OK",IF(COUNTIF(Vocabulary!$O$5:$O$8,AJ107)=1,"OK","UNRECOGNISED_ADMIN_DISPOSITION"))</f>
        <v/>
      </c>
    </row>
    <row r="108">
      <c r="Q108">
        <f>IF(AE108="","",IF(AE108="ADMIN_DISPOSITION",AJ108,IF(OR(AE108="ADMIN_INCOMPLETE",AE108="ADMIN_INVALID",AE108="BURDEN_NOT_FEASIBLE",AE108="UNRECOGNISED_VALUE",AE108="UNRECOGNISED_ADMIN_DISPOSITION"),"Protocol refusal to evaluate",IF(AA108&gt;0,"Stage-A non-admissible - unpatchable for stated claim",IF(AB108&gt;0,"Stage-A non-admissible - patchable",IF(OR(J108="Yes",I108="Indeterminate",AC108&gt;0),"Indeterminate - insufficient evidence",IF(AND(AH108=6,AD108=0),"Stage-A admissible - scoped",IF(AND(AH108+AD108=6,AD108&gt;0),"Stage-A admissible - scoped, control-dependent","Protocol refusal to evaluate"))))))))</f>
        <v/>
      </c>
      <c r="S108">
        <f>IF(AND(Q108="",R108=""),"",IF(AND(Q108&lt;&gt;"",R108=""),"UNRECORDED",IF(AND(Q108="",R108&lt;&gt;""),"ORPHAN_RECORDED",IF(Q108=R108,"MATCH","MISMATCH"))))</f>
        <v/>
      </c>
      <c r="AA108">
        <f>COUNTIF(K108:P108,"Material defect - unpatchable for stated claim")</f>
        <v/>
      </c>
      <c r="AB108">
        <f>COUNTIF(K108:P108,"Material defect - patchable")</f>
        <v/>
      </c>
      <c r="AC108">
        <f>COUNTIF(K108:P108,"Indeterminate")+COUNTIF(K108:P108,"Not reviewed")</f>
        <v/>
      </c>
      <c r="AD108">
        <f>COUNTIF(K108:P108,"Adequate - control-dependent")</f>
        <v/>
      </c>
      <c r="AE108">
        <f>IF(COUNTA(A108:P108)+COUNTA(AJ108)=0,"",IF(AM108&lt;&gt;"OK","UNRECOGNISED_ADMIN_DISPOSITION",IF(AND(AJ108&lt;&gt;"",AJ108&lt;&gt;"None"),IF(OR(LEN(TRIM(A108))=0,LEN(TRIM(B108))=0,LEN(TRIM(C108))=0,LEN(TRIM(F108))=0),"ADMIN_INCOMPLETE","ADMIN_DISPOSITION"),IF(OR(LEN(TRIM(A108))=0,LEN(TRIM(B108))=0,LEN(TRIM(C108))=0,LEN(TRIM(D108))=0,LEN(TRIM(E108))=0,LEN(TRIM(F108))=0,LEN(TRIM(G108))=0,LEN(TRIM(H108))=0,LEN(TRIM(I108))=0,LEN(TRIM(J108))=0,LEN(TRIM(K108))=0,LEN(TRIM(L108))=0,LEN(TRIM(M108))=0,LEN(TRIM(N108))=0,LEN(TRIM(O108))=0,LEN(TRIM(P108))=0),"ADMIN_INCOMPLETE",IF(H108&lt;&gt;"Yes","ADMIN_INVALID",IF(I108="Not feasible","BURDEN_NOT_FEASIBLE",IF(AI108&lt;&gt;"OK","UNRECOGNISED_VALUE","CLEAR")))))))</f>
        <v/>
      </c>
      <c r="AF108">
        <f>IF(AND(Q108="",R108=""),"",IF(IF(Q108&lt;&gt;"",Q108,R108)="Stage-A admissible - scoped","stage_a_admissible_scoped",IF(IF(Q108&lt;&gt;"",Q108,R108)="Stage-A admissible - scoped, control-dependent","stage_a_admissible_scoped_control_dependent",IF(IF(Q108&lt;&gt;"",Q108,R108)="Stage-A non-admissible - patchable","stage_a_non_admissible_patchable",IF(IF(Q108&lt;&gt;"",Q108,R108)="Stage-A non-admissible - unpatchable for stated claim","stage_a_non_admissible_unpatchable_for_stated_claim",IF(IF(Q108&lt;&gt;"",Q108,R108)="Indeterminate - insufficient evidence","indeterminate_insufficient_evidence",IF(IF(Q108&lt;&gt;"",Q108,R108)="Protocol refusal to evaluate","protocol_refusal_to_evaluate",IF(IF(Q108&lt;&gt;"",Q108,R108)="Out of scope","out_of_scope",IF(IF(Q108&lt;&gt;"",Q108,R108)="Withdrawn","withdrawn",IF(IF(Q108&lt;&gt;"",Q108,R108)="Not reviewed","not_reviewed","unknown_status"))))))))))</f>
        <v/>
      </c>
      <c r="AG108">
        <f>IF(AND(AF108="",T108=""),"",IF(AND(AF108&lt;&gt;"",ISNUMBER(SEARCH("token="&amp;AF108&amp;";",T108)),ISNUMBER(SEARCH(AK108,T108)),ISNUMBER(SEARCH("CL basis="&amp;AL108&amp;";",T108))),"VALID","INVALID_OR_INCOMPLETE"))</f>
        <v/>
      </c>
      <c r="AH108">
        <f>COUNTIF(K108:P108,"Adequate for scope")</f>
        <v/>
      </c>
      <c r="AI108">
        <f>IF(COUNTA(K108:P108)=0,"",IF(AA108+AB108+AC108+AD108+AH108=6,"OK","UNRECOGNISED_VALUE"))</f>
        <v/>
      </c>
      <c r="AJ108" s="303" t="n"/>
      <c r="AK108" s="303">
        <f>IF(A108="","",Vocabulary!$B$5)</f>
        <v/>
      </c>
      <c r="AL108" s="303">
        <f>IF(A108="","",Vocabulary!$B$6)</f>
        <v/>
      </c>
      <c r="AM108" s="303">
        <f>IF(AJ108="","OK",IF(COUNTIF(Vocabulary!$O$5:$O$8,AJ108)=1,"OK","UNRECOGNISED_ADMIN_DISPOSITION"))</f>
        <v/>
      </c>
    </row>
    <row r="109">
      <c r="Q109">
        <f>IF(AE109="","",IF(AE109="ADMIN_DISPOSITION",AJ109,IF(OR(AE109="ADMIN_INCOMPLETE",AE109="ADMIN_INVALID",AE109="BURDEN_NOT_FEASIBLE",AE109="UNRECOGNISED_VALUE",AE109="UNRECOGNISED_ADMIN_DISPOSITION"),"Protocol refusal to evaluate",IF(AA109&gt;0,"Stage-A non-admissible - unpatchable for stated claim",IF(AB109&gt;0,"Stage-A non-admissible - patchable",IF(OR(J109="Yes",I109="Indeterminate",AC109&gt;0),"Indeterminate - insufficient evidence",IF(AND(AH109=6,AD109=0),"Stage-A admissible - scoped",IF(AND(AH109+AD109=6,AD109&gt;0),"Stage-A admissible - scoped, control-dependent","Protocol refusal to evaluate"))))))))</f>
        <v/>
      </c>
      <c r="S109">
        <f>IF(AND(Q109="",R109=""),"",IF(AND(Q109&lt;&gt;"",R109=""),"UNRECORDED",IF(AND(Q109="",R109&lt;&gt;""),"ORPHAN_RECORDED",IF(Q109=R109,"MATCH","MISMATCH"))))</f>
        <v/>
      </c>
      <c r="AA109">
        <f>COUNTIF(K109:P109,"Material defect - unpatchable for stated claim")</f>
        <v/>
      </c>
      <c r="AB109">
        <f>COUNTIF(K109:P109,"Material defect - patchable")</f>
        <v/>
      </c>
      <c r="AC109">
        <f>COUNTIF(K109:P109,"Indeterminate")+COUNTIF(K109:P109,"Not reviewed")</f>
        <v/>
      </c>
      <c r="AD109">
        <f>COUNTIF(K109:P109,"Adequate - control-dependent")</f>
        <v/>
      </c>
      <c r="AE109">
        <f>IF(COUNTA(A109:P109)+COUNTA(AJ109)=0,"",IF(AM109&lt;&gt;"OK","UNRECOGNISED_ADMIN_DISPOSITION",IF(AND(AJ109&lt;&gt;"",AJ109&lt;&gt;"None"),IF(OR(LEN(TRIM(A109))=0,LEN(TRIM(B109))=0,LEN(TRIM(C109))=0,LEN(TRIM(F109))=0),"ADMIN_INCOMPLETE","ADMIN_DISPOSITION"),IF(OR(LEN(TRIM(A109))=0,LEN(TRIM(B109))=0,LEN(TRIM(C109))=0,LEN(TRIM(D109))=0,LEN(TRIM(E109))=0,LEN(TRIM(F109))=0,LEN(TRIM(G109))=0,LEN(TRIM(H109))=0,LEN(TRIM(I109))=0,LEN(TRIM(J109))=0,LEN(TRIM(K109))=0,LEN(TRIM(L109))=0,LEN(TRIM(M109))=0,LEN(TRIM(N109))=0,LEN(TRIM(O109))=0,LEN(TRIM(P109))=0),"ADMIN_INCOMPLETE",IF(H109&lt;&gt;"Yes","ADMIN_INVALID",IF(I109="Not feasible","BURDEN_NOT_FEASIBLE",IF(AI109&lt;&gt;"OK","UNRECOGNISED_VALUE","CLEAR")))))))</f>
        <v/>
      </c>
      <c r="AF109">
        <f>IF(AND(Q109="",R109=""),"",IF(IF(Q109&lt;&gt;"",Q109,R109)="Stage-A admissible - scoped","stage_a_admissible_scoped",IF(IF(Q109&lt;&gt;"",Q109,R109)="Stage-A admissible - scoped, control-dependent","stage_a_admissible_scoped_control_dependent",IF(IF(Q109&lt;&gt;"",Q109,R109)="Stage-A non-admissible - patchable","stage_a_non_admissible_patchable",IF(IF(Q109&lt;&gt;"",Q109,R109)="Stage-A non-admissible - unpatchable for stated claim","stage_a_non_admissible_unpatchable_for_stated_claim",IF(IF(Q109&lt;&gt;"",Q109,R109)="Indeterminate - insufficient evidence","indeterminate_insufficient_evidence",IF(IF(Q109&lt;&gt;"",Q109,R109)="Protocol refusal to evaluate","protocol_refusal_to_evaluate",IF(IF(Q109&lt;&gt;"",Q109,R109)="Out of scope","out_of_scope",IF(IF(Q109&lt;&gt;"",Q109,R109)="Withdrawn","withdrawn",IF(IF(Q109&lt;&gt;"",Q109,R109)="Not reviewed","not_reviewed","unknown_status"))))))))))</f>
        <v/>
      </c>
      <c r="AG109">
        <f>IF(AND(AF109="",T109=""),"",IF(AND(AF109&lt;&gt;"",ISNUMBER(SEARCH("token="&amp;AF109&amp;";",T109)),ISNUMBER(SEARCH(AK109,T109)),ISNUMBER(SEARCH("CL basis="&amp;AL109&amp;";",T109))),"VALID","INVALID_OR_INCOMPLETE"))</f>
        <v/>
      </c>
      <c r="AH109">
        <f>COUNTIF(K109:P109,"Adequate for scope")</f>
        <v/>
      </c>
      <c r="AI109">
        <f>IF(COUNTA(K109:P109)=0,"",IF(AA109+AB109+AC109+AD109+AH109=6,"OK","UNRECOGNISED_VALUE"))</f>
        <v/>
      </c>
      <c r="AJ109" s="303" t="n"/>
      <c r="AK109" s="303">
        <f>IF(A109="","",Vocabulary!$B$5)</f>
        <v/>
      </c>
      <c r="AL109" s="303">
        <f>IF(A109="","",Vocabulary!$B$6)</f>
        <v/>
      </c>
      <c r="AM109" s="303">
        <f>IF(AJ109="","OK",IF(COUNTIF(Vocabulary!$O$5:$O$8,AJ109)=1,"OK","UNRECOGNISED_ADMIN_DISPOSITION"))</f>
        <v/>
      </c>
    </row>
    <row r="110">
      <c r="Q110">
        <f>IF(AE110="","",IF(AE110="ADMIN_DISPOSITION",AJ110,IF(OR(AE110="ADMIN_INCOMPLETE",AE110="ADMIN_INVALID",AE110="BURDEN_NOT_FEASIBLE",AE110="UNRECOGNISED_VALUE",AE110="UNRECOGNISED_ADMIN_DISPOSITION"),"Protocol refusal to evaluate",IF(AA110&gt;0,"Stage-A non-admissible - unpatchable for stated claim",IF(AB110&gt;0,"Stage-A non-admissible - patchable",IF(OR(J110="Yes",I110="Indeterminate",AC110&gt;0),"Indeterminate - insufficient evidence",IF(AND(AH110=6,AD110=0),"Stage-A admissible - scoped",IF(AND(AH110+AD110=6,AD110&gt;0),"Stage-A admissible - scoped, control-dependent","Protocol refusal to evaluate"))))))))</f>
        <v/>
      </c>
      <c r="S110">
        <f>IF(AND(Q110="",R110=""),"",IF(AND(Q110&lt;&gt;"",R110=""),"UNRECORDED",IF(AND(Q110="",R110&lt;&gt;""),"ORPHAN_RECORDED",IF(Q110=R110,"MATCH","MISMATCH"))))</f>
        <v/>
      </c>
      <c r="AA110">
        <f>COUNTIF(K110:P110,"Material defect - unpatchable for stated claim")</f>
        <v/>
      </c>
      <c r="AB110">
        <f>COUNTIF(K110:P110,"Material defect - patchable")</f>
        <v/>
      </c>
      <c r="AC110">
        <f>COUNTIF(K110:P110,"Indeterminate")+COUNTIF(K110:P110,"Not reviewed")</f>
        <v/>
      </c>
      <c r="AD110">
        <f>COUNTIF(K110:P110,"Adequate - control-dependent")</f>
        <v/>
      </c>
      <c r="AE110">
        <f>IF(COUNTA(A110:P110)+COUNTA(AJ110)=0,"",IF(AM110&lt;&gt;"OK","UNRECOGNISED_ADMIN_DISPOSITION",IF(AND(AJ110&lt;&gt;"",AJ110&lt;&gt;"None"),IF(OR(LEN(TRIM(A110))=0,LEN(TRIM(B110))=0,LEN(TRIM(C110))=0,LEN(TRIM(F110))=0),"ADMIN_INCOMPLETE","ADMIN_DISPOSITION"),IF(OR(LEN(TRIM(A110))=0,LEN(TRIM(B110))=0,LEN(TRIM(C110))=0,LEN(TRIM(D110))=0,LEN(TRIM(E110))=0,LEN(TRIM(F110))=0,LEN(TRIM(G110))=0,LEN(TRIM(H110))=0,LEN(TRIM(I110))=0,LEN(TRIM(J110))=0,LEN(TRIM(K110))=0,LEN(TRIM(L110))=0,LEN(TRIM(M110))=0,LEN(TRIM(N110))=0,LEN(TRIM(O110))=0,LEN(TRIM(P110))=0),"ADMIN_INCOMPLETE",IF(H110&lt;&gt;"Yes","ADMIN_INVALID",IF(I110="Not feasible","BURDEN_NOT_FEASIBLE",IF(AI110&lt;&gt;"OK","UNRECOGNISED_VALUE","CLEAR")))))))</f>
        <v/>
      </c>
      <c r="AF110">
        <f>IF(AND(Q110="",R110=""),"",IF(IF(Q110&lt;&gt;"",Q110,R110)="Stage-A admissible - scoped","stage_a_admissible_scoped",IF(IF(Q110&lt;&gt;"",Q110,R110)="Stage-A admissible - scoped, control-dependent","stage_a_admissible_scoped_control_dependent",IF(IF(Q110&lt;&gt;"",Q110,R110)="Stage-A non-admissible - patchable","stage_a_non_admissible_patchable",IF(IF(Q110&lt;&gt;"",Q110,R110)="Stage-A non-admissible - unpatchable for stated claim","stage_a_non_admissible_unpatchable_for_stated_claim",IF(IF(Q110&lt;&gt;"",Q110,R110)="Indeterminate - insufficient evidence","indeterminate_insufficient_evidence",IF(IF(Q110&lt;&gt;"",Q110,R110)="Protocol refusal to evaluate","protocol_refusal_to_evaluate",IF(IF(Q110&lt;&gt;"",Q110,R110)="Out of scope","out_of_scope",IF(IF(Q110&lt;&gt;"",Q110,R110)="Withdrawn","withdrawn",IF(IF(Q110&lt;&gt;"",Q110,R110)="Not reviewed","not_reviewed","unknown_status"))))))))))</f>
        <v/>
      </c>
      <c r="AG110">
        <f>IF(AND(AF110="",T110=""),"",IF(AND(AF110&lt;&gt;"",ISNUMBER(SEARCH("token="&amp;AF110&amp;";",T110)),ISNUMBER(SEARCH(AK110,T110)),ISNUMBER(SEARCH("CL basis="&amp;AL110&amp;";",T110))),"VALID","INVALID_OR_INCOMPLETE"))</f>
        <v/>
      </c>
      <c r="AH110">
        <f>COUNTIF(K110:P110,"Adequate for scope")</f>
        <v/>
      </c>
      <c r="AI110">
        <f>IF(COUNTA(K110:P110)=0,"",IF(AA110+AB110+AC110+AD110+AH110=6,"OK","UNRECOGNISED_VALUE"))</f>
        <v/>
      </c>
      <c r="AJ110" s="303" t="n"/>
      <c r="AK110" s="303">
        <f>IF(A110="","",Vocabulary!$B$5)</f>
        <v/>
      </c>
      <c r="AL110" s="303">
        <f>IF(A110="","",Vocabulary!$B$6)</f>
        <v/>
      </c>
      <c r="AM110" s="303">
        <f>IF(AJ110="","OK",IF(COUNTIF(Vocabulary!$O$5:$O$8,AJ110)=1,"OK","UNRECOGNISED_ADMIN_DISPOSITION"))</f>
        <v/>
      </c>
    </row>
    <row r="111">
      <c r="Q111">
        <f>IF(AE111="","",IF(AE111="ADMIN_DISPOSITION",AJ111,IF(OR(AE111="ADMIN_INCOMPLETE",AE111="ADMIN_INVALID",AE111="BURDEN_NOT_FEASIBLE",AE111="UNRECOGNISED_VALUE",AE111="UNRECOGNISED_ADMIN_DISPOSITION"),"Protocol refusal to evaluate",IF(AA111&gt;0,"Stage-A non-admissible - unpatchable for stated claim",IF(AB111&gt;0,"Stage-A non-admissible - patchable",IF(OR(J111="Yes",I111="Indeterminate",AC111&gt;0),"Indeterminate - insufficient evidence",IF(AND(AH111=6,AD111=0),"Stage-A admissible - scoped",IF(AND(AH111+AD111=6,AD111&gt;0),"Stage-A admissible - scoped, control-dependent","Protocol refusal to evaluate"))))))))</f>
        <v/>
      </c>
      <c r="S111">
        <f>IF(AND(Q111="",R111=""),"",IF(AND(Q111&lt;&gt;"",R111=""),"UNRECORDED",IF(AND(Q111="",R111&lt;&gt;""),"ORPHAN_RECORDED",IF(Q111=R111,"MATCH","MISMATCH"))))</f>
        <v/>
      </c>
      <c r="AA111">
        <f>COUNTIF(K111:P111,"Material defect - unpatchable for stated claim")</f>
        <v/>
      </c>
      <c r="AB111">
        <f>COUNTIF(K111:P111,"Material defect - patchable")</f>
        <v/>
      </c>
      <c r="AC111">
        <f>COUNTIF(K111:P111,"Indeterminate")+COUNTIF(K111:P111,"Not reviewed")</f>
        <v/>
      </c>
      <c r="AD111">
        <f>COUNTIF(K111:P111,"Adequate - control-dependent")</f>
        <v/>
      </c>
      <c r="AE111">
        <f>IF(COUNTA(A111:P111)+COUNTA(AJ111)=0,"",IF(AM111&lt;&gt;"OK","UNRECOGNISED_ADMIN_DISPOSITION",IF(AND(AJ111&lt;&gt;"",AJ111&lt;&gt;"None"),IF(OR(LEN(TRIM(A111))=0,LEN(TRIM(B111))=0,LEN(TRIM(C111))=0,LEN(TRIM(F111))=0),"ADMIN_INCOMPLETE","ADMIN_DISPOSITION"),IF(OR(LEN(TRIM(A111))=0,LEN(TRIM(B111))=0,LEN(TRIM(C111))=0,LEN(TRIM(D111))=0,LEN(TRIM(E111))=0,LEN(TRIM(F111))=0,LEN(TRIM(G111))=0,LEN(TRIM(H111))=0,LEN(TRIM(I111))=0,LEN(TRIM(J111))=0,LEN(TRIM(K111))=0,LEN(TRIM(L111))=0,LEN(TRIM(M111))=0,LEN(TRIM(N111))=0,LEN(TRIM(O111))=0,LEN(TRIM(P111))=0),"ADMIN_INCOMPLETE",IF(H111&lt;&gt;"Yes","ADMIN_INVALID",IF(I111="Not feasible","BURDEN_NOT_FEASIBLE",IF(AI111&lt;&gt;"OK","UNRECOGNISED_VALUE","CLEAR")))))))</f>
        <v/>
      </c>
      <c r="AF111">
        <f>IF(AND(Q111="",R111=""),"",IF(IF(Q111&lt;&gt;"",Q111,R111)="Stage-A admissible - scoped","stage_a_admissible_scoped",IF(IF(Q111&lt;&gt;"",Q111,R111)="Stage-A admissible - scoped, control-dependent","stage_a_admissible_scoped_control_dependent",IF(IF(Q111&lt;&gt;"",Q111,R111)="Stage-A non-admissible - patchable","stage_a_non_admissible_patchable",IF(IF(Q111&lt;&gt;"",Q111,R111)="Stage-A non-admissible - unpatchable for stated claim","stage_a_non_admissible_unpatchable_for_stated_claim",IF(IF(Q111&lt;&gt;"",Q111,R111)="Indeterminate - insufficient evidence","indeterminate_insufficient_evidence",IF(IF(Q111&lt;&gt;"",Q111,R111)="Protocol refusal to evaluate","protocol_refusal_to_evaluate",IF(IF(Q111&lt;&gt;"",Q111,R111)="Out of scope","out_of_scope",IF(IF(Q111&lt;&gt;"",Q111,R111)="Withdrawn","withdrawn",IF(IF(Q111&lt;&gt;"",Q111,R111)="Not reviewed","not_reviewed","unknown_status"))))))))))</f>
        <v/>
      </c>
      <c r="AG111">
        <f>IF(AND(AF111="",T111=""),"",IF(AND(AF111&lt;&gt;"",ISNUMBER(SEARCH("token="&amp;AF111&amp;";",T111)),ISNUMBER(SEARCH(AK111,T111)),ISNUMBER(SEARCH("CL basis="&amp;AL111&amp;";",T111))),"VALID","INVALID_OR_INCOMPLETE"))</f>
        <v/>
      </c>
      <c r="AH111">
        <f>COUNTIF(K111:P111,"Adequate for scope")</f>
        <v/>
      </c>
      <c r="AI111">
        <f>IF(COUNTA(K111:P111)=0,"",IF(AA111+AB111+AC111+AD111+AH111=6,"OK","UNRECOGNISED_VALUE"))</f>
        <v/>
      </c>
      <c r="AJ111" s="303" t="n"/>
      <c r="AK111" s="303">
        <f>IF(A111="","",Vocabulary!$B$5)</f>
        <v/>
      </c>
      <c r="AL111" s="303">
        <f>IF(A111="","",Vocabulary!$B$6)</f>
        <v/>
      </c>
      <c r="AM111" s="303">
        <f>IF(AJ111="","OK",IF(COUNTIF(Vocabulary!$O$5:$O$8,AJ111)=1,"OK","UNRECOGNISED_ADMIN_DISPOSITION"))</f>
        <v/>
      </c>
    </row>
    <row r="112">
      <c r="Q112">
        <f>IF(AE112="","",IF(AE112="ADMIN_DISPOSITION",AJ112,IF(OR(AE112="ADMIN_INCOMPLETE",AE112="ADMIN_INVALID",AE112="BURDEN_NOT_FEASIBLE",AE112="UNRECOGNISED_VALUE",AE112="UNRECOGNISED_ADMIN_DISPOSITION"),"Protocol refusal to evaluate",IF(AA112&gt;0,"Stage-A non-admissible - unpatchable for stated claim",IF(AB112&gt;0,"Stage-A non-admissible - patchable",IF(OR(J112="Yes",I112="Indeterminate",AC112&gt;0),"Indeterminate - insufficient evidence",IF(AND(AH112=6,AD112=0),"Stage-A admissible - scoped",IF(AND(AH112+AD112=6,AD112&gt;0),"Stage-A admissible - scoped, control-dependent","Protocol refusal to evaluate"))))))))</f>
        <v/>
      </c>
      <c r="S112">
        <f>IF(AND(Q112="",R112=""),"",IF(AND(Q112&lt;&gt;"",R112=""),"UNRECORDED",IF(AND(Q112="",R112&lt;&gt;""),"ORPHAN_RECORDED",IF(Q112=R112,"MATCH","MISMATCH"))))</f>
        <v/>
      </c>
      <c r="AA112">
        <f>COUNTIF(K112:P112,"Material defect - unpatchable for stated claim")</f>
        <v/>
      </c>
      <c r="AB112">
        <f>COUNTIF(K112:P112,"Material defect - patchable")</f>
        <v/>
      </c>
      <c r="AC112">
        <f>COUNTIF(K112:P112,"Indeterminate")+COUNTIF(K112:P112,"Not reviewed")</f>
        <v/>
      </c>
      <c r="AD112">
        <f>COUNTIF(K112:P112,"Adequate - control-dependent")</f>
        <v/>
      </c>
      <c r="AE112">
        <f>IF(COUNTA(A112:P112)+COUNTA(AJ112)=0,"",IF(AM112&lt;&gt;"OK","UNRECOGNISED_ADMIN_DISPOSITION",IF(AND(AJ112&lt;&gt;"",AJ112&lt;&gt;"None"),IF(OR(LEN(TRIM(A112))=0,LEN(TRIM(B112))=0,LEN(TRIM(C112))=0,LEN(TRIM(F112))=0),"ADMIN_INCOMPLETE","ADMIN_DISPOSITION"),IF(OR(LEN(TRIM(A112))=0,LEN(TRIM(B112))=0,LEN(TRIM(C112))=0,LEN(TRIM(D112))=0,LEN(TRIM(E112))=0,LEN(TRIM(F112))=0,LEN(TRIM(G112))=0,LEN(TRIM(H112))=0,LEN(TRIM(I112))=0,LEN(TRIM(J112))=0,LEN(TRIM(K112))=0,LEN(TRIM(L112))=0,LEN(TRIM(M112))=0,LEN(TRIM(N112))=0,LEN(TRIM(O112))=0,LEN(TRIM(P112))=0),"ADMIN_INCOMPLETE",IF(H112&lt;&gt;"Yes","ADMIN_INVALID",IF(I112="Not feasible","BURDEN_NOT_FEASIBLE",IF(AI112&lt;&gt;"OK","UNRECOGNISED_VALUE","CLEAR")))))))</f>
        <v/>
      </c>
      <c r="AF112">
        <f>IF(AND(Q112="",R112=""),"",IF(IF(Q112&lt;&gt;"",Q112,R112)="Stage-A admissible - scoped","stage_a_admissible_scoped",IF(IF(Q112&lt;&gt;"",Q112,R112)="Stage-A admissible - scoped, control-dependent","stage_a_admissible_scoped_control_dependent",IF(IF(Q112&lt;&gt;"",Q112,R112)="Stage-A non-admissible - patchable","stage_a_non_admissible_patchable",IF(IF(Q112&lt;&gt;"",Q112,R112)="Stage-A non-admissible - unpatchable for stated claim","stage_a_non_admissible_unpatchable_for_stated_claim",IF(IF(Q112&lt;&gt;"",Q112,R112)="Indeterminate - insufficient evidence","indeterminate_insufficient_evidence",IF(IF(Q112&lt;&gt;"",Q112,R112)="Protocol refusal to evaluate","protocol_refusal_to_evaluate",IF(IF(Q112&lt;&gt;"",Q112,R112)="Out of scope","out_of_scope",IF(IF(Q112&lt;&gt;"",Q112,R112)="Withdrawn","withdrawn",IF(IF(Q112&lt;&gt;"",Q112,R112)="Not reviewed","not_reviewed","unknown_status"))))))))))</f>
        <v/>
      </c>
      <c r="AG112">
        <f>IF(AND(AF112="",T112=""),"",IF(AND(AF112&lt;&gt;"",ISNUMBER(SEARCH("token="&amp;AF112&amp;";",T112)),ISNUMBER(SEARCH(AK112,T112)),ISNUMBER(SEARCH("CL basis="&amp;AL112&amp;";",T112))),"VALID","INVALID_OR_INCOMPLETE"))</f>
        <v/>
      </c>
      <c r="AH112">
        <f>COUNTIF(K112:P112,"Adequate for scope")</f>
        <v/>
      </c>
      <c r="AI112">
        <f>IF(COUNTA(K112:P112)=0,"",IF(AA112+AB112+AC112+AD112+AH112=6,"OK","UNRECOGNISED_VALUE"))</f>
        <v/>
      </c>
      <c r="AJ112" s="303" t="n"/>
      <c r="AK112" s="303">
        <f>IF(A112="","",Vocabulary!$B$5)</f>
        <v/>
      </c>
      <c r="AL112" s="303">
        <f>IF(A112="","",Vocabulary!$B$6)</f>
        <v/>
      </c>
      <c r="AM112" s="303">
        <f>IF(AJ112="","OK",IF(COUNTIF(Vocabulary!$O$5:$O$8,AJ112)=1,"OK","UNRECOGNISED_ADMIN_DISPOSITION"))</f>
        <v/>
      </c>
    </row>
    <row r="113">
      <c r="Q113">
        <f>IF(AE113="","",IF(AE113="ADMIN_DISPOSITION",AJ113,IF(OR(AE113="ADMIN_INCOMPLETE",AE113="ADMIN_INVALID",AE113="BURDEN_NOT_FEASIBLE",AE113="UNRECOGNISED_VALUE",AE113="UNRECOGNISED_ADMIN_DISPOSITION"),"Protocol refusal to evaluate",IF(AA113&gt;0,"Stage-A non-admissible - unpatchable for stated claim",IF(AB113&gt;0,"Stage-A non-admissible - patchable",IF(OR(J113="Yes",I113="Indeterminate",AC113&gt;0),"Indeterminate - insufficient evidence",IF(AND(AH113=6,AD113=0),"Stage-A admissible - scoped",IF(AND(AH113+AD113=6,AD113&gt;0),"Stage-A admissible - scoped, control-dependent","Protocol refusal to evaluate"))))))))</f>
        <v/>
      </c>
      <c r="S113">
        <f>IF(AND(Q113="",R113=""),"",IF(AND(Q113&lt;&gt;"",R113=""),"UNRECORDED",IF(AND(Q113="",R113&lt;&gt;""),"ORPHAN_RECORDED",IF(Q113=R113,"MATCH","MISMATCH"))))</f>
        <v/>
      </c>
      <c r="AA113">
        <f>COUNTIF(K113:P113,"Material defect - unpatchable for stated claim")</f>
        <v/>
      </c>
      <c r="AB113">
        <f>COUNTIF(K113:P113,"Material defect - patchable")</f>
        <v/>
      </c>
      <c r="AC113">
        <f>COUNTIF(K113:P113,"Indeterminate")+COUNTIF(K113:P113,"Not reviewed")</f>
        <v/>
      </c>
      <c r="AD113">
        <f>COUNTIF(K113:P113,"Adequate - control-dependent")</f>
        <v/>
      </c>
      <c r="AE113">
        <f>IF(COUNTA(A113:P113)+COUNTA(AJ113)=0,"",IF(AM113&lt;&gt;"OK","UNRECOGNISED_ADMIN_DISPOSITION",IF(AND(AJ113&lt;&gt;"",AJ113&lt;&gt;"None"),IF(OR(LEN(TRIM(A113))=0,LEN(TRIM(B113))=0,LEN(TRIM(C113))=0,LEN(TRIM(F113))=0),"ADMIN_INCOMPLETE","ADMIN_DISPOSITION"),IF(OR(LEN(TRIM(A113))=0,LEN(TRIM(B113))=0,LEN(TRIM(C113))=0,LEN(TRIM(D113))=0,LEN(TRIM(E113))=0,LEN(TRIM(F113))=0,LEN(TRIM(G113))=0,LEN(TRIM(H113))=0,LEN(TRIM(I113))=0,LEN(TRIM(J113))=0,LEN(TRIM(K113))=0,LEN(TRIM(L113))=0,LEN(TRIM(M113))=0,LEN(TRIM(N113))=0,LEN(TRIM(O113))=0,LEN(TRIM(P113))=0),"ADMIN_INCOMPLETE",IF(H113&lt;&gt;"Yes","ADMIN_INVALID",IF(I113="Not feasible","BURDEN_NOT_FEASIBLE",IF(AI113&lt;&gt;"OK","UNRECOGNISED_VALUE","CLEAR")))))))</f>
        <v/>
      </c>
      <c r="AF113">
        <f>IF(AND(Q113="",R113=""),"",IF(IF(Q113&lt;&gt;"",Q113,R113)="Stage-A admissible - scoped","stage_a_admissible_scoped",IF(IF(Q113&lt;&gt;"",Q113,R113)="Stage-A admissible - scoped, control-dependent","stage_a_admissible_scoped_control_dependent",IF(IF(Q113&lt;&gt;"",Q113,R113)="Stage-A non-admissible - patchable","stage_a_non_admissible_patchable",IF(IF(Q113&lt;&gt;"",Q113,R113)="Stage-A non-admissible - unpatchable for stated claim","stage_a_non_admissible_unpatchable_for_stated_claim",IF(IF(Q113&lt;&gt;"",Q113,R113)="Indeterminate - insufficient evidence","indeterminate_insufficient_evidence",IF(IF(Q113&lt;&gt;"",Q113,R113)="Protocol refusal to evaluate","protocol_refusal_to_evaluate",IF(IF(Q113&lt;&gt;"",Q113,R113)="Out of scope","out_of_scope",IF(IF(Q113&lt;&gt;"",Q113,R113)="Withdrawn","withdrawn",IF(IF(Q113&lt;&gt;"",Q113,R113)="Not reviewed","not_reviewed","unknown_status"))))))))))</f>
        <v/>
      </c>
      <c r="AG113">
        <f>IF(AND(AF113="",T113=""),"",IF(AND(AF113&lt;&gt;"",ISNUMBER(SEARCH("token="&amp;AF113&amp;";",T113)),ISNUMBER(SEARCH(AK113,T113)),ISNUMBER(SEARCH("CL basis="&amp;AL113&amp;";",T113))),"VALID","INVALID_OR_INCOMPLETE"))</f>
        <v/>
      </c>
      <c r="AH113">
        <f>COUNTIF(K113:P113,"Adequate for scope")</f>
        <v/>
      </c>
      <c r="AI113">
        <f>IF(COUNTA(K113:P113)=0,"",IF(AA113+AB113+AC113+AD113+AH113=6,"OK","UNRECOGNISED_VALUE"))</f>
        <v/>
      </c>
      <c r="AJ113" s="303" t="n"/>
      <c r="AK113" s="303">
        <f>IF(A113="","",Vocabulary!$B$5)</f>
        <v/>
      </c>
      <c r="AL113" s="303">
        <f>IF(A113="","",Vocabulary!$B$6)</f>
        <v/>
      </c>
      <c r="AM113" s="303">
        <f>IF(AJ113="","OK",IF(COUNTIF(Vocabulary!$O$5:$O$8,AJ113)=1,"OK","UNRECOGNISED_ADMIN_DISPOSITION"))</f>
        <v/>
      </c>
    </row>
    <row r="114">
      <c r="Q114">
        <f>IF(AE114="","",IF(AE114="ADMIN_DISPOSITION",AJ114,IF(OR(AE114="ADMIN_INCOMPLETE",AE114="ADMIN_INVALID",AE114="BURDEN_NOT_FEASIBLE",AE114="UNRECOGNISED_VALUE",AE114="UNRECOGNISED_ADMIN_DISPOSITION"),"Protocol refusal to evaluate",IF(AA114&gt;0,"Stage-A non-admissible - unpatchable for stated claim",IF(AB114&gt;0,"Stage-A non-admissible - patchable",IF(OR(J114="Yes",I114="Indeterminate",AC114&gt;0),"Indeterminate - insufficient evidence",IF(AND(AH114=6,AD114=0),"Stage-A admissible - scoped",IF(AND(AH114+AD114=6,AD114&gt;0),"Stage-A admissible - scoped, control-dependent","Protocol refusal to evaluate"))))))))</f>
        <v/>
      </c>
      <c r="S114">
        <f>IF(AND(Q114="",R114=""),"",IF(AND(Q114&lt;&gt;"",R114=""),"UNRECORDED",IF(AND(Q114="",R114&lt;&gt;""),"ORPHAN_RECORDED",IF(Q114=R114,"MATCH","MISMATCH"))))</f>
        <v/>
      </c>
      <c r="AA114">
        <f>COUNTIF(K114:P114,"Material defect - unpatchable for stated claim")</f>
        <v/>
      </c>
      <c r="AB114">
        <f>COUNTIF(K114:P114,"Material defect - patchable")</f>
        <v/>
      </c>
      <c r="AC114">
        <f>COUNTIF(K114:P114,"Indeterminate")+COUNTIF(K114:P114,"Not reviewed")</f>
        <v/>
      </c>
      <c r="AD114">
        <f>COUNTIF(K114:P114,"Adequate - control-dependent")</f>
        <v/>
      </c>
      <c r="AE114">
        <f>IF(COUNTA(A114:P114)+COUNTA(AJ114)=0,"",IF(AM114&lt;&gt;"OK","UNRECOGNISED_ADMIN_DISPOSITION",IF(AND(AJ114&lt;&gt;"",AJ114&lt;&gt;"None"),IF(OR(LEN(TRIM(A114))=0,LEN(TRIM(B114))=0,LEN(TRIM(C114))=0,LEN(TRIM(F114))=0),"ADMIN_INCOMPLETE","ADMIN_DISPOSITION"),IF(OR(LEN(TRIM(A114))=0,LEN(TRIM(B114))=0,LEN(TRIM(C114))=0,LEN(TRIM(D114))=0,LEN(TRIM(E114))=0,LEN(TRIM(F114))=0,LEN(TRIM(G114))=0,LEN(TRIM(H114))=0,LEN(TRIM(I114))=0,LEN(TRIM(J114))=0,LEN(TRIM(K114))=0,LEN(TRIM(L114))=0,LEN(TRIM(M114))=0,LEN(TRIM(N114))=0,LEN(TRIM(O114))=0,LEN(TRIM(P114))=0),"ADMIN_INCOMPLETE",IF(H114&lt;&gt;"Yes","ADMIN_INVALID",IF(I114="Not feasible","BURDEN_NOT_FEASIBLE",IF(AI114&lt;&gt;"OK","UNRECOGNISED_VALUE","CLEAR")))))))</f>
        <v/>
      </c>
      <c r="AF114">
        <f>IF(AND(Q114="",R114=""),"",IF(IF(Q114&lt;&gt;"",Q114,R114)="Stage-A admissible - scoped","stage_a_admissible_scoped",IF(IF(Q114&lt;&gt;"",Q114,R114)="Stage-A admissible - scoped, control-dependent","stage_a_admissible_scoped_control_dependent",IF(IF(Q114&lt;&gt;"",Q114,R114)="Stage-A non-admissible - patchable","stage_a_non_admissible_patchable",IF(IF(Q114&lt;&gt;"",Q114,R114)="Stage-A non-admissible - unpatchable for stated claim","stage_a_non_admissible_unpatchable_for_stated_claim",IF(IF(Q114&lt;&gt;"",Q114,R114)="Indeterminate - insufficient evidence","indeterminate_insufficient_evidence",IF(IF(Q114&lt;&gt;"",Q114,R114)="Protocol refusal to evaluate","protocol_refusal_to_evaluate",IF(IF(Q114&lt;&gt;"",Q114,R114)="Out of scope","out_of_scope",IF(IF(Q114&lt;&gt;"",Q114,R114)="Withdrawn","withdrawn",IF(IF(Q114&lt;&gt;"",Q114,R114)="Not reviewed","not_reviewed","unknown_status"))))))))))</f>
        <v/>
      </c>
      <c r="AG114">
        <f>IF(AND(AF114="",T114=""),"",IF(AND(AF114&lt;&gt;"",ISNUMBER(SEARCH("token="&amp;AF114&amp;";",T114)),ISNUMBER(SEARCH(AK114,T114)),ISNUMBER(SEARCH("CL basis="&amp;AL114&amp;";",T114))),"VALID","INVALID_OR_INCOMPLETE"))</f>
        <v/>
      </c>
      <c r="AH114">
        <f>COUNTIF(K114:P114,"Adequate for scope")</f>
        <v/>
      </c>
      <c r="AI114">
        <f>IF(COUNTA(K114:P114)=0,"",IF(AA114+AB114+AC114+AD114+AH114=6,"OK","UNRECOGNISED_VALUE"))</f>
        <v/>
      </c>
      <c r="AJ114" s="303" t="n"/>
      <c r="AK114" s="303">
        <f>IF(A114="","",Vocabulary!$B$5)</f>
        <v/>
      </c>
      <c r="AL114" s="303">
        <f>IF(A114="","",Vocabulary!$B$6)</f>
        <v/>
      </c>
      <c r="AM114" s="303">
        <f>IF(AJ114="","OK",IF(COUNTIF(Vocabulary!$O$5:$O$8,AJ114)=1,"OK","UNRECOGNISED_ADMIN_DISPOSITION"))</f>
        <v/>
      </c>
    </row>
    <row r="115">
      <c r="Q115">
        <f>IF(AE115="","",IF(AE115="ADMIN_DISPOSITION",AJ115,IF(OR(AE115="ADMIN_INCOMPLETE",AE115="ADMIN_INVALID",AE115="BURDEN_NOT_FEASIBLE",AE115="UNRECOGNISED_VALUE",AE115="UNRECOGNISED_ADMIN_DISPOSITION"),"Protocol refusal to evaluate",IF(AA115&gt;0,"Stage-A non-admissible - unpatchable for stated claim",IF(AB115&gt;0,"Stage-A non-admissible - patchable",IF(OR(J115="Yes",I115="Indeterminate",AC115&gt;0),"Indeterminate - insufficient evidence",IF(AND(AH115=6,AD115=0),"Stage-A admissible - scoped",IF(AND(AH115+AD115=6,AD115&gt;0),"Stage-A admissible - scoped, control-dependent","Protocol refusal to evaluate"))))))))</f>
        <v/>
      </c>
      <c r="S115">
        <f>IF(AND(Q115="",R115=""),"",IF(AND(Q115&lt;&gt;"",R115=""),"UNRECORDED",IF(AND(Q115="",R115&lt;&gt;""),"ORPHAN_RECORDED",IF(Q115=R115,"MATCH","MISMATCH"))))</f>
        <v/>
      </c>
      <c r="AA115">
        <f>COUNTIF(K115:P115,"Material defect - unpatchable for stated claim")</f>
        <v/>
      </c>
      <c r="AB115">
        <f>COUNTIF(K115:P115,"Material defect - patchable")</f>
        <v/>
      </c>
      <c r="AC115">
        <f>COUNTIF(K115:P115,"Indeterminate")+COUNTIF(K115:P115,"Not reviewed")</f>
        <v/>
      </c>
      <c r="AD115">
        <f>COUNTIF(K115:P115,"Adequate - control-dependent")</f>
        <v/>
      </c>
      <c r="AE115">
        <f>IF(COUNTA(A115:P115)+COUNTA(AJ115)=0,"",IF(AM115&lt;&gt;"OK","UNRECOGNISED_ADMIN_DISPOSITION",IF(AND(AJ115&lt;&gt;"",AJ115&lt;&gt;"None"),IF(OR(LEN(TRIM(A115))=0,LEN(TRIM(B115))=0,LEN(TRIM(C115))=0,LEN(TRIM(F115))=0),"ADMIN_INCOMPLETE","ADMIN_DISPOSITION"),IF(OR(LEN(TRIM(A115))=0,LEN(TRIM(B115))=0,LEN(TRIM(C115))=0,LEN(TRIM(D115))=0,LEN(TRIM(E115))=0,LEN(TRIM(F115))=0,LEN(TRIM(G115))=0,LEN(TRIM(H115))=0,LEN(TRIM(I115))=0,LEN(TRIM(J115))=0,LEN(TRIM(K115))=0,LEN(TRIM(L115))=0,LEN(TRIM(M115))=0,LEN(TRIM(N115))=0,LEN(TRIM(O115))=0,LEN(TRIM(P115))=0),"ADMIN_INCOMPLETE",IF(H115&lt;&gt;"Yes","ADMIN_INVALID",IF(I115="Not feasible","BURDEN_NOT_FEASIBLE",IF(AI115&lt;&gt;"OK","UNRECOGNISED_VALUE","CLEAR")))))))</f>
        <v/>
      </c>
      <c r="AF115">
        <f>IF(AND(Q115="",R115=""),"",IF(IF(Q115&lt;&gt;"",Q115,R115)="Stage-A admissible - scoped","stage_a_admissible_scoped",IF(IF(Q115&lt;&gt;"",Q115,R115)="Stage-A admissible - scoped, control-dependent","stage_a_admissible_scoped_control_dependent",IF(IF(Q115&lt;&gt;"",Q115,R115)="Stage-A non-admissible - patchable","stage_a_non_admissible_patchable",IF(IF(Q115&lt;&gt;"",Q115,R115)="Stage-A non-admissible - unpatchable for stated claim","stage_a_non_admissible_unpatchable_for_stated_claim",IF(IF(Q115&lt;&gt;"",Q115,R115)="Indeterminate - insufficient evidence","indeterminate_insufficient_evidence",IF(IF(Q115&lt;&gt;"",Q115,R115)="Protocol refusal to evaluate","protocol_refusal_to_evaluate",IF(IF(Q115&lt;&gt;"",Q115,R115)="Out of scope","out_of_scope",IF(IF(Q115&lt;&gt;"",Q115,R115)="Withdrawn","withdrawn",IF(IF(Q115&lt;&gt;"",Q115,R115)="Not reviewed","not_reviewed","unknown_status"))))))))))</f>
        <v/>
      </c>
      <c r="AG115">
        <f>IF(AND(AF115="",T115=""),"",IF(AND(AF115&lt;&gt;"",ISNUMBER(SEARCH("token="&amp;AF115&amp;";",T115)),ISNUMBER(SEARCH(AK115,T115)),ISNUMBER(SEARCH("CL basis="&amp;AL115&amp;";",T115))),"VALID","INVALID_OR_INCOMPLETE"))</f>
        <v/>
      </c>
      <c r="AH115">
        <f>COUNTIF(K115:P115,"Adequate for scope")</f>
        <v/>
      </c>
      <c r="AI115">
        <f>IF(COUNTA(K115:P115)=0,"",IF(AA115+AB115+AC115+AD115+AH115=6,"OK","UNRECOGNISED_VALUE"))</f>
        <v/>
      </c>
      <c r="AJ115" s="303" t="n"/>
      <c r="AK115" s="303">
        <f>IF(A115="","",Vocabulary!$B$5)</f>
        <v/>
      </c>
      <c r="AL115" s="303">
        <f>IF(A115="","",Vocabulary!$B$6)</f>
        <v/>
      </c>
      <c r="AM115" s="303">
        <f>IF(AJ115="","OK",IF(COUNTIF(Vocabulary!$O$5:$O$8,AJ115)=1,"OK","UNRECOGNISED_ADMIN_DISPOSITION"))</f>
        <v/>
      </c>
    </row>
    <row r="116">
      <c r="Q116">
        <f>IF(AE116="","",IF(AE116="ADMIN_DISPOSITION",AJ116,IF(OR(AE116="ADMIN_INCOMPLETE",AE116="ADMIN_INVALID",AE116="BURDEN_NOT_FEASIBLE",AE116="UNRECOGNISED_VALUE",AE116="UNRECOGNISED_ADMIN_DISPOSITION"),"Protocol refusal to evaluate",IF(AA116&gt;0,"Stage-A non-admissible - unpatchable for stated claim",IF(AB116&gt;0,"Stage-A non-admissible - patchable",IF(OR(J116="Yes",I116="Indeterminate",AC116&gt;0),"Indeterminate - insufficient evidence",IF(AND(AH116=6,AD116=0),"Stage-A admissible - scoped",IF(AND(AH116+AD116=6,AD116&gt;0),"Stage-A admissible - scoped, control-dependent","Protocol refusal to evaluate"))))))))</f>
        <v/>
      </c>
      <c r="S116">
        <f>IF(AND(Q116="",R116=""),"",IF(AND(Q116&lt;&gt;"",R116=""),"UNRECORDED",IF(AND(Q116="",R116&lt;&gt;""),"ORPHAN_RECORDED",IF(Q116=R116,"MATCH","MISMATCH"))))</f>
        <v/>
      </c>
      <c r="AA116">
        <f>COUNTIF(K116:P116,"Material defect - unpatchable for stated claim")</f>
        <v/>
      </c>
      <c r="AB116">
        <f>COUNTIF(K116:P116,"Material defect - patchable")</f>
        <v/>
      </c>
      <c r="AC116">
        <f>COUNTIF(K116:P116,"Indeterminate")+COUNTIF(K116:P116,"Not reviewed")</f>
        <v/>
      </c>
      <c r="AD116">
        <f>COUNTIF(K116:P116,"Adequate - control-dependent")</f>
        <v/>
      </c>
      <c r="AE116">
        <f>IF(COUNTA(A116:P116)+COUNTA(AJ116)=0,"",IF(AM116&lt;&gt;"OK","UNRECOGNISED_ADMIN_DISPOSITION",IF(AND(AJ116&lt;&gt;"",AJ116&lt;&gt;"None"),IF(OR(LEN(TRIM(A116))=0,LEN(TRIM(B116))=0,LEN(TRIM(C116))=0,LEN(TRIM(F116))=0),"ADMIN_INCOMPLETE","ADMIN_DISPOSITION"),IF(OR(LEN(TRIM(A116))=0,LEN(TRIM(B116))=0,LEN(TRIM(C116))=0,LEN(TRIM(D116))=0,LEN(TRIM(E116))=0,LEN(TRIM(F116))=0,LEN(TRIM(G116))=0,LEN(TRIM(H116))=0,LEN(TRIM(I116))=0,LEN(TRIM(J116))=0,LEN(TRIM(K116))=0,LEN(TRIM(L116))=0,LEN(TRIM(M116))=0,LEN(TRIM(N116))=0,LEN(TRIM(O116))=0,LEN(TRIM(P116))=0),"ADMIN_INCOMPLETE",IF(H116&lt;&gt;"Yes","ADMIN_INVALID",IF(I116="Not feasible","BURDEN_NOT_FEASIBLE",IF(AI116&lt;&gt;"OK","UNRECOGNISED_VALUE","CLEAR")))))))</f>
        <v/>
      </c>
      <c r="AF116">
        <f>IF(AND(Q116="",R116=""),"",IF(IF(Q116&lt;&gt;"",Q116,R116)="Stage-A admissible - scoped","stage_a_admissible_scoped",IF(IF(Q116&lt;&gt;"",Q116,R116)="Stage-A admissible - scoped, control-dependent","stage_a_admissible_scoped_control_dependent",IF(IF(Q116&lt;&gt;"",Q116,R116)="Stage-A non-admissible - patchable","stage_a_non_admissible_patchable",IF(IF(Q116&lt;&gt;"",Q116,R116)="Stage-A non-admissible - unpatchable for stated claim","stage_a_non_admissible_unpatchable_for_stated_claim",IF(IF(Q116&lt;&gt;"",Q116,R116)="Indeterminate - insufficient evidence","indeterminate_insufficient_evidence",IF(IF(Q116&lt;&gt;"",Q116,R116)="Protocol refusal to evaluate","protocol_refusal_to_evaluate",IF(IF(Q116&lt;&gt;"",Q116,R116)="Out of scope","out_of_scope",IF(IF(Q116&lt;&gt;"",Q116,R116)="Withdrawn","withdrawn",IF(IF(Q116&lt;&gt;"",Q116,R116)="Not reviewed","not_reviewed","unknown_status"))))))))))</f>
        <v/>
      </c>
      <c r="AG116">
        <f>IF(AND(AF116="",T116=""),"",IF(AND(AF116&lt;&gt;"",ISNUMBER(SEARCH("token="&amp;AF116&amp;";",T116)),ISNUMBER(SEARCH(AK116,T116)),ISNUMBER(SEARCH("CL basis="&amp;AL116&amp;";",T116))),"VALID","INVALID_OR_INCOMPLETE"))</f>
        <v/>
      </c>
      <c r="AH116">
        <f>COUNTIF(K116:P116,"Adequate for scope")</f>
        <v/>
      </c>
      <c r="AI116">
        <f>IF(COUNTA(K116:P116)=0,"",IF(AA116+AB116+AC116+AD116+AH116=6,"OK","UNRECOGNISED_VALUE"))</f>
        <v/>
      </c>
      <c r="AJ116" s="303" t="n"/>
      <c r="AK116" s="303">
        <f>IF(A116="","",Vocabulary!$B$5)</f>
        <v/>
      </c>
      <c r="AL116" s="303">
        <f>IF(A116="","",Vocabulary!$B$6)</f>
        <v/>
      </c>
      <c r="AM116" s="303">
        <f>IF(AJ116="","OK",IF(COUNTIF(Vocabulary!$O$5:$O$8,AJ116)=1,"OK","UNRECOGNISED_ADMIN_DISPOSITION"))</f>
        <v/>
      </c>
    </row>
    <row r="117">
      <c r="Q117">
        <f>IF(AE117="","",IF(AE117="ADMIN_DISPOSITION",AJ117,IF(OR(AE117="ADMIN_INCOMPLETE",AE117="ADMIN_INVALID",AE117="BURDEN_NOT_FEASIBLE",AE117="UNRECOGNISED_VALUE",AE117="UNRECOGNISED_ADMIN_DISPOSITION"),"Protocol refusal to evaluate",IF(AA117&gt;0,"Stage-A non-admissible - unpatchable for stated claim",IF(AB117&gt;0,"Stage-A non-admissible - patchable",IF(OR(J117="Yes",I117="Indeterminate",AC117&gt;0),"Indeterminate - insufficient evidence",IF(AND(AH117=6,AD117=0),"Stage-A admissible - scoped",IF(AND(AH117+AD117=6,AD117&gt;0),"Stage-A admissible - scoped, control-dependent","Protocol refusal to evaluate"))))))))</f>
        <v/>
      </c>
      <c r="S117">
        <f>IF(AND(Q117="",R117=""),"",IF(AND(Q117&lt;&gt;"",R117=""),"UNRECORDED",IF(AND(Q117="",R117&lt;&gt;""),"ORPHAN_RECORDED",IF(Q117=R117,"MATCH","MISMATCH"))))</f>
        <v/>
      </c>
      <c r="AA117">
        <f>COUNTIF(K117:P117,"Material defect - unpatchable for stated claim")</f>
        <v/>
      </c>
      <c r="AB117">
        <f>COUNTIF(K117:P117,"Material defect - patchable")</f>
        <v/>
      </c>
      <c r="AC117">
        <f>COUNTIF(K117:P117,"Indeterminate")+COUNTIF(K117:P117,"Not reviewed")</f>
        <v/>
      </c>
      <c r="AD117">
        <f>COUNTIF(K117:P117,"Adequate - control-dependent")</f>
        <v/>
      </c>
      <c r="AE117">
        <f>IF(COUNTA(A117:P117)+COUNTA(AJ117)=0,"",IF(AM117&lt;&gt;"OK","UNRECOGNISED_ADMIN_DISPOSITION",IF(AND(AJ117&lt;&gt;"",AJ117&lt;&gt;"None"),IF(OR(LEN(TRIM(A117))=0,LEN(TRIM(B117))=0,LEN(TRIM(C117))=0,LEN(TRIM(F117))=0),"ADMIN_INCOMPLETE","ADMIN_DISPOSITION"),IF(OR(LEN(TRIM(A117))=0,LEN(TRIM(B117))=0,LEN(TRIM(C117))=0,LEN(TRIM(D117))=0,LEN(TRIM(E117))=0,LEN(TRIM(F117))=0,LEN(TRIM(G117))=0,LEN(TRIM(H117))=0,LEN(TRIM(I117))=0,LEN(TRIM(J117))=0,LEN(TRIM(K117))=0,LEN(TRIM(L117))=0,LEN(TRIM(M117))=0,LEN(TRIM(N117))=0,LEN(TRIM(O117))=0,LEN(TRIM(P117))=0),"ADMIN_INCOMPLETE",IF(H117&lt;&gt;"Yes","ADMIN_INVALID",IF(I117="Not feasible","BURDEN_NOT_FEASIBLE",IF(AI117&lt;&gt;"OK","UNRECOGNISED_VALUE","CLEAR")))))))</f>
        <v/>
      </c>
      <c r="AF117">
        <f>IF(AND(Q117="",R117=""),"",IF(IF(Q117&lt;&gt;"",Q117,R117)="Stage-A admissible - scoped","stage_a_admissible_scoped",IF(IF(Q117&lt;&gt;"",Q117,R117)="Stage-A admissible - scoped, control-dependent","stage_a_admissible_scoped_control_dependent",IF(IF(Q117&lt;&gt;"",Q117,R117)="Stage-A non-admissible - patchable","stage_a_non_admissible_patchable",IF(IF(Q117&lt;&gt;"",Q117,R117)="Stage-A non-admissible - unpatchable for stated claim","stage_a_non_admissible_unpatchable_for_stated_claim",IF(IF(Q117&lt;&gt;"",Q117,R117)="Indeterminate - insufficient evidence","indeterminate_insufficient_evidence",IF(IF(Q117&lt;&gt;"",Q117,R117)="Protocol refusal to evaluate","protocol_refusal_to_evaluate",IF(IF(Q117&lt;&gt;"",Q117,R117)="Out of scope","out_of_scope",IF(IF(Q117&lt;&gt;"",Q117,R117)="Withdrawn","withdrawn",IF(IF(Q117&lt;&gt;"",Q117,R117)="Not reviewed","not_reviewed","unknown_status"))))))))))</f>
        <v/>
      </c>
      <c r="AG117">
        <f>IF(AND(AF117="",T117=""),"",IF(AND(AF117&lt;&gt;"",ISNUMBER(SEARCH("token="&amp;AF117&amp;";",T117)),ISNUMBER(SEARCH(AK117,T117)),ISNUMBER(SEARCH("CL basis="&amp;AL117&amp;";",T117))),"VALID","INVALID_OR_INCOMPLETE"))</f>
        <v/>
      </c>
      <c r="AH117">
        <f>COUNTIF(K117:P117,"Adequate for scope")</f>
        <v/>
      </c>
      <c r="AI117">
        <f>IF(COUNTA(K117:P117)=0,"",IF(AA117+AB117+AC117+AD117+AH117=6,"OK","UNRECOGNISED_VALUE"))</f>
        <v/>
      </c>
      <c r="AJ117" s="303" t="n"/>
      <c r="AK117" s="303">
        <f>IF(A117="","",Vocabulary!$B$5)</f>
        <v/>
      </c>
      <c r="AL117" s="303">
        <f>IF(A117="","",Vocabulary!$B$6)</f>
        <v/>
      </c>
      <c r="AM117" s="303">
        <f>IF(AJ117="","OK",IF(COUNTIF(Vocabulary!$O$5:$O$8,AJ117)=1,"OK","UNRECOGNISED_ADMIN_DISPOSITION"))</f>
        <v/>
      </c>
    </row>
    <row r="118">
      <c r="Q118">
        <f>IF(AE118="","",IF(AE118="ADMIN_DISPOSITION",AJ118,IF(OR(AE118="ADMIN_INCOMPLETE",AE118="ADMIN_INVALID",AE118="BURDEN_NOT_FEASIBLE",AE118="UNRECOGNISED_VALUE",AE118="UNRECOGNISED_ADMIN_DISPOSITION"),"Protocol refusal to evaluate",IF(AA118&gt;0,"Stage-A non-admissible - unpatchable for stated claim",IF(AB118&gt;0,"Stage-A non-admissible - patchable",IF(OR(J118="Yes",I118="Indeterminate",AC118&gt;0),"Indeterminate - insufficient evidence",IF(AND(AH118=6,AD118=0),"Stage-A admissible - scoped",IF(AND(AH118+AD118=6,AD118&gt;0),"Stage-A admissible - scoped, control-dependent","Protocol refusal to evaluate"))))))))</f>
        <v/>
      </c>
      <c r="S118">
        <f>IF(AND(Q118="",R118=""),"",IF(AND(Q118&lt;&gt;"",R118=""),"UNRECORDED",IF(AND(Q118="",R118&lt;&gt;""),"ORPHAN_RECORDED",IF(Q118=R118,"MATCH","MISMATCH"))))</f>
        <v/>
      </c>
      <c r="AA118">
        <f>COUNTIF(K118:P118,"Material defect - unpatchable for stated claim")</f>
        <v/>
      </c>
      <c r="AB118">
        <f>COUNTIF(K118:P118,"Material defect - patchable")</f>
        <v/>
      </c>
      <c r="AC118">
        <f>COUNTIF(K118:P118,"Indeterminate")+COUNTIF(K118:P118,"Not reviewed")</f>
        <v/>
      </c>
      <c r="AD118">
        <f>COUNTIF(K118:P118,"Adequate - control-dependent")</f>
        <v/>
      </c>
      <c r="AE118">
        <f>IF(COUNTA(A118:P118)+COUNTA(AJ118)=0,"",IF(AM118&lt;&gt;"OK","UNRECOGNISED_ADMIN_DISPOSITION",IF(AND(AJ118&lt;&gt;"",AJ118&lt;&gt;"None"),IF(OR(LEN(TRIM(A118))=0,LEN(TRIM(B118))=0,LEN(TRIM(C118))=0,LEN(TRIM(F118))=0),"ADMIN_INCOMPLETE","ADMIN_DISPOSITION"),IF(OR(LEN(TRIM(A118))=0,LEN(TRIM(B118))=0,LEN(TRIM(C118))=0,LEN(TRIM(D118))=0,LEN(TRIM(E118))=0,LEN(TRIM(F118))=0,LEN(TRIM(G118))=0,LEN(TRIM(H118))=0,LEN(TRIM(I118))=0,LEN(TRIM(J118))=0,LEN(TRIM(K118))=0,LEN(TRIM(L118))=0,LEN(TRIM(M118))=0,LEN(TRIM(N118))=0,LEN(TRIM(O118))=0,LEN(TRIM(P118))=0),"ADMIN_INCOMPLETE",IF(H118&lt;&gt;"Yes","ADMIN_INVALID",IF(I118="Not feasible","BURDEN_NOT_FEASIBLE",IF(AI118&lt;&gt;"OK","UNRECOGNISED_VALUE","CLEAR")))))))</f>
        <v/>
      </c>
      <c r="AF118">
        <f>IF(AND(Q118="",R118=""),"",IF(IF(Q118&lt;&gt;"",Q118,R118)="Stage-A admissible - scoped","stage_a_admissible_scoped",IF(IF(Q118&lt;&gt;"",Q118,R118)="Stage-A admissible - scoped, control-dependent","stage_a_admissible_scoped_control_dependent",IF(IF(Q118&lt;&gt;"",Q118,R118)="Stage-A non-admissible - patchable","stage_a_non_admissible_patchable",IF(IF(Q118&lt;&gt;"",Q118,R118)="Stage-A non-admissible - unpatchable for stated claim","stage_a_non_admissible_unpatchable_for_stated_claim",IF(IF(Q118&lt;&gt;"",Q118,R118)="Indeterminate - insufficient evidence","indeterminate_insufficient_evidence",IF(IF(Q118&lt;&gt;"",Q118,R118)="Protocol refusal to evaluate","protocol_refusal_to_evaluate",IF(IF(Q118&lt;&gt;"",Q118,R118)="Out of scope","out_of_scope",IF(IF(Q118&lt;&gt;"",Q118,R118)="Withdrawn","withdrawn",IF(IF(Q118&lt;&gt;"",Q118,R118)="Not reviewed","not_reviewed","unknown_status"))))))))))</f>
        <v/>
      </c>
      <c r="AG118">
        <f>IF(AND(AF118="",T118=""),"",IF(AND(AF118&lt;&gt;"",ISNUMBER(SEARCH("token="&amp;AF118&amp;";",T118)),ISNUMBER(SEARCH(AK118,T118)),ISNUMBER(SEARCH("CL basis="&amp;AL118&amp;";",T118))),"VALID","INVALID_OR_INCOMPLETE"))</f>
        <v/>
      </c>
      <c r="AH118">
        <f>COUNTIF(K118:P118,"Adequate for scope")</f>
        <v/>
      </c>
      <c r="AI118">
        <f>IF(COUNTA(K118:P118)=0,"",IF(AA118+AB118+AC118+AD118+AH118=6,"OK","UNRECOGNISED_VALUE"))</f>
        <v/>
      </c>
      <c r="AJ118" s="303" t="n"/>
      <c r="AK118" s="303">
        <f>IF(A118="","",Vocabulary!$B$5)</f>
        <v/>
      </c>
      <c r="AL118" s="303">
        <f>IF(A118="","",Vocabulary!$B$6)</f>
        <v/>
      </c>
      <c r="AM118" s="303">
        <f>IF(AJ118="","OK",IF(COUNTIF(Vocabulary!$O$5:$O$8,AJ118)=1,"OK","UNRECOGNISED_ADMIN_DISPOSITION"))</f>
        <v/>
      </c>
    </row>
    <row r="119">
      <c r="Q119">
        <f>IF(AE119="","",IF(AE119="ADMIN_DISPOSITION",AJ119,IF(OR(AE119="ADMIN_INCOMPLETE",AE119="ADMIN_INVALID",AE119="BURDEN_NOT_FEASIBLE",AE119="UNRECOGNISED_VALUE",AE119="UNRECOGNISED_ADMIN_DISPOSITION"),"Protocol refusal to evaluate",IF(AA119&gt;0,"Stage-A non-admissible - unpatchable for stated claim",IF(AB119&gt;0,"Stage-A non-admissible - patchable",IF(OR(J119="Yes",I119="Indeterminate",AC119&gt;0),"Indeterminate - insufficient evidence",IF(AND(AH119=6,AD119=0),"Stage-A admissible - scoped",IF(AND(AH119+AD119=6,AD119&gt;0),"Stage-A admissible - scoped, control-dependent","Protocol refusal to evaluate"))))))))</f>
        <v/>
      </c>
      <c r="S119">
        <f>IF(AND(Q119="",R119=""),"",IF(AND(Q119&lt;&gt;"",R119=""),"UNRECORDED",IF(AND(Q119="",R119&lt;&gt;""),"ORPHAN_RECORDED",IF(Q119=R119,"MATCH","MISMATCH"))))</f>
        <v/>
      </c>
      <c r="AA119">
        <f>COUNTIF(K119:P119,"Material defect - unpatchable for stated claim")</f>
        <v/>
      </c>
      <c r="AB119">
        <f>COUNTIF(K119:P119,"Material defect - patchable")</f>
        <v/>
      </c>
      <c r="AC119">
        <f>COUNTIF(K119:P119,"Indeterminate")+COUNTIF(K119:P119,"Not reviewed")</f>
        <v/>
      </c>
      <c r="AD119">
        <f>COUNTIF(K119:P119,"Adequate - control-dependent")</f>
        <v/>
      </c>
      <c r="AE119">
        <f>IF(COUNTA(A119:P119)+COUNTA(AJ119)=0,"",IF(AM119&lt;&gt;"OK","UNRECOGNISED_ADMIN_DISPOSITION",IF(AND(AJ119&lt;&gt;"",AJ119&lt;&gt;"None"),IF(OR(LEN(TRIM(A119))=0,LEN(TRIM(B119))=0,LEN(TRIM(C119))=0,LEN(TRIM(F119))=0),"ADMIN_INCOMPLETE","ADMIN_DISPOSITION"),IF(OR(LEN(TRIM(A119))=0,LEN(TRIM(B119))=0,LEN(TRIM(C119))=0,LEN(TRIM(D119))=0,LEN(TRIM(E119))=0,LEN(TRIM(F119))=0,LEN(TRIM(G119))=0,LEN(TRIM(H119))=0,LEN(TRIM(I119))=0,LEN(TRIM(J119))=0,LEN(TRIM(K119))=0,LEN(TRIM(L119))=0,LEN(TRIM(M119))=0,LEN(TRIM(N119))=0,LEN(TRIM(O119))=0,LEN(TRIM(P119))=0),"ADMIN_INCOMPLETE",IF(H119&lt;&gt;"Yes","ADMIN_INVALID",IF(I119="Not feasible","BURDEN_NOT_FEASIBLE",IF(AI119&lt;&gt;"OK","UNRECOGNISED_VALUE","CLEAR")))))))</f>
        <v/>
      </c>
      <c r="AF119">
        <f>IF(AND(Q119="",R119=""),"",IF(IF(Q119&lt;&gt;"",Q119,R119)="Stage-A admissible - scoped","stage_a_admissible_scoped",IF(IF(Q119&lt;&gt;"",Q119,R119)="Stage-A admissible - scoped, control-dependent","stage_a_admissible_scoped_control_dependent",IF(IF(Q119&lt;&gt;"",Q119,R119)="Stage-A non-admissible - patchable","stage_a_non_admissible_patchable",IF(IF(Q119&lt;&gt;"",Q119,R119)="Stage-A non-admissible - unpatchable for stated claim","stage_a_non_admissible_unpatchable_for_stated_claim",IF(IF(Q119&lt;&gt;"",Q119,R119)="Indeterminate - insufficient evidence","indeterminate_insufficient_evidence",IF(IF(Q119&lt;&gt;"",Q119,R119)="Protocol refusal to evaluate","protocol_refusal_to_evaluate",IF(IF(Q119&lt;&gt;"",Q119,R119)="Out of scope","out_of_scope",IF(IF(Q119&lt;&gt;"",Q119,R119)="Withdrawn","withdrawn",IF(IF(Q119&lt;&gt;"",Q119,R119)="Not reviewed","not_reviewed","unknown_status"))))))))))</f>
        <v/>
      </c>
      <c r="AG119">
        <f>IF(AND(AF119="",T119=""),"",IF(AND(AF119&lt;&gt;"",ISNUMBER(SEARCH("token="&amp;AF119&amp;";",T119)),ISNUMBER(SEARCH(AK119,T119)),ISNUMBER(SEARCH("CL basis="&amp;AL119&amp;";",T119))),"VALID","INVALID_OR_INCOMPLETE"))</f>
        <v/>
      </c>
      <c r="AH119">
        <f>COUNTIF(K119:P119,"Adequate for scope")</f>
        <v/>
      </c>
      <c r="AI119">
        <f>IF(COUNTA(K119:P119)=0,"",IF(AA119+AB119+AC119+AD119+AH119=6,"OK","UNRECOGNISED_VALUE"))</f>
        <v/>
      </c>
      <c r="AJ119" s="303" t="n"/>
      <c r="AK119" s="303">
        <f>IF(A119="","",Vocabulary!$B$5)</f>
        <v/>
      </c>
      <c r="AL119" s="303">
        <f>IF(A119="","",Vocabulary!$B$6)</f>
        <v/>
      </c>
      <c r="AM119" s="303">
        <f>IF(AJ119="","OK",IF(COUNTIF(Vocabulary!$O$5:$O$8,AJ119)=1,"OK","UNRECOGNISED_ADMIN_DISPOSITION"))</f>
        <v/>
      </c>
    </row>
    <row r="120">
      <c r="Q120">
        <f>IF(AE120="","",IF(AE120="ADMIN_DISPOSITION",AJ120,IF(OR(AE120="ADMIN_INCOMPLETE",AE120="ADMIN_INVALID",AE120="BURDEN_NOT_FEASIBLE",AE120="UNRECOGNISED_VALUE",AE120="UNRECOGNISED_ADMIN_DISPOSITION"),"Protocol refusal to evaluate",IF(AA120&gt;0,"Stage-A non-admissible - unpatchable for stated claim",IF(AB120&gt;0,"Stage-A non-admissible - patchable",IF(OR(J120="Yes",I120="Indeterminate",AC120&gt;0),"Indeterminate - insufficient evidence",IF(AND(AH120=6,AD120=0),"Stage-A admissible - scoped",IF(AND(AH120+AD120=6,AD120&gt;0),"Stage-A admissible - scoped, control-dependent","Protocol refusal to evaluate"))))))))</f>
        <v/>
      </c>
      <c r="S120">
        <f>IF(AND(Q120="",R120=""),"",IF(AND(Q120&lt;&gt;"",R120=""),"UNRECORDED",IF(AND(Q120="",R120&lt;&gt;""),"ORPHAN_RECORDED",IF(Q120=R120,"MATCH","MISMATCH"))))</f>
        <v/>
      </c>
      <c r="AA120">
        <f>COUNTIF(K120:P120,"Material defect - unpatchable for stated claim")</f>
        <v/>
      </c>
      <c r="AB120">
        <f>COUNTIF(K120:P120,"Material defect - patchable")</f>
        <v/>
      </c>
      <c r="AC120">
        <f>COUNTIF(K120:P120,"Indeterminate")+COUNTIF(K120:P120,"Not reviewed")</f>
        <v/>
      </c>
      <c r="AD120">
        <f>COUNTIF(K120:P120,"Adequate - control-dependent")</f>
        <v/>
      </c>
      <c r="AE120">
        <f>IF(COUNTA(A120:P120)+COUNTA(AJ120)=0,"",IF(AM120&lt;&gt;"OK","UNRECOGNISED_ADMIN_DISPOSITION",IF(AND(AJ120&lt;&gt;"",AJ120&lt;&gt;"None"),IF(OR(LEN(TRIM(A120))=0,LEN(TRIM(B120))=0,LEN(TRIM(C120))=0,LEN(TRIM(F120))=0),"ADMIN_INCOMPLETE","ADMIN_DISPOSITION"),IF(OR(LEN(TRIM(A120))=0,LEN(TRIM(B120))=0,LEN(TRIM(C120))=0,LEN(TRIM(D120))=0,LEN(TRIM(E120))=0,LEN(TRIM(F120))=0,LEN(TRIM(G120))=0,LEN(TRIM(H120))=0,LEN(TRIM(I120))=0,LEN(TRIM(J120))=0,LEN(TRIM(K120))=0,LEN(TRIM(L120))=0,LEN(TRIM(M120))=0,LEN(TRIM(N120))=0,LEN(TRIM(O120))=0,LEN(TRIM(P120))=0),"ADMIN_INCOMPLETE",IF(H120&lt;&gt;"Yes","ADMIN_INVALID",IF(I120="Not feasible","BURDEN_NOT_FEASIBLE",IF(AI120&lt;&gt;"OK","UNRECOGNISED_VALUE","CLEAR")))))))</f>
        <v/>
      </c>
      <c r="AF120">
        <f>IF(AND(Q120="",R120=""),"",IF(IF(Q120&lt;&gt;"",Q120,R120)="Stage-A admissible - scoped","stage_a_admissible_scoped",IF(IF(Q120&lt;&gt;"",Q120,R120)="Stage-A admissible - scoped, control-dependent","stage_a_admissible_scoped_control_dependent",IF(IF(Q120&lt;&gt;"",Q120,R120)="Stage-A non-admissible - patchable","stage_a_non_admissible_patchable",IF(IF(Q120&lt;&gt;"",Q120,R120)="Stage-A non-admissible - unpatchable for stated claim","stage_a_non_admissible_unpatchable_for_stated_claim",IF(IF(Q120&lt;&gt;"",Q120,R120)="Indeterminate - insufficient evidence","indeterminate_insufficient_evidence",IF(IF(Q120&lt;&gt;"",Q120,R120)="Protocol refusal to evaluate","protocol_refusal_to_evaluate",IF(IF(Q120&lt;&gt;"",Q120,R120)="Out of scope","out_of_scope",IF(IF(Q120&lt;&gt;"",Q120,R120)="Withdrawn","withdrawn",IF(IF(Q120&lt;&gt;"",Q120,R120)="Not reviewed","not_reviewed","unknown_status"))))))))))</f>
        <v/>
      </c>
      <c r="AG120">
        <f>IF(AND(AF120="",T120=""),"",IF(AND(AF120&lt;&gt;"",ISNUMBER(SEARCH("token="&amp;AF120&amp;";",T120)),ISNUMBER(SEARCH(AK120,T120)),ISNUMBER(SEARCH("CL basis="&amp;AL120&amp;";",T120))),"VALID","INVALID_OR_INCOMPLETE"))</f>
        <v/>
      </c>
      <c r="AH120">
        <f>COUNTIF(K120:P120,"Adequate for scope")</f>
        <v/>
      </c>
      <c r="AI120">
        <f>IF(COUNTA(K120:P120)=0,"",IF(AA120+AB120+AC120+AD120+AH120=6,"OK","UNRECOGNISED_VALUE"))</f>
        <v/>
      </c>
      <c r="AJ120" s="303" t="n"/>
      <c r="AK120" s="303">
        <f>IF(A120="","",Vocabulary!$B$5)</f>
        <v/>
      </c>
      <c r="AL120" s="303">
        <f>IF(A120="","",Vocabulary!$B$6)</f>
        <v/>
      </c>
      <c r="AM120" s="303">
        <f>IF(AJ120="","OK",IF(COUNTIF(Vocabulary!$O$5:$O$8,AJ120)=1,"OK","UNRECOGNISED_ADMIN_DISPOSITION"))</f>
        <v/>
      </c>
    </row>
    <row r="121">
      <c r="Q121">
        <f>IF(AE121="","",IF(AE121="ADMIN_DISPOSITION",AJ121,IF(OR(AE121="ADMIN_INCOMPLETE",AE121="ADMIN_INVALID",AE121="BURDEN_NOT_FEASIBLE",AE121="UNRECOGNISED_VALUE",AE121="UNRECOGNISED_ADMIN_DISPOSITION"),"Protocol refusal to evaluate",IF(AA121&gt;0,"Stage-A non-admissible - unpatchable for stated claim",IF(AB121&gt;0,"Stage-A non-admissible - patchable",IF(OR(J121="Yes",I121="Indeterminate",AC121&gt;0),"Indeterminate - insufficient evidence",IF(AND(AH121=6,AD121=0),"Stage-A admissible - scoped",IF(AND(AH121+AD121=6,AD121&gt;0),"Stage-A admissible - scoped, control-dependent","Protocol refusal to evaluate"))))))))</f>
        <v/>
      </c>
      <c r="S121">
        <f>IF(AND(Q121="",R121=""),"",IF(AND(Q121&lt;&gt;"",R121=""),"UNRECORDED",IF(AND(Q121="",R121&lt;&gt;""),"ORPHAN_RECORDED",IF(Q121=R121,"MATCH","MISMATCH"))))</f>
        <v/>
      </c>
      <c r="AA121">
        <f>COUNTIF(K121:P121,"Material defect - unpatchable for stated claim")</f>
        <v/>
      </c>
      <c r="AB121">
        <f>COUNTIF(K121:P121,"Material defect - patchable")</f>
        <v/>
      </c>
      <c r="AC121">
        <f>COUNTIF(K121:P121,"Indeterminate")+COUNTIF(K121:P121,"Not reviewed")</f>
        <v/>
      </c>
      <c r="AD121">
        <f>COUNTIF(K121:P121,"Adequate - control-dependent")</f>
        <v/>
      </c>
      <c r="AE121">
        <f>IF(COUNTA(A121:P121)+COUNTA(AJ121)=0,"",IF(AM121&lt;&gt;"OK","UNRECOGNISED_ADMIN_DISPOSITION",IF(AND(AJ121&lt;&gt;"",AJ121&lt;&gt;"None"),IF(OR(LEN(TRIM(A121))=0,LEN(TRIM(B121))=0,LEN(TRIM(C121))=0,LEN(TRIM(F121))=0),"ADMIN_INCOMPLETE","ADMIN_DISPOSITION"),IF(OR(LEN(TRIM(A121))=0,LEN(TRIM(B121))=0,LEN(TRIM(C121))=0,LEN(TRIM(D121))=0,LEN(TRIM(E121))=0,LEN(TRIM(F121))=0,LEN(TRIM(G121))=0,LEN(TRIM(H121))=0,LEN(TRIM(I121))=0,LEN(TRIM(J121))=0,LEN(TRIM(K121))=0,LEN(TRIM(L121))=0,LEN(TRIM(M121))=0,LEN(TRIM(N121))=0,LEN(TRIM(O121))=0,LEN(TRIM(P121))=0),"ADMIN_INCOMPLETE",IF(H121&lt;&gt;"Yes","ADMIN_INVALID",IF(I121="Not feasible","BURDEN_NOT_FEASIBLE",IF(AI121&lt;&gt;"OK","UNRECOGNISED_VALUE","CLEAR")))))))</f>
        <v/>
      </c>
      <c r="AF121">
        <f>IF(AND(Q121="",R121=""),"",IF(IF(Q121&lt;&gt;"",Q121,R121)="Stage-A admissible - scoped","stage_a_admissible_scoped",IF(IF(Q121&lt;&gt;"",Q121,R121)="Stage-A admissible - scoped, control-dependent","stage_a_admissible_scoped_control_dependent",IF(IF(Q121&lt;&gt;"",Q121,R121)="Stage-A non-admissible - patchable","stage_a_non_admissible_patchable",IF(IF(Q121&lt;&gt;"",Q121,R121)="Stage-A non-admissible - unpatchable for stated claim","stage_a_non_admissible_unpatchable_for_stated_claim",IF(IF(Q121&lt;&gt;"",Q121,R121)="Indeterminate - insufficient evidence","indeterminate_insufficient_evidence",IF(IF(Q121&lt;&gt;"",Q121,R121)="Protocol refusal to evaluate","protocol_refusal_to_evaluate",IF(IF(Q121&lt;&gt;"",Q121,R121)="Out of scope","out_of_scope",IF(IF(Q121&lt;&gt;"",Q121,R121)="Withdrawn","withdrawn",IF(IF(Q121&lt;&gt;"",Q121,R121)="Not reviewed","not_reviewed","unknown_status"))))))))))</f>
        <v/>
      </c>
      <c r="AG121">
        <f>IF(AND(AF121="",T121=""),"",IF(AND(AF121&lt;&gt;"",ISNUMBER(SEARCH("token="&amp;AF121&amp;";",T121)),ISNUMBER(SEARCH(AK121,T121)),ISNUMBER(SEARCH("CL basis="&amp;AL121&amp;";",T121))),"VALID","INVALID_OR_INCOMPLETE"))</f>
        <v/>
      </c>
      <c r="AH121">
        <f>COUNTIF(K121:P121,"Adequate for scope")</f>
        <v/>
      </c>
      <c r="AI121">
        <f>IF(COUNTA(K121:P121)=0,"",IF(AA121+AB121+AC121+AD121+AH121=6,"OK","UNRECOGNISED_VALUE"))</f>
        <v/>
      </c>
      <c r="AJ121" s="303" t="n"/>
      <c r="AK121" s="303">
        <f>IF(A121="","",Vocabulary!$B$5)</f>
        <v/>
      </c>
      <c r="AL121" s="303">
        <f>IF(A121="","",Vocabulary!$B$6)</f>
        <v/>
      </c>
      <c r="AM121" s="303">
        <f>IF(AJ121="","OK",IF(COUNTIF(Vocabulary!$O$5:$O$8,AJ121)=1,"OK","UNRECOGNISED_ADMIN_DISPOSITION"))</f>
        <v/>
      </c>
    </row>
    <row r="122">
      <c r="Q122">
        <f>IF(AE122="","",IF(AE122="ADMIN_DISPOSITION",AJ122,IF(OR(AE122="ADMIN_INCOMPLETE",AE122="ADMIN_INVALID",AE122="BURDEN_NOT_FEASIBLE",AE122="UNRECOGNISED_VALUE",AE122="UNRECOGNISED_ADMIN_DISPOSITION"),"Protocol refusal to evaluate",IF(AA122&gt;0,"Stage-A non-admissible - unpatchable for stated claim",IF(AB122&gt;0,"Stage-A non-admissible - patchable",IF(OR(J122="Yes",I122="Indeterminate",AC122&gt;0),"Indeterminate - insufficient evidence",IF(AND(AH122=6,AD122=0),"Stage-A admissible - scoped",IF(AND(AH122+AD122=6,AD122&gt;0),"Stage-A admissible - scoped, control-dependent","Protocol refusal to evaluate"))))))))</f>
        <v/>
      </c>
      <c r="S122">
        <f>IF(AND(Q122="",R122=""),"",IF(AND(Q122&lt;&gt;"",R122=""),"UNRECORDED",IF(AND(Q122="",R122&lt;&gt;""),"ORPHAN_RECORDED",IF(Q122=R122,"MATCH","MISMATCH"))))</f>
        <v/>
      </c>
      <c r="AA122">
        <f>COUNTIF(K122:P122,"Material defect - unpatchable for stated claim")</f>
        <v/>
      </c>
      <c r="AB122">
        <f>COUNTIF(K122:P122,"Material defect - patchable")</f>
        <v/>
      </c>
      <c r="AC122">
        <f>COUNTIF(K122:P122,"Indeterminate")+COUNTIF(K122:P122,"Not reviewed")</f>
        <v/>
      </c>
      <c r="AD122">
        <f>COUNTIF(K122:P122,"Adequate - control-dependent")</f>
        <v/>
      </c>
      <c r="AE122">
        <f>IF(COUNTA(A122:P122)+COUNTA(AJ122)=0,"",IF(AM122&lt;&gt;"OK","UNRECOGNISED_ADMIN_DISPOSITION",IF(AND(AJ122&lt;&gt;"",AJ122&lt;&gt;"None"),IF(OR(LEN(TRIM(A122))=0,LEN(TRIM(B122))=0,LEN(TRIM(C122))=0,LEN(TRIM(F122))=0),"ADMIN_INCOMPLETE","ADMIN_DISPOSITION"),IF(OR(LEN(TRIM(A122))=0,LEN(TRIM(B122))=0,LEN(TRIM(C122))=0,LEN(TRIM(D122))=0,LEN(TRIM(E122))=0,LEN(TRIM(F122))=0,LEN(TRIM(G122))=0,LEN(TRIM(H122))=0,LEN(TRIM(I122))=0,LEN(TRIM(J122))=0,LEN(TRIM(K122))=0,LEN(TRIM(L122))=0,LEN(TRIM(M122))=0,LEN(TRIM(N122))=0,LEN(TRIM(O122))=0,LEN(TRIM(P122))=0),"ADMIN_INCOMPLETE",IF(H122&lt;&gt;"Yes","ADMIN_INVALID",IF(I122="Not feasible","BURDEN_NOT_FEASIBLE",IF(AI122&lt;&gt;"OK","UNRECOGNISED_VALUE","CLEAR")))))))</f>
        <v/>
      </c>
      <c r="AF122">
        <f>IF(AND(Q122="",R122=""),"",IF(IF(Q122&lt;&gt;"",Q122,R122)="Stage-A admissible - scoped","stage_a_admissible_scoped",IF(IF(Q122&lt;&gt;"",Q122,R122)="Stage-A admissible - scoped, control-dependent","stage_a_admissible_scoped_control_dependent",IF(IF(Q122&lt;&gt;"",Q122,R122)="Stage-A non-admissible - patchable","stage_a_non_admissible_patchable",IF(IF(Q122&lt;&gt;"",Q122,R122)="Stage-A non-admissible - unpatchable for stated claim","stage_a_non_admissible_unpatchable_for_stated_claim",IF(IF(Q122&lt;&gt;"",Q122,R122)="Indeterminate - insufficient evidence","indeterminate_insufficient_evidence",IF(IF(Q122&lt;&gt;"",Q122,R122)="Protocol refusal to evaluate","protocol_refusal_to_evaluate",IF(IF(Q122&lt;&gt;"",Q122,R122)="Out of scope","out_of_scope",IF(IF(Q122&lt;&gt;"",Q122,R122)="Withdrawn","withdrawn",IF(IF(Q122&lt;&gt;"",Q122,R122)="Not reviewed","not_reviewed","unknown_status"))))))))))</f>
        <v/>
      </c>
      <c r="AG122">
        <f>IF(AND(AF122="",T122=""),"",IF(AND(AF122&lt;&gt;"",ISNUMBER(SEARCH("token="&amp;AF122&amp;";",T122)),ISNUMBER(SEARCH(AK122,T122)),ISNUMBER(SEARCH("CL basis="&amp;AL122&amp;";",T122))),"VALID","INVALID_OR_INCOMPLETE"))</f>
        <v/>
      </c>
      <c r="AH122">
        <f>COUNTIF(K122:P122,"Adequate for scope")</f>
        <v/>
      </c>
      <c r="AI122">
        <f>IF(COUNTA(K122:P122)=0,"",IF(AA122+AB122+AC122+AD122+AH122=6,"OK","UNRECOGNISED_VALUE"))</f>
        <v/>
      </c>
      <c r="AJ122" s="303" t="n"/>
      <c r="AK122" s="303">
        <f>IF(A122="","",Vocabulary!$B$5)</f>
        <v/>
      </c>
      <c r="AL122" s="303">
        <f>IF(A122="","",Vocabulary!$B$6)</f>
        <v/>
      </c>
      <c r="AM122" s="303">
        <f>IF(AJ122="","OK",IF(COUNTIF(Vocabulary!$O$5:$O$8,AJ122)=1,"OK","UNRECOGNISED_ADMIN_DISPOSITION"))</f>
        <v/>
      </c>
    </row>
    <row r="123">
      <c r="Q123">
        <f>IF(AE123="","",IF(AE123="ADMIN_DISPOSITION",AJ123,IF(OR(AE123="ADMIN_INCOMPLETE",AE123="ADMIN_INVALID",AE123="BURDEN_NOT_FEASIBLE",AE123="UNRECOGNISED_VALUE",AE123="UNRECOGNISED_ADMIN_DISPOSITION"),"Protocol refusal to evaluate",IF(AA123&gt;0,"Stage-A non-admissible - unpatchable for stated claim",IF(AB123&gt;0,"Stage-A non-admissible - patchable",IF(OR(J123="Yes",I123="Indeterminate",AC123&gt;0),"Indeterminate - insufficient evidence",IF(AND(AH123=6,AD123=0),"Stage-A admissible - scoped",IF(AND(AH123+AD123=6,AD123&gt;0),"Stage-A admissible - scoped, control-dependent","Protocol refusal to evaluate"))))))))</f>
        <v/>
      </c>
      <c r="S123">
        <f>IF(AND(Q123="",R123=""),"",IF(AND(Q123&lt;&gt;"",R123=""),"UNRECORDED",IF(AND(Q123="",R123&lt;&gt;""),"ORPHAN_RECORDED",IF(Q123=R123,"MATCH","MISMATCH"))))</f>
        <v/>
      </c>
      <c r="AA123">
        <f>COUNTIF(K123:P123,"Material defect - unpatchable for stated claim")</f>
        <v/>
      </c>
      <c r="AB123">
        <f>COUNTIF(K123:P123,"Material defect - patchable")</f>
        <v/>
      </c>
      <c r="AC123">
        <f>COUNTIF(K123:P123,"Indeterminate")+COUNTIF(K123:P123,"Not reviewed")</f>
        <v/>
      </c>
      <c r="AD123">
        <f>COUNTIF(K123:P123,"Adequate - control-dependent")</f>
        <v/>
      </c>
      <c r="AE123">
        <f>IF(COUNTA(A123:P123)+COUNTA(AJ123)=0,"",IF(AM123&lt;&gt;"OK","UNRECOGNISED_ADMIN_DISPOSITION",IF(AND(AJ123&lt;&gt;"",AJ123&lt;&gt;"None"),IF(OR(LEN(TRIM(A123))=0,LEN(TRIM(B123))=0,LEN(TRIM(C123))=0,LEN(TRIM(F123))=0),"ADMIN_INCOMPLETE","ADMIN_DISPOSITION"),IF(OR(LEN(TRIM(A123))=0,LEN(TRIM(B123))=0,LEN(TRIM(C123))=0,LEN(TRIM(D123))=0,LEN(TRIM(E123))=0,LEN(TRIM(F123))=0,LEN(TRIM(G123))=0,LEN(TRIM(H123))=0,LEN(TRIM(I123))=0,LEN(TRIM(J123))=0,LEN(TRIM(K123))=0,LEN(TRIM(L123))=0,LEN(TRIM(M123))=0,LEN(TRIM(N123))=0,LEN(TRIM(O123))=0,LEN(TRIM(P123))=0),"ADMIN_INCOMPLETE",IF(H123&lt;&gt;"Yes","ADMIN_INVALID",IF(I123="Not feasible","BURDEN_NOT_FEASIBLE",IF(AI123&lt;&gt;"OK","UNRECOGNISED_VALUE","CLEAR")))))))</f>
        <v/>
      </c>
      <c r="AF123">
        <f>IF(AND(Q123="",R123=""),"",IF(IF(Q123&lt;&gt;"",Q123,R123)="Stage-A admissible - scoped","stage_a_admissible_scoped",IF(IF(Q123&lt;&gt;"",Q123,R123)="Stage-A admissible - scoped, control-dependent","stage_a_admissible_scoped_control_dependent",IF(IF(Q123&lt;&gt;"",Q123,R123)="Stage-A non-admissible - patchable","stage_a_non_admissible_patchable",IF(IF(Q123&lt;&gt;"",Q123,R123)="Stage-A non-admissible - unpatchable for stated claim","stage_a_non_admissible_unpatchable_for_stated_claim",IF(IF(Q123&lt;&gt;"",Q123,R123)="Indeterminate - insufficient evidence","indeterminate_insufficient_evidence",IF(IF(Q123&lt;&gt;"",Q123,R123)="Protocol refusal to evaluate","protocol_refusal_to_evaluate",IF(IF(Q123&lt;&gt;"",Q123,R123)="Out of scope","out_of_scope",IF(IF(Q123&lt;&gt;"",Q123,R123)="Withdrawn","withdrawn",IF(IF(Q123&lt;&gt;"",Q123,R123)="Not reviewed","not_reviewed","unknown_status"))))))))))</f>
        <v/>
      </c>
      <c r="AG123">
        <f>IF(AND(AF123="",T123=""),"",IF(AND(AF123&lt;&gt;"",ISNUMBER(SEARCH("token="&amp;AF123&amp;";",T123)),ISNUMBER(SEARCH(AK123,T123)),ISNUMBER(SEARCH("CL basis="&amp;AL123&amp;";",T123))),"VALID","INVALID_OR_INCOMPLETE"))</f>
        <v/>
      </c>
      <c r="AH123">
        <f>COUNTIF(K123:P123,"Adequate for scope")</f>
        <v/>
      </c>
      <c r="AI123">
        <f>IF(COUNTA(K123:P123)=0,"",IF(AA123+AB123+AC123+AD123+AH123=6,"OK","UNRECOGNISED_VALUE"))</f>
        <v/>
      </c>
      <c r="AJ123" s="303" t="n"/>
      <c r="AK123" s="303">
        <f>IF(A123="","",Vocabulary!$B$5)</f>
        <v/>
      </c>
      <c r="AL123" s="303">
        <f>IF(A123="","",Vocabulary!$B$6)</f>
        <v/>
      </c>
      <c r="AM123" s="303">
        <f>IF(AJ123="","OK",IF(COUNTIF(Vocabulary!$O$5:$O$8,AJ123)=1,"OK","UNRECOGNISED_ADMIN_DISPOSITION"))</f>
        <v/>
      </c>
    </row>
    <row r="124">
      <c r="Q124">
        <f>IF(AE124="","",IF(AE124="ADMIN_DISPOSITION",AJ124,IF(OR(AE124="ADMIN_INCOMPLETE",AE124="ADMIN_INVALID",AE124="BURDEN_NOT_FEASIBLE",AE124="UNRECOGNISED_VALUE",AE124="UNRECOGNISED_ADMIN_DISPOSITION"),"Protocol refusal to evaluate",IF(AA124&gt;0,"Stage-A non-admissible - unpatchable for stated claim",IF(AB124&gt;0,"Stage-A non-admissible - patchable",IF(OR(J124="Yes",I124="Indeterminate",AC124&gt;0),"Indeterminate - insufficient evidence",IF(AND(AH124=6,AD124=0),"Stage-A admissible - scoped",IF(AND(AH124+AD124=6,AD124&gt;0),"Stage-A admissible - scoped, control-dependent","Protocol refusal to evaluate"))))))))</f>
        <v/>
      </c>
      <c r="S124">
        <f>IF(AND(Q124="",R124=""),"",IF(AND(Q124&lt;&gt;"",R124=""),"UNRECORDED",IF(AND(Q124="",R124&lt;&gt;""),"ORPHAN_RECORDED",IF(Q124=R124,"MATCH","MISMATCH"))))</f>
        <v/>
      </c>
      <c r="AA124">
        <f>COUNTIF(K124:P124,"Material defect - unpatchable for stated claim")</f>
        <v/>
      </c>
      <c r="AB124">
        <f>COUNTIF(K124:P124,"Material defect - patchable")</f>
        <v/>
      </c>
      <c r="AC124">
        <f>COUNTIF(K124:P124,"Indeterminate")+COUNTIF(K124:P124,"Not reviewed")</f>
        <v/>
      </c>
      <c r="AD124">
        <f>COUNTIF(K124:P124,"Adequate - control-dependent")</f>
        <v/>
      </c>
      <c r="AE124">
        <f>IF(COUNTA(A124:P124)+COUNTA(AJ124)=0,"",IF(AM124&lt;&gt;"OK","UNRECOGNISED_ADMIN_DISPOSITION",IF(AND(AJ124&lt;&gt;"",AJ124&lt;&gt;"None"),IF(OR(LEN(TRIM(A124))=0,LEN(TRIM(B124))=0,LEN(TRIM(C124))=0,LEN(TRIM(F124))=0),"ADMIN_INCOMPLETE","ADMIN_DISPOSITION"),IF(OR(LEN(TRIM(A124))=0,LEN(TRIM(B124))=0,LEN(TRIM(C124))=0,LEN(TRIM(D124))=0,LEN(TRIM(E124))=0,LEN(TRIM(F124))=0,LEN(TRIM(G124))=0,LEN(TRIM(H124))=0,LEN(TRIM(I124))=0,LEN(TRIM(J124))=0,LEN(TRIM(K124))=0,LEN(TRIM(L124))=0,LEN(TRIM(M124))=0,LEN(TRIM(N124))=0,LEN(TRIM(O124))=0,LEN(TRIM(P124))=0),"ADMIN_INCOMPLETE",IF(H124&lt;&gt;"Yes","ADMIN_INVALID",IF(I124="Not feasible","BURDEN_NOT_FEASIBLE",IF(AI124&lt;&gt;"OK","UNRECOGNISED_VALUE","CLEAR")))))))</f>
        <v/>
      </c>
      <c r="AF124">
        <f>IF(AND(Q124="",R124=""),"",IF(IF(Q124&lt;&gt;"",Q124,R124)="Stage-A admissible - scoped","stage_a_admissible_scoped",IF(IF(Q124&lt;&gt;"",Q124,R124)="Stage-A admissible - scoped, control-dependent","stage_a_admissible_scoped_control_dependent",IF(IF(Q124&lt;&gt;"",Q124,R124)="Stage-A non-admissible - patchable","stage_a_non_admissible_patchable",IF(IF(Q124&lt;&gt;"",Q124,R124)="Stage-A non-admissible - unpatchable for stated claim","stage_a_non_admissible_unpatchable_for_stated_claim",IF(IF(Q124&lt;&gt;"",Q124,R124)="Indeterminate - insufficient evidence","indeterminate_insufficient_evidence",IF(IF(Q124&lt;&gt;"",Q124,R124)="Protocol refusal to evaluate","protocol_refusal_to_evaluate",IF(IF(Q124&lt;&gt;"",Q124,R124)="Out of scope","out_of_scope",IF(IF(Q124&lt;&gt;"",Q124,R124)="Withdrawn","withdrawn",IF(IF(Q124&lt;&gt;"",Q124,R124)="Not reviewed","not_reviewed","unknown_status"))))))))))</f>
        <v/>
      </c>
      <c r="AG124">
        <f>IF(AND(AF124="",T124=""),"",IF(AND(AF124&lt;&gt;"",ISNUMBER(SEARCH("token="&amp;AF124&amp;";",T124)),ISNUMBER(SEARCH(AK124,T124)),ISNUMBER(SEARCH("CL basis="&amp;AL124&amp;";",T124))),"VALID","INVALID_OR_INCOMPLETE"))</f>
        <v/>
      </c>
      <c r="AH124">
        <f>COUNTIF(K124:P124,"Adequate for scope")</f>
        <v/>
      </c>
      <c r="AI124">
        <f>IF(COUNTA(K124:P124)=0,"",IF(AA124+AB124+AC124+AD124+AH124=6,"OK","UNRECOGNISED_VALUE"))</f>
        <v/>
      </c>
      <c r="AJ124" s="303" t="n"/>
      <c r="AK124" s="303">
        <f>IF(A124="","",Vocabulary!$B$5)</f>
        <v/>
      </c>
      <c r="AL124" s="303">
        <f>IF(A124="","",Vocabulary!$B$6)</f>
        <v/>
      </c>
      <c r="AM124" s="303">
        <f>IF(AJ124="","OK",IF(COUNTIF(Vocabulary!$O$5:$O$8,AJ124)=1,"OK","UNRECOGNISED_ADMIN_DISPOSITION"))</f>
        <v/>
      </c>
    </row>
    <row r="125">
      <c r="Q125">
        <f>IF(AE125="","",IF(AE125="ADMIN_DISPOSITION",AJ125,IF(OR(AE125="ADMIN_INCOMPLETE",AE125="ADMIN_INVALID",AE125="BURDEN_NOT_FEASIBLE",AE125="UNRECOGNISED_VALUE",AE125="UNRECOGNISED_ADMIN_DISPOSITION"),"Protocol refusal to evaluate",IF(AA125&gt;0,"Stage-A non-admissible - unpatchable for stated claim",IF(AB125&gt;0,"Stage-A non-admissible - patchable",IF(OR(J125="Yes",I125="Indeterminate",AC125&gt;0),"Indeterminate - insufficient evidence",IF(AND(AH125=6,AD125=0),"Stage-A admissible - scoped",IF(AND(AH125+AD125=6,AD125&gt;0),"Stage-A admissible - scoped, control-dependent","Protocol refusal to evaluate"))))))))</f>
        <v/>
      </c>
      <c r="S125">
        <f>IF(AND(Q125="",R125=""),"",IF(AND(Q125&lt;&gt;"",R125=""),"UNRECORDED",IF(AND(Q125="",R125&lt;&gt;""),"ORPHAN_RECORDED",IF(Q125=R125,"MATCH","MISMATCH"))))</f>
        <v/>
      </c>
      <c r="AA125">
        <f>COUNTIF(K125:P125,"Material defect - unpatchable for stated claim")</f>
        <v/>
      </c>
      <c r="AB125">
        <f>COUNTIF(K125:P125,"Material defect - patchable")</f>
        <v/>
      </c>
      <c r="AC125">
        <f>COUNTIF(K125:P125,"Indeterminate")+COUNTIF(K125:P125,"Not reviewed")</f>
        <v/>
      </c>
      <c r="AD125">
        <f>COUNTIF(K125:P125,"Adequate - control-dependent")</f>
        <v/>
      </c>
      <c r="AE125">
        <f>IF(COUNTA(A125:P125)+COUNTA(AJ125)=0,"",IF(AM125&lt;&gt;"OK","UNRECOGNISED_ADMIN_DISPOSITION",IF(AND(AJ125&lt;&gt;"",AJ125&lt;&gt;"None"),IF(OR(LEN(TRIM(A125))=0,LEN(TRIM(B125))=0,LEN(TRIM(C125))=0,LEN(TRIM(F125))=0),"ADMIN_INCOMPLETE","ADMIN_DISPOSITION"),IF(OR(LEN(TRIM(A125))=0,LEN(TRIM(B125))=0,LEN(TRIM(C125))=0,LEN(TRIM(D125))=0,LEN(TRIM(E125))=0,LEN(TRIM(F125))=0,LEN(TRIM(G125))=0,LEN(TRIM(H125))=0,LEN(TRIM(I125))=0,LEN(TRIM(J125))=0,LEN(TRIM(K125))=0,LEN(TRIM(L125))=0,LEN(TRIM(M125))=0,LEN(TRIM(N125))=0,LEN(TRIM(O125))=0,LEN(TRIM(P125))=0),"ADMIN_INCOMPLETE",IF(H125&lt;&gt;"Yes","ADMIN_INVALID",IF(I125="Not feasible","BURDEN_NOT_FEASIBLE",IF(AI125&lt;&gt;"OK","UNRECOGNISED_VALUE","CLEAR")))))))</f>
        <v/>
      </c>
      <c r="AF125">
        <f>IF(AND(Q125="",R125=""),"",IF(IF(Q125&lt;&gt;"",Q125,R125)="Stage-A admissible - scoped","stage_a_admissible_scoped",IF(IF(Q125&lt;&gt;"",Q125,R125)="Stage-A admissible - scoped, control-dependent","stage_a_admissible_scoped_control_dependent",IF(IF(Q125&lt;&gt;"",Q125,R125)="Stage-A non-admissible - patchable","stage_a_non_admissible_patchable",IF(IF(Q125&lt;&gt;"",Q125,R125)="Stage-A non-admissible - unpatchable for stated claim","stage_a_non_admissible_unpatchable_for_stated_claim",IF(IF(Q125&lt;&gt;"",Q125,R125)="Indeterminate - insufficient evidence","indeterminate_insufficient_evidence",IF(IF(Q125&lt;&gt;"",Q125,R125)="Protocol refusal to evaluate","protocol_refusal_to_evaluate",IF(IF(Q125&lt;&gt;"",Q125,R125)="Out of scope","out_of_scope",IF(IF(Q125&lt;&gt;"",Q125,R125)="Withdrawn","withdrawn",IF(IF(Q125&lt;&gt;"",Q125,R125)="Not reviewed","not_reviewed","unknown_status"))))))))))</f>
        <v/>
      </c>
      <c r="AG125">
        <f>IF(AND(AF125="",T125=""),"",IF(AND(AF125&lt;&gt;"",ISNUMBER(SEARCH("token="&amp;AF125&amp;";",T125)),ISNUMBER(SEARCH(AK125,T125)),ISNUMBER(SEARCH("CL basis="&amp;AL125&amp;";",T125))),"VALID","INVALID_OR_INCOMPLETE"))</f>
        <v/>
      </c>
      <c r="AH125">
        <f>COUNTIF(K125:P125,"Adequate for scope")</f>
        <v/>
      </c>
      <c r="AI125">
        <f>IF(COUNTA(K125:P125)=0,"",IF(AA125+AB125+AC125+AD125+AH125=6,"OK","UNRECOGNISED_VALUE"))</f>
        <v/>
      </c>
      <c r="AJ125" s="303" t="n"/>
      <c r="AK125" s="303">
        <f>IF(A125="","",Vocabulary!$B$5)</f>
        <v/>
      </c>
      <c r="AL125" s="303">
        <f>IF(A125="","",Vocabulary!$B$6)</f>
        <v/>
      </c>
      <c r="AM125" s="303">
        <f>IF(AJ125="","OK",IF(COUNTIF(Vocabulary!$O$5:$O$8,AJ125)=1,"OK","UNRECOGNISED_ADMIN_DISPOSITION"))</f>
        <v/>
      </c>
    </row>
    <row r="126">
      <c r="Q126">
        <f>IF(AE126="","",IF(AE126="ADMIN_DISPOSITION",AJ126,IF(OR(AE126="ADMIN_INCOMPLETE",AE126="ADMIN_INVALID",AE126="BURDEN_NOT_FEASIBLE",AE126="UNRECOGNISED_VALUE",AE126="UNRECOGNISED_ADMIN_DISPOSITION"),"Protocol refusal to evaluate",IF(AA126&gt;0,"Stage-A non-admissible - unpatchable for stated claim",IF(AB126&gt;0,"Stage-A non-admissible - patchable",IF(OR(J126="Yes",I126="Indeterminate",AC126&gt;0),"Indeterminate - insufficient evidence",IF(AND(AH126=6,AD126=0),"Stage-A admissible - scoped",IF(AND(AH126+AD126=6,AD126&gt;0),"Stage-A admissible - scoped, control-dependent","Protocol refusal to evaluate"))))))))</f>
        <v/>
      </c>
      <c r="S126">
        <f>IF(AND(Q126="",R126=""),"",IF(AND(Q126&lt;&gt;"",R126=""),"UNRECORDED",IF(AND(Q126="",R126&lt;&gt;""),"ORPHAN_RECORDED",IF(Q126=R126,"MATCH","MISMATCH"))))</f>
        <v/>
      </c>
      <c r="AA126">
        <f>COUNTIF(K126:P126,"Material defect - unpatchable for stated claim")</f>
        <v/>
      </c>
      <c r="AB126">
        <f>COUNTIF(K126:P126,"Material defect - patchable")</f>
        <v/>
      </c>
      <c r="AC126">
        <f>COUNTIF(K126:P126,"Indeterminate")+COUNTIF(K126:P126,"Not reviewed")</f>
        <v/>
      </c>
      <c r="AD126">
        <f>COUNTIF(K126:P126,"Adequate - control-dependent")</f>
        <v/>
      </c>
      <c r="AE126">
        <f>IF(COUNTA(A126:P126)+COUNTA(AJ126)=0,"",IF(AM126&lt;&gt;"OK","UNRECOGNISED_ADMIN_DISPOSITION",IF(AND(AJ126&lt;&gt;"",AJ126&lt;&gt;"None"),IF(OR(LEN(TRIM(A126))=0,LEN(TRIM(B126))=0,LEN(TRIM(C126))=0,LEN(TRIM(F126))=0),"ADMIN_INCOMPLETE","ADMIN_DISPOSITION"),IF(OR(LEN(TRIM(A126))=0,LEN(TRIM(B126))=0,LEN(TRIM(C126))=0,LEN(TRIM(D126))=0,LEN(TRIM(E126))=0,LEN(TRIM(F126))=0,LEN(TRIM(G126))=0,LEN(TRIM(H126))=0,LEN(TRIM(I126))=0,LEN(TRIM(J126))=0,LEN(TRIM(K126))=0,LEN(TRIM(L126))=0,LEN(TRIM(M126))=0,LEN(TRIM(N126))=0,LEN(TRIM(O126))=0,LEN(TRIM(P126))=0),"ADMIN_INCOMPLETE",IF(H126&lt;&gt;"Yes","ADMIN_INVALID",IF(I126="Not feasible","BURDEN_NOT_FEASIBLE",IF(AI126&lt;&gt;"OK","UNRECOGNISED_VALUE","CLEAR")))))))</f>
        <v/>
      </c>
      <c r="AF126">
        <f>IF(AND(Q126="",R126=""),"",IF(IF(Q126&lt;&gt;"",Q126,R126)="Stage-A admissible - scoped","stage_a_admissible_scoped",IF(IF(Q126&lt;&gt;"",Q126,R126)="Stage-A admissible - scoped, control-dependent","stage_a_admissible_scoped_control_dependent",IF(IF(Q126&lt;&gt;"",Q126,R126)="Stage-A non-admissible - patchable","stage_a_non_admissible_patchable",IF(IF(Q126&lt;&gt;"",Q126,R126)="Stage-A non-admissible - unpatchable for stated claim","stage_a_non_admissible_unpatchable_for_stated_claim",IF(IF(Q126&lt;&gt;"",Q126,R126)="Indeterminate - insufficient evidence","indeterminate_insufficient_evidence",IF(IF(Q126&lt;&gt;"",Q126,R126)="Protocol refusal to evaluate","protocol_refusal_to_evaluate",IF(IF(Q126&lt;&gt;"",Q126,R126)="Out of scope","out_of_scope",IF(IF(Q126&lt;&gt;"",Q126,R126)="Withdrawn","withdrawn",IF(IF(Q126&lt;&gt;"",Q126,R126)="Not reviewed","not_reviewed","unknown_status"))))))))))</f>
        <v/>
      </c>
      <c r="AG126">
        <f>IF(AND(AF126="",T126=""),"",IF(AND(AF126&lt;&gt;"",ISNUMBER(SEARCH("token="&amp;AF126&amp;";",T126)),ISNUMBER(SEARCH(AK126,T126)),ISNUMBER(SEARCH("CL basis="&amp;AL126&amp;";",T126))),"VALID","INVALID_OR_INCOMPLETE"))</f>
        <v/>
      </c>
      <c r="AH126">
        <f>COUNTIF(K126:P126,"Adequate for scope")</f>
        <v/>
      </c>
      <c r="AI126">
        <f>IF(COUNTA(K126:P126)=0,"",IF(AA126+AB126+AC126+AD126+AH126=6,"OK","UNRECOGNISED_VALUE"))</f>
        <v/>
      </c>
      <c r="AJ126" s="303" t="n"/>
      <c r="AK126" s="303">
        <f>IF(A126="","",Vocabulary!$B$5)</f>
        <v/>
      </c>
      <c r="AL126" s="303">
        <f>IF(A126="","",Vocabulary!$B$6)</f>
        <v/>
      </c>
      <c r="AM126" s="303">
        <f>IF(AJ126="","OK",IF(COUNTIF(Vocabulary!$O$5:$O$8,AJ126)=1,"OK","UNRECOGNISED_ADMIN_DISPOSITION"))</f>
        <v/>
      </c>
    </row>
    <row r="127">
      <c r="Q127">
        <f>IF(AE127="","",IF(AE127="ADMIN_DISPOSITION",AJ127,IF(OR(AE127="ADMIN_INCOMPLETE",AE127="ADMIN_INVALID",AE127="BURDEN_NOT_FEASIBLE",AE127="UNRECOGNISED_VALUE",AE127="UNRECOGNISED_ADMIN_DISPOSITION"),"Protocol refusal to evaluate",IF(AA127&gt;0,"Stage-A non-admissible - unpatchable for stated claim",IF(AB127&gt;0,"Stage-A non-admissible - patchable",IF(OR(J127="Yes",I127="Indeterminate",AC127&gt;0),"Indeterminate - insufficient evidence",IF(AND(AH127=6,AD127=0),"Stage-A admissible - scoped",IF(AND(AH127+AD127=6,AD127&gt;0),"Stage-A admissible - scoped, control-dependent","Protocol refusal to evaluate"))))))))</f>
        <v/>
      </c>
      <c r="S127">
        <f>IF(AND(Q127="",R127=""),"",IF(AND(Q127&lt;&gt;"",R127=""),"UNRECORDED",IF(AND(Q127="",R127&lt;&gt;""),"ORPHAN_RECORDED",IF(Q127=R127,"MATCH","MISMATCH"))))</f>
        <v/>
      </c>
      <c r="AA127">
        <f>COUNTIF(K127:P127,"Material defect - unpatchable for stated claim")</f>
        <v/>
      </c>
      <c r="AB127">
        <f>COUNTIF(K127:P127,"Material defect - patchable")</f>
        <v/>
      </c>
      <c r="AC127">
        <f>COUNTIF(K127:P127,"Indeterminate")+COUNTIF(K127:P127,"Not reviewed")</f>
        <v/>
      </c>
      <c r="AD127">
        <f>COUNTIF(K127:P127,"Adequate - control-dependent")</f>
        <v/>
      </c>
      <c r="AE127">
        <f>IF(COUNTA(A127:P127)+COUNTA(AJ127)=0,"",IF(AM127&lt;&gt;"OK","UNRECOGNISED_ADMIN_DISPOSITION",IF(AND(AJ127&lt;&gt;"",AJ127&lt;&gt;"None"),IF(OR(LEN(TRIM(A127))=0,LEN(TRIM(B127))=0,LEN(TRIM(C127))=0,LEN(TRIM(F127))=0),"ADMIN_INCOMPLETE","ADMIN_DISPOSITION"),IF(OR(LEN(TRIM(A127))=0,LEN(TRIM(B127))=0,LEN(TRIM(C127))=0,LEN(TRIM(D127))=0,LEN(TRIM(E127))=0,LEN(TRIM(F127))=0,LEN(TRIM(G127))=0,LEN(TRIM(H127))=0,LEN(TRIM(I127))=0,LEN(TRIM(J127))=0,LEN(TRIM(K127))=0,LEN(TRIM(L127))=0,LEN(TRIM(M127))=0,LEN(TRIM(N127))=0,LEN(TRIM(O127))=0,LEN(TRIM(P127))=0),"ADMIN_INCOMPLETE",IF(H127&lt;&gt;"Yes","ADMIN_INVALID",IF(I127="Not feasible","BURDEN_NOT_FEASIBLE",IF(AI127&lt;&gt;"OK","UNRECOGNISED_VALUE","CLEAR")))))))</f>
        <v/>
      </c>
      <c r="AF127">
        <f>IF(AND(Q127="",R127=""),"",IF(IF(Q127&lt;&gt;"",Q127,R127)="Stage-A admissible - scoped","stage_a_admissible_scoped",IF(IF(Q127&lt;&gt;"",Q127,R127)="Stage-A admissible - scoped, control-dependent","stage_a_admissible_scoped_control_dependent",IF(IF(Q127&lt;&gt;"",Q127,R127)="Stage-A non-admissible - patchable","stage_a_non_admissible_patchable",IF(IF(Q127&lt;&gt;"",Q127,R127)="Stage-A non-admissible - unpatchable for stated claim","stage_a_non_admissible_unpatchable_for_stated_claim",IF(IF(Q127&lt;&gt;"",Q127,R127)="Indeterminate - insufficient evidence","indeterminate_insufficient_evidence",IF(IF(Q127&lt;&gt;"",Q127,R127)="Protocol refusal to evaluate","protocol_refusal_to_evaluate",IF(IF(Q127&lt;&gt;"",Q127,R127)="Out of scope","out_of_scope",IF(IF(Q127&lt;&gt;"",Q127,R127)="Withdrawn","withdrawn",IF(IF(Q127&lt;&gt;"",Q127,R127)="Not reviewed","not_reviewed","unknown_status"))))))))))</f>
        <v/>
      </c>
      <c r="AG127">
        <f>IF(AND(AF127="",T127=""),"",IF(AND(AF127&lt;&gt;"",ISNUMBER(SEARCH("token="&amp;AF127&amp;";",T127)),ISNUMBER(SEARCH(AK127,T127)),ISNUMBER(SEARCH("CL basis="&amp;AL127&amp;";",T127))),"VALID","INVALID_OR_INCOMPLETE"))</f>
        <v/>
      </c>
      <c r="AH127">
        <f>COUNTIF(K127:P127,"Adequate for scope")</f>
        <v/>
      </c>
      <c r="AI127">
        <f>IF(COUNTA(K127:P127)=0,"",IF(AA127+AB127+AC127+AD127+AH127=6,"OK","UNRECOGNISED_VALUE"))</f>
        <v/>
      </c>
      <c r="AJ127" s="303" t="n"/>
      <c r="AK127" s="303">
        <f>IF(A127="","",Vocabulary!$B$5)</f>
        <v/>
      </c>
      <c r="AL127" s="303">
        <f>IF(A127="","",Vocabulary!$B$6)</f>
        <v/>
      </c>
      <c r="AM127" s="303">
        <f>IF(AJ127="","OK",IF(COUNTIF(Vocabulary!$O$5:$O$8,AJ127)=1,"OK","UNRECOGNISED_ADMIN_DISPOSITION"))</f>
        <v/>
      </c>
    </row>
    <row r="128">
      <c r="Q128">
        <f>IF(AE128="","",IF(AE128="ADMIN_DISPOSITION",AJ128,IF(OR(AE128="ADMIN_INCOMPLETE",AE128="ADMIN_INVALID",AE128="BURDEN_NOT_FEASIBLE",AE128="UNRECOGNISED_VALUE",AE128="UNRECOGNISED_ADMIN_DISPOSITION"),"Protocol refusal to evaluate",IF(AA128&gt;0,"Stage-A non-admissible - unpatchable for stated claim",IF(AB128&gt;0,"Stage-A non-admissible - patchable",IF(OR(J128="Yes",I128="Indeterminate",AC128&gt;0),"Indeterminate - insufficient evidence",IF(AND(AH128=6,AD128=0),"Stage-A admissible - scoped",IF(AND(AH128+AD128=6,AD128&gt;0),"Stage-A admissible - scoped, control-dependent","Protocol refusal to evaluate"))))))))</f>
        <v/>
      </c>
      <c r="S128">
        <f>IF(AND(Q128="",R128=""),"",IF(AND(Q128&lt;&gt;"",R128=""),"UNRECORDED",IF(AND(Q128="",R128&lt;&gt;""),"ORPHAN_RECORDED",IF(Q128=R128,"MATCH","MISMATCH"))))</f>
        <v/>
      </c>
      <c r="AA128">
        <f>COUNTIF(K128:P128,"Material defect - unpatchable for stated claim")</f>
        <v/>
      </c>
      <c r="AB128">
        <f>COUNTIF(K128:P128,"Material defect - patchable")</f>
        <v/>
      </c>
      <c r="AC128">
        <f>COUNTIF(K128:P128,"Indeterminate")+COUNTIF(K128:P128,"Not reviewed")</f>
        <v/>
      </c>
      <c r="AD128">
        <f>COUNTIF(K128:P128,"Adequate - control-dependent")</f>
        <v/>
      </c>
      <c r="AE128">
        <f>IF(COUNTA(A128:P128)+COUNTA(AJ128)=0,"",IF(AM128&lt;&gt;"OK","UNRECOGNISED_ADMIN_DISPOSITION",IF(AND(AJ128&lt;&gt;"",AJ128&lt;&gt;"None"),IF(OR(LEN(TRIM(A128))=0,LEN(TRIM(B128))=0,LEN(TRIM(C128))=0,LEN(TRIM(F128))=0),"ADMIN_INCOMPLETE","ADMIN_DISPOSITION"),IF(OR(LEN(TRIM(A128))=0,LEN(TRIM(B128))=0,LEN(TRIM(C128))=0,LEN(TRIM(D128))=0,LEN(TRIM(E128))=0,LEN(TRIM(F128))=0,LEN(TRIM(G128))=0,LEN(TRIM(H128))=0,LEN(TRIM(I128))=0,LEN(TRIM(J128))=0,LEN(TRIM(K128))=0,LEN(TRIM(L128))=0,LEN(TRIM(M128))=0,LEN(TRIM(N128))=0,LEN(TRIM(O128))=0,LEN(TRIM(P128))=0),"ADMIN_INCOMPLETE",IF(H128&lt;&gt;"Yes","ADMIN_INVALID",IF(I128="Not feasible","BURDEN_NOT_FEASIBLE",IF(AI128&lt;&gt;"OK","UNRECOGNISED_VALUE","CLEAR")))))))</f>
        <v/>
      </c>
      <c r="AF128">
        <f>IF(AND(Q128="",R128=""),"",IF(IF(Q128&lt;&gt;"",Q128,R128)="Stage-A admissible - scoped","stage_a_admissible_scoped",IF(IF(Q128&lt;&gt;"",Q128,R128)="Stage-A admissible - scoped, control-dependent","stage_a_admissible_scoped_control_dependent",IF(IF(Q128&lt;&gt;"",Q128,R128)="Stage-A non-admissible - patchable","stage_a_non_admissible_patchable",IF(IF(Q128&lt;&gt;"",Q128,R128)="Stage-A non-admissible - unpatchable for stated claim","stage_a_non_admissible_unpatchable_for_stated_claim",IF(IF(Q128&lt;&gt;"",Q128,R128)="Indeterminate - insufficient evidence","indeterminate_insufficient_evidence",IF(IF(Q128&lt;&gt;"",Q128,R128)="Protocol refusal to evaluate","protocol_refusal_to_evaluate",IF(IF(Q128&lt;&gt;"",Q128,R128)="Out of scope","out_of_scope",IF(IF(Q128&lt;&gt;"",Q128,R128)="Withdrawn","withdrawn",IF(IF(Q128&lt;&gt;"",Q128,R128)="Not reviewed","not_reviewed","unknown_status"))))))))))</f>
        <v/>
      </c>
      <c r="AG128">
        <f>IF(AND(AF128="",T128=""),"",IF(AND(AF128&lt;&gt;"",ISNUMBER(SEARCH("token="&amp;AF128&amp;";",T128)),ISNUMBER(SEARCH(AK128,T128)),ISNUMBER(SEARCH("CL basis="&amp;AL128&amp;";",T128))),"VALID","INVALID_OR_INCOMPLETE"))</f>
        <v/>
      </c>
      <c r="AH128">
        <f>COUNTIF(K128:P128,"Adequate for scope")</f>
        <v/>
      </c>
      <c r="AI128">
        <f>IF(COUNTA(K128:P128)=0,"",IF(AA128+AB128+AC128+AD128+AH128=6,"OK","UNRECOGNISED_VALUE"))</f>
        <v/>
      </c>
      <c r="AJ128" s="303" t="n"/>
      <c r="AK128" s="303">
        <f>IF(A128="","",Vocabulary!$B$5)</f>
        <v/>
      </c>
      <c r="AL128" s="303">
        <f>IF(A128="","",Vocabulary!$B$6)</f>
        <v/>
      </c>
      <c r="AM128" s="303">
        <f>IF(AJ128="","OK",IF(COUNTIF(Vocabulary!$O$5:$O$8,AJ128)=1,"OK","UNRECOGNISED_ADMIN_DISPOSITION"))</f>
        <v/>
      </c>
    </row>
    <row r="129">
      <c r="Q129">
        <f>IF(AE129="","",IF(AE129="ADMIN_DISPOSITION",AJ129,IF(OR(AE129="ADMIN_INCOMPLETE",AE129="ADMIN_INVALID",AE129="BURDEN_NOT_FEASIBLE",AE129="UNRECOGNISED_VALUE",AE129="UNRECOGNISED_ADMIN_DISPOSITION"),"Protocol refusal to evaluate",IF(AA129&gt;0,"Stage-A non-admissible - unpatchable for stated claim",IF(AB129&gt;0,"Stage-A non-admissible - patchable",IF(OR(J129="Yes",I129="Indeterminate",AC129&gt;0),"Indeterminate - insufficient evidence",IF(AND(AH129=6,AD129=0),"Stage-A admissible - scoped",IF(AND(AH129+AD129=6,AD129&gt;0),"Stage-A admissible - scoped, control-dependent","Protocol refusal to evaluate"))))))))</f>
        <v/>
      </c>
      <c r="S129">
        <f>IF(AND(Q129="",R129=""),"",IF(AND(Q129&lt;&gt;"",R129=""),"UNRECORDED",IF(AND(Q129="",R129&lt;&gt;""),"ORPHAN_RECORDED",IF(Q129=R129,"MATCH","MISMATCH"))))</f>
        <v/>
      </c>
      <c r="AA129">
        <f>COUNTIF(K129:P129,"Material defect - unpatchable for stated claim")</f>
        <v/>
      </c>
      <c r="AB129">
        <f>COUNTIF(K129:P129,"Material defect - patchable")</f>
        <v/>
      </c>
      <c r="AC129">
        <f>COUNTIF(K129:P129,"Indeterminate")+COUNTIF(K129:P129,"Not reviewed")</f>
        <v/>
      </c>
      <c r="AD129">
        <f>COUNTIF(K129:P129,"Adequate - control-dependent")</f>
        <v/>
      </c>
      <c r="AE129">
        <f>IF(COUNTA(A129:P129)+COUNTA(AJ129)=0,"",IF(AM129&lt;&gt;"OK","UNRECOGNISED_ADMIN_DISPOSITION",IF(AND(AJ129&lt;&gt;"",AJ129&lt;&gt;"None"),IF(OR(LEN(TRIM(A129))=0,LEN(TRIM(B129))=0,LEN(TRIM(C129))=0,LEN(TRIM(F129))=0),"ADMIN_INCOMPLETE","ADMIN_DISPOSITION"),IF(OR(LEN(TRIM(A129))=0,LEN(TRIM(B129))=0,LEN(TRIM(C129))=0,LEN(TRIM(D129))=0,LEN(TRIM(E129))=0,LEN(TRIM(F129))=0,LEN(TRIM(G129))=0,LEN(TRIM(H129))=0,LEN(TRIM(I129))=0,LEN(TRIM(J129))=0,LEN(TRIM(K129))=0,LEN(TRIM(L129))=0,LEN(TRIM(M129))=0,LEN(TRIM(N129))=0,LEN(TRIM(O129))=0,LEN(TRIM(P129))=0),"ADMIN_INCOMPLETE",IF(H129&lt;&gt;"Yes","ADMIN_INVALID",IF(I129="Not feasible","BURDEN_NOT_FEASIBLE",IF(AI129&lt;&gt;"OK","UNRECOGNISED_VALUE","CLEAR")))))))</f>
        <v/>
      </c>
      <c r="AF129">
        <f>IF(AND(Q129="",R129=""),"",IF(IF(Q129&lt;&gt;"",Q129,R129)="Stage-A admissible - scoped","stage_a_admissible_scoped",IF(IF(Q129&lt;&gt;"",Q129,R129)="Stage-A admissible - scoped, control-dependent","stage_a_admissible_scoped_control_dependent",IF(IF(Q129&lt;&gt;"",Q129,R129)="Stage-A non-admissible - patchable","stage_a_non_admissible_patchable",IF(IF(Q129&lt;&gt;"",Q129,R129)="Stage-A non-admissible - unpatchable for stated claim","stage_a_non_admissible_unpatchable_for_stated_claim",IF(IF(Q129&lt;&gt;"",Q129,R129)="Indeterminate - insufficient evidence","indeterminate_insufficient_evidence",IF(IF(Q129&lt;&gt;"",Q129,R129)="Protocol refusal to evaluate","protocol_refusal_to_evaluate",IF(IF(Q129&lt;&gt;"",Q129,R129)="Out of scope","out_of_scope",IF(IF(Q129&lt;&gt;"",Q129,R129)="Withdrawn","withdrawn",IF(IF(Q129&lt;&gt;"",Q129,R129)="Not reviewed","not_reviewed","unknown_status"))))))))))</f>
        <v/>
      </c>
      <c r="AG129">
        <f>IF(AND(AF129="",T129=""),"",IF(AND(AF129&lt;&gt;"",ISNUMBER(SEARCH("token="&amp;AF129&amp;";",T129)),ISNUMBER(SEARCH(AK129,T129)),ISNUMBER(SEARCH("CL basis="&amp;AL129&amp;";",T129))),"VALID","INVALID_OR_INCOMPLETE"))</f>
        <v/>
      </c>
      <c r="AH129">
        <f>COUNTIF(K129:P129,"Adequate for scope")</f>
        <v/>
      </c>
      <c r="AI129">
        <f>IF(COUNTA(K129:P129)=0,"",IF(AA129+AB129+AC129+AD129+AH129=6,"OK","UNRECOGNISED_VALUE"))</f>
        <v/>
      </c>
      <c r="AJ129" s="303" t="n"/>
      <c r="AK129" s="303">
        <f>IF(A129="","",Vocabulary!$B$5)</f>
        <v/>
      </c>
      <c r="AL129" s="303">
        <f>IF(A129="","",Vocabulary!$B$6)</f>
        <v/>
      </c>
      <c r="AM129" s="303">
        <f>IF(AJ129="","OK",IF(COUNTIF(Vocabulary!$O$5:$O$8,AJ129)=1,"OK","UNRECOGNISED_ADMIN_DISPOSITION"))</f>
        <v/>
      </c>
    </row>
    <row r="130">
      <c r="Q130">
        <f>IF(AE130="","",IF(AE130="ADMIN_DISPOSITION",AJ130,IF(OR(AE130="ADMIN_INCOMPLETE",AE130="ADMIN_INVALID",AE130="BURDEN_NOT_FEASIBLE",AE130="UNRECOGNISED_VALUE",AE130="UNRECOGNISED_ADMIN_DISPOSITION"),"Protocol refusal to evaluate",IF(AA130&gt;0,"Stage-A non-admissible - unpatchable for stated claim",IF(AB130&gt;0,"Stage-A non-admissible - patchable",IF(OR(J130="Yes",I130="Indeterminate",AC130&gt;0),"Indeterminate - insufficient evidence",IF(AND(AH130=6,AD130=0),"Stage-A admissible - scoped",IF(AND(AH130+AD130=6,AD130&gt;0),"Stage-A admissible - scoped, control-dependent","Protocol refusal to evaluate"))))))))</f>
        <v/>
      </c>
      <c r="S130">
        <f>IF(AND(Q130="",R130=""),"",IF(AND(Q130&lt;&gt;"",R130=""),"UNRECORDED",IF(AND(Q130="",R130&lt;&gt;""),"ORPHAN_RECORDED",IF(Q130=R130,"MATCH","MISMATCH"))))</f>
        <v/>
      </c>
      <c r="AA130">
        <f>COUNTIF(K130:P130,"Material defect - unpatchable for stated claim")</f>
        <v/>
      </c>
      <c r="AB130">
        <f>COUNTIF(K130:P130,"Material defect - patchable")</f>
        <v/>
      </c>
      <c r="AC130">
        <f>COUNTIF(K130:P130,"Indeterminate")+COUNTIF(K130:P130,"Not reviewed")</f>
        <v/>
      </c>
      <c r="AD130">
        <f>COUNTIF(K130:P130,"Adequate - control-dependent")</f>
        <v/>
      </c>
      <c r="AE130">
        <f>IF(COUNTA(A130:P130)+COUNTA(AJ130)=0,"",IF(AM130&lt;&gt;"OK","UNRECOGNISED_ADMIN_DISPOSITION",IF(AND(AJ130&lt;&gt;"",AJ130&lt;&gt;"None"),IF(OR(LEN(TRIM(A130))=0,LEN(TRIM(B130))=0,LEN(TRIM(C130))=0,LEN(TRIM(F130))=0),"ADMIN_INCOMPLETE","ADMIN_DISPOSITION"),IF(OR(LEN(TRIM(A130))=0,LEN(TRIM(B130))=0,LEN(TRIM(C130))=0,LEN(TRIM(D130))=0,LEN(TRIM(E130))=0,LEN(TRIM(F130))=0,LEN(TRIM(G130))=0,LEN(TRIM(H130))=0,LEN(TRIM(I130))=0,LEN(TRIM(J130))=0,LEN(TRIM(K130))=0,LEN(TRIM(L130))=0,LEN(TRIM(M130))=0,LEN(TRIM(N130))=0,LEN(TRIM(O130))=0,LEN(TRIM(P130))=0),"ADMIN_INCOMPLETE",IF(H130&lt;&gt;"Yes","ADMIN_INVALID",IF(I130="Not feasible","BURDEN_NOT_FEASIBLE",IF(AI130&lt;&gt;"OK","UNRECOGNISED_VALUE","CLEAR")))))))</f>
        <v/>
      </c>
      <c r="AF130">
        <f>IF(AND(Q130="",R130=""),"",IF(IF(Q130&lt;&gt;"",Q130,R130)="Stage-A admissible - scoped","stage_a_admissible_scoped",IF(IF(Q130&lt;&gt;"",Q130,R130)="Stage-A admissible - scoped, control-dependent","stage_a_admissible_scoped_control_dependent",IF(IF(Q130&lt;&gt;"",Q130,R130)="Stage-A non-admissible - patchable","stage_a_non_admissible_patchable",IF(IF(Q130&lt;&gt;"",Q130,R130)="Stage-A non-admissible - unpatchable for stated claim","stage_a_non_admissible_unpatchable_for_stated_claim",IF(IF(Q130&lt;&gt;"",Q130,R130)="Indeterminate - insufficient evidence","indeterminate_insufficient_evidence",IF(IF(Q130&lt;&gt;"",Q130,R130)="Protocol refusal to evaluate","protocol_refusal_to_evaluate",IF(IF(Q130&lt;&gt;"",Q130,R130)="Out of scope","out_of_scope",IF(IF(Q130&lt;&gt;"",Q130,R130)="Withdrawn","withdrawn",IF(IF(Q130&lt;&gt;"",Q130,R130)="Not reviewed","not_reviewed","unknown_status"))))))))))</f>
        <v/>
      </c>
      <c r="AG130">
        <f>IF(AND(AF130="",T130=""),"",IF(AND(AF130&lt;&gt;"",ISNUMBER(SEARCH("token="&amp;AF130&amp;";",T130)),ISNUMBER(SEARCH(AK130,T130)),ISNUMBER(SEARCH("CL basis="&amp;AL130&amp;";",T130))),"VALID","INVALID_OR_INCOMPLETE"))</f>
        <v/>
      </c>
      <c r="AH130">
        <f>COUNTIF(K130:P130,"Adequate for scope")</f>
        <v/>
      </c>
      <c r="AI130">
        <f>IF(COUNTA(K130:P130)=0,"",IF(AA130+AB130+AC130+AD130+AH130=6,"OK","UNRECOGNISED_VALUE"))</f>
        <v/>
      </c>
      <c r="AJ130" s="303" t="n"/>
      <c r="AK130" s="303">
        <f>IF(A130="","",Vocabulary!$B$5)</f>
        <v/>
      </c>
      <c r="AL130" s="303">
        <f>IF(A130="","",Vocabulary!$B$6)</f>
        <v/>
      </c>
      <c r="AM130" s="303">
        <f>IF(AJ130="","OK",IF(COUNTIF(Vocabulary!$O$5:$O$8,AJ130)=1,"OK","UNRECOGNISED_ADMIN_DISPOSITION"))</f>
        <v/>
      </c>
    </row>
    <row r="131">
      <c r="Q131">
        <f>IF(AE131="","",IF(AE131="ADMIN_DISPOSITION",AJ131,IF(OR(AE131="ADMIN_INCOMPLETE",AE131="ADMIN_INVALID",AE131="BURDEN_NOT_FEASIBLE",AE131="UNRECOGNISED_VALUE",AE131="UNRECOGNISED_ADMIN_DISPOSITION"),"Protocol refusal to evaluate",IF(AA131&gt;0,"Stage-A non-admissible - unpatchable for stated claim",IF(AB131&gt;0,"Stage-A non-admissible - patchable",IF(OR(J131="Yes",I131="Indeterminate",AC131&gt;0),"Indeterminate - insufficient evidence",IF(AND(AH131=6,AD131=0),"Stage-A admissible - scoped",IF(AND(AH131+AD131=6,AD131&gt;0),"Stage-A admissible - scoped, control-dependent","Protocol refusal to evaluate"))))))))</f>
        <v/>
      </c>
      <c r="S131">
        <f>IF(AND(Q131="",R131=""),"",IF(AND(Q131&lt;&gt;"",R131=""),"UNRECORDED",IF(AND(Q131="",R131&lt;&gt;""),"ORPHAN_RECORDED",IF(Q131=R131,"MATCH","MISMATCH"))))</f>
        <v/>
      </c>
      <c r="AA131">
        <f>COUNTIF(K131:P131,"Material defect - unpatchable for stated claim")</f>
        <v/>
      </c>
      <c r="AB131">
        <f>COUNTIF(K131:P131,"Material defect - patchable")</f>
        <v/>
      </c>
      <c r="AC131">
        <f>COUNTIF(K131:P131,"Indeterminate")+COUNTIF(K131:P131,"Not reviewed")</f>
        <v/>
      </c>
      <c r="AD131">
        <f>COUNTIF(K131:P131,"Adequate - control-dependent")</f>
        <v/>
      </c>
      <c r="AE131">
        <f>IF(COUNTA(A131:P131)+COUNTA(AJ131)=0,"",IF(AM131&lt;&gt;"OK","UNRECOGNISED_ADMIN_DISPOSITION",IF(AND(AJ131&lt;&gt;"",AJ131&lt;&gt;"None"),IF(OR(LEN(TRIM(A131))=0,LEN(TRIM(B131))=0,LEN(TRIM(C131))=0,LEN(TRIM(F131))=0),"ADMIN_INCOMPLETE","ADMIN_DISPOSITION"),IF(OR(LEN(TRIM(A131))=0,LEN(TRIM(B131))=0,LEN(TRIM(C131))=0,LEN(TRIM(D131))=0,LEN(TRIM(E131))=0,LEN(TRIM(F131))=0,LEN(TRIM(G131))=0,LEN(TRIM(H131))=0,LEN(TRIM(I131))=0,LEN(TRIM(J131))=0,LEN(TRIM(K131))=0,LEN(TRIM(L131))=0,LEN(TRIM(M131))=0,LEN(TRIM(N131))=0,LEN(TRIM(O131))=0,LEN(TRIM(P131))=0),"ADMIN_INCOMPLETE",IF(H131&lt;&gt;"Yes","ADMIN_INVALID",IF(I131="Not feasible","BURDEN_NOT_FEASIBLE",IF(AI131&lt;&gt;"OK","UNRECOGNISED_VALUE","CLEAR")))))))</f>
        <v/>
      </c>
      <c r="AF131">
        <f>IF(AND(Q131="",R131=""),"",IF(IF(Q131&lt;&gt;"",Q131,R131)="Stage-A admissible - scoped","stage_a_admissible_scoped",IF(IF(Q131&lt;&gt;"",Q131,R131)="Stage-A admissible - scoped, control-dependent","stage_a_admissible_scoped_control_dependent",IF(IF(Q131&lt;&gt;"",Q131,R131)="Stage-A non-admissible - patchable","stage_a_non_admissible_patchable",IF(IF(Q131&lt;&gt;"",Q131,R131)="Stage-A non-admissible - unpatchable for stated claim","stage_a_non_admissible_unpatchable_for_stated_claim",IF(IF(Q131&lt;&gt;"",Q131,R131)="Indeterminate - insufficient evidence","indeterminate_insufficient_evidence",IF(IF(Q131&lt;&gt;"",Q131,R131)="Protocol refusal to evaluate","protocol_refusal_to_evaluate",IF(IF(Q131&lt;&gt;"",Q131,R131)="Out of scope","out_of_scope",IF(IF(Q131&lt;&gt;"",Q131,R131)="Withdrawn","withdrawn",IF(IF(Q131&lt;&gt;"",Q131,R131)="Not reviewed","not_reviewed","unknown_status"))))))))))</f>
        <v/>
      </c>
      <c r="AG131">
        <f>IF(AND(AF131="",T131=""),"",IF(AND(AF131&lt;&gt;"",ISNUMBER(SEARCH("token="&amp;AF131&amp;";",T131)),ISNUMBER(SEARCH(AK131,T131)),ISNUMBER(SEARCH("CL basis="&amp;AL131&amp;";",T131))),"VALID","INVALID_OR_INCOMPLETE"))</f>
        <v/>
      </c>
      <c r="AH131">
        <f>COUNTIF(K131:P131,"Adequate for scope")</f>
        <v/>
      </c>
      <c r="AI131">
        <f>IF(COUNTA(K131:P131)=0,"",IF(AA131+AB131+AC131+AD131+AH131=6,"OK","UNRECOGNISED_VALUE"))</f>
        <v/>
      </c>
      <c r="AJ131" s="303" t="n"/>
      <c r="AK131" s="303">
        <f>IF(A131="","",Vocabulary!$B$5)</f>
        <v/>
      </c>
      <c r="AL131" s="303">
        <f>IF(A131="","",Vocabulary!$B$6)</f>
        <v/>
      </c>
      <c r="AM131" s="303">
        <f>IF(AJ131="","OK",IF(COUNTIF(Vocabulary!$O$5:$O$8,AJ131)=1,"OK","UNRECOGNISED_ADMIN_DISPOSITION"))</f>
        <v/>
      </c>
    </row>
    <row r="132">
      <c r="Q132">
        <f>IF(AE132="","",IF(AE132="ADMIN_DISPOSITION",AJ132,IF(OR(AE132="ADMIN_INCOMPLETE",AE132="ADMIN_INVALID",AE132="BURDEN_NOT_FEASIBLE",AE132="UNRECOGNISED_VALUE",AE132="UNRECOGNISED_ADMIN_DISPOSITION"),"Protocol refusal to evaluate",IF(AA132&gt;0,"Stage-A non-admissible - unpatchable for stated claim",IF(AB132&gt;0,"Stage-A non-admissible - patchable",IF(OR(J132="Yes",I132="Indeterminate",AC132&gt;0),"Indeterminate - insufficient evidence",IF(AND(AH132=6,AD132=0),"Stage-A admissible - scoped",IF(AND(AH132+AD132=6,AD132&gt;0),"Stage-A admissible - scoped, control-dependent","Protocol refusal to evaluate"))))))))</f>
        <v/>
      </c>
      <c r="S132">
        <f>IF(AND(Q132="",R132=""),"",IF(AND(Q132&lt;&gt;"",R132=""),"UNRECORDED",IF(AND(Q132="",R132&lt;&gt;""),"ORPHAN_RECORDED",IF(Q132=R132,"MATCH","MISMATCH"))))</f>
        <v/>
      </c>
      <c r="AA132">
        <f>COUNTIF(K132:P132,"Material defect - unpatchable for stated claim")</f>
        <v/>
      </c>
      <c r="AB132">
        <f>COUNTIF(K132:P132,"Material defect - patchable")</f>
        <v/>
      </c>
      <c r="AC132">
        <f>COUNTIF(K132:P132,"Indeterminate")+COUNTIF(K132:P132,"Not reviewed")</f>
        <v/>
      </c>
      <c r="AD132">
        <f>COUNTIF(K132:P132,"Adequate - control-dependent")</f>
        <v/>
      </c>
      <c r="AE132">
        <f>IF(COUNTA(A132:P132)+COUNTA(AJ132)=0,"",IF(AM132&lt;&gt;"OK","UNRECOGNISED_ADMIN_DISPOSITION",IF(AND(AJ132&lt;&gt;"",AJ132&lt;&gt;"None"),IF(OR(LEN(TRIM(A132))=0,LEN(TRIM(B132))=0,LEN(TRIM(C132))=0,LEN(TRIM(F132))=0),"ADMIN_INCOMPLETE","ADMIN_DISPOSITION"),IF(OR(LEN(TRIM(A132))=0,LEN(TRIM(B132))=0,LEN(TRIM(C132))=0,LEN(TRIM(D132))=0,LEN(TRIM(E132))=0,LEN(TRIM(F132))=0,LEN(TRIM(G132))=0,LEN(TRIM(H132))=0,LEN(TRIM(I132))=0,LEN(TRIM(J132))=0,LEN(TRIM(K132))=0,LEN(TRIM(L132))=0,LEN(TRIM(M132))=0,LEN(TRIM(N132))=0,LEN(TRIM(O132))=0,LEN(TRIM(P132))=0),"ADMIN_INCOMPLETE",IF(H132&lt;&gt;"Yes","ADMIN_INVALID",IF(I132="Not feasible","BURDEN_NOT_FEASIBLE",IF(AI132&lt;&gt;"OK","UNRECOGNISED_VALUE","CLEAR")))))))</f>
        <v/>
      </c>
      <c r="AF132">
        <f>IF(AND(Q132="",R132=""),"",IF(IF(Q132&lt;&gt;"",Q132,R132)="Stage-A admissible - scoped","stage_a_admissible_scoped",IF(IF(Q132&lt;&gt;"",Q132,R132)="Stage-A admissible - scoped, control-dependent","stage_a_admissible_scoped_control_dependent",IF(IF(Q132&lt;&gt;"",Q132,R132)="Stage-A non-admissible - patchable","stage_a_non_admissible_patchable",IF(IF(Q132&lt;&gt;"",Q132,R132)="Stage-A non-admissible - unpatchable for stated claim","stage_a_non_admissible_unpatchable_for_stated_claim",IF(IF(Q132&lt;&gt;"",Q132,R132)="Indeterminate - insufficient evidence","indeterminate_insufficient_evidence",IF(IF(Q132&lt;&gt;"",Q132,R132)="Protocol refusal to evaluate","protocol_refusal_to_evaluate",IF(IF(Q132&lt;&gt;"",Q132,R132)="Out of scope","out_of_scope",IF(IF(Q132&lt;&gt;"",Q132,R132)="Withdrawn","withdrawn",IF(IF(Q132&lt;&gt;"",Q132,R132)="Not reviewed","not_reviewed","unknown_status"))))))))))</f>
        <v/>
      </c>
      <c r="AG132">
        <f>IF(AND(AF132="",T132=""),"",IF(AND(AF132&lt;&gt;"",ISNUMBER(SEARCH("token="&amp;AF132&amp;";",T132)),ISNUMBER(SEARCH(AK132,T132)),ISNUMBER(SEARCH("CL basis="&amp;AL132&amp;";",T132))),"VALID","INVALID_OR_INCOMPLETE"))</f>
        <v/>
      </c>
      <c r="AH132">
        <f>COUNTIF(K132:P132,"Adequate for scope")</f>
        <v/>
      </c>
      <c r="AI132">
        <f>IF(COUNTA(K132:P132)=0,"",IF(AA132+AB132+AC132+AD132+AH132=6,"OK","UNRECOGNISED_VALUE"))</f>
        <v/>
      </c>
      <c r="AJ132" s="303" t="n"/>
      <c r="AK132" s="303">
        <f>IF(A132="","",Vocabulary!$B$5)</f>
        <v/>
      </c>
      <c r="AL132" s="303">
        <f>IF(A132="","",Vocabulary!$B$6)</f>
        <v/>
      </c>
      <c r="AM132" s="303">
        <f>IF(AJ132="","OK",IF(COUNTIF(Vocabulary!$O$5:$O$8,AJ132)=1,"OK","UNRECOGNISED_ADMIN_DISPOSITION"))</f>
        <v/>
      </c>
    </row>
    <row r="133">
      <c r="Q133">
        <f>IF(AE133="","",IF(AE133="ADMIN_DISPOSITION",AJ133,IF(OR(AE133="ADMIN_INCOMPLETE",AE133="ADMIN_INVALID",AE133="BURDEN_NOT_FEASIBLE",AE133="UNRECOGNISED_VALUE",AE133="UNRECOGNISED_ADMIN_DISPOSITION"),"Protocol refusal to evaluate",IF(AA133&gt;0,"Stage-A non-admissible - unpatchable for stated claim",IF(AB133&gt;0,"Stage-A non-admissible - patchable",IF(OR(J133="Yes",I133="Indeterminate",AC133&gt;0),"Indeterminate - insufficient evidence",IF(AND(AH133=6,AD133=0),"Stage-A admissible - scoped",IF(AND(AH133+AD133=6,AD133&gt;0),"Stage-A admissible - scoped, control-dependent","Protocol refusal to evaluate"))))))))</f>
        <v/>
      </c>
      <c r="S133">
        <f>IF(AND(Q133="",R133=""),"",IF(AND(Q133&lt;&gt;"",R133=""),"UNRECORDED",IF(AND(Q133="",R133&lt;&gt;""),"ORPHAN_RECORDED",IF(Q133=R133,"MATCH","MISMATCH"))))</f>
        <v/>
      </c>
      <c r="AA133">
        <f>COUNTIF(K133:P133,"Material defect - unpatchable for stated claim")</f>
        <v/>
      </c>
      <c r="AB133">
        <f>COUNTIF(K133:P133,"Material defect - patchable")</f>
        <v/>
      </c>
      <c r="AC133">
        <f>COUNTIF(K133:P133,"Indeterminate")+COUNTIF(K133:P133,"Not reviewed")</f>
        <v/>
      </c>
      <c r="AD133">
        <f>COUNTIF(K133:P133,"Adequate - control-dependent")</f>
        <v/>
      </c>
      <c r="AE133">
        <f>IF(COUNTA(A133:P133)+COUNTA(AJ133)=0,"",IF(AM133&lt;&gt;"OK","UNRECOGNISED_ADMIN_DISPOSITION",IF(AND(AJ133&lt;&gt;"",AJ133&lt;&gt;"None"),IF(OR(LEN(TRIM(A133))=0,LEN(TRIM(B133))=0,LEN(TRIM(C133))=0,LEN(TRIM(F133))=0),"ADMIN_INCOMPLETE","ADMIN_DISPOSITION"),IF(OR(LEN(TRIM(A133))=0,LEN(TRIM(B133))=0,LEN(TRIM(C133))=0,LEN(TRIM(D133))=0,LEN(TRIM(E133))=0,LEN(TRIM(F133))=0,LEN(TRIM(G133))=0,LEN(TRIM(H133))=0,LEN(TRIM(I133))=0,LEN(TRIM(J133))=0,LEN(TRIM(K133))=0,LEN(TRIM(L133))=0,LEN(TRIM(M133))=0,LEN(TRIM(N133))=0,LEN(TRIM(O133))=0,LEN(TRIM(P133))=0),"ADMIN_INCOMPLETE",IF(H133&lt;&gt;"Yes","ADMIN_INVALID",IF(I133="Not feasible","BURDEN_NOT_FEASIBLE",IF(AI133&lt;&gt;"OK","UNRECOGNISED_VALUE","CLEAR")))))))</f>
        <v/>
      </c>
      <c r="AF133">
        <f>IF(AND(Q133="",R133=""),"",IF(IF(Q133&lt;&gt;"",Q133,R133)="Stage-A admissible - scoped","stage_a_admissible_scoped",IF(IF(Q133&lt;&gt;"",Q133,R133)="Stage-A admissible - scoped, control-dependent","stage_a_admissible_scoped_control_dependent",IF(IF(Q133&lt;&gt;"",Q133,R133)="Stage-A non-admissible - patchable","stage_a_non_admissible_patchable",IF(IF(Q133&lt;&gt;"",Q133,R133)="Stage-A non-admissible - unpatchable for stated claim","stage_a_non_admissible_unpatchable_for_stated_claim",IF(IF(Q133&lt;&gt;"",Q133,R133)="Indeterminate - insufficient evidence","indeterminate_insufficient_evidence",IF(IF(Q133&lt;&gt;"",Q133,R133)="Protocol refusal to evaluate","protocol_refusal_to_evaluate",IF(IF(Q133&lt;&gt;"",Q133,R133)="Out of scope","out_of_scope",IF(IF(Q133&lt;&gt;"",Q133,R133)="Withdrawn","withdrawn",IF(IF(Q133&lt;&gt;"",Q133,R133)="Not reviewed","not_reviewed","unknown_status"))))))))))</f>
        <v/>
      </c>
      <c r="AG133">
        <f>IF(AND(AF133="",T133=""),"",IF(AND(AF133&lt;&gt;"",ISNUMBER(SEARCH("token="&amp;AF133&amp;";",T133)),ISNUMBER(SEARCH(AK133,T133)),ISNUMBER(SEARCH("CL basis="&amp;AL133&amp;";",T133))),"VALID","INVALID_OR_INCOMPLETE"))</f>
        <v/>
      </c>
      <c r="AH133">
        <f>COUNTIF(K133:P133,"Adequate for scope")</f>
        <v/>
      </c>
      <c r="AI133">
        <f>IF(COUNTA(K133:P133)=0,"",IF(AA133+AB133+AC133+AD133+AH133=6,"OK","UNRECOGNISED_VALUE"))</f>
        <v/>
      </c>
      <c r="AJ133" s="303" t="n"/>
      <c r="AK133" s="303">
        <f>IF(A133="","",Vocabulary!$B$5)</f>
        <v/>
      </c>
      <c r="AL133" s="303">
        <f>IF(A133="","",Vocabulary!$B$6)</f>
        <v/>
      </c>
      <c r="AM133" s="303">
        <f>IF(AJ133="","OK",IF(COUNTIF(Vocabulary!$O$5:$O$8,AJ133)=1,"OK","UNRECOGNISED_ADMIN_DISPOSITION"))</f>
        <v/>
      </c>
    </row>
    <row r="134">
      <c r="Q134">
        <f>IF(AE134="","",IF(AE134="ADMIN_DISPOSITION",AJ134,IF(OR(AE134="ADMIN_INCOMPLETE",AE134="ADMIN_INVALID",AE134="BURDEN_NOT_FEASIBLE",AE134="UNRECOGNISED_VALUE",AE134="UNRECOGNISED_ADMIN_DISPOSITION"),"Protocol refusal to evaluate",IF(AA134&gt;0,"Stage-A non-admissible - unpatchable for stated claim",IF(AB134&gt;0,"Stage-A non-admissible - patchable",IF(OR(J134="Yes",I134="Indeterminate",AC134&gt;0),"Indeterminate - insufficient evidence",IF(AND(AH134=6,AD134=0),"Stage-A admissible - scoped",IF(AND(AH134+AD134=6,AD134&gt;0),"Stage-A admissible - scoped, control-dependent","Protocol refusal to evaluate"))))))))</f>
        <v/>
      </c>
      <c r="S134">
        <f>IF(AND(Q134="",R134=""),"",IF(AND(Q134&lt;&gt;"",R134=""),"UNRECORDED",IF(AND(Q134="",R134&lt;&gt;""),"ORPHAN_RECORDED",IF(Q134=R134,"MATCH","MISMATCH"))))</f>
        <v/>
      </c>
      <c r="AA134">
        <f>COUNTIF(K134:P134,"Material defect - unpatchable for stated claim")</f>
        <v/>
      </c>
      <c r="AB134">
        <f>COUNTIF(K134:P134,"Material defect - patchable")</f>
        <v/>
      </c>
      <c r="AC134">
        <f>COUNTIF(K134:P134,"Indeterminate")+COUNTIF(K134:P134,"Not reviewed")</f>
        <v/>
      </c>
      <c r="AD134">
        <f>COUNTIF(K134:P134,"Adequate - control-dependent")</f>
        <v/>
      </c>
      <c r="AE134">
        <f>IF(COUNTA(A134:P134)+COUNTA(AJ134)=0,"",IF(AM134&lt;&gt;"OK","UNRECOGNISED_ADMIN_DISPOSITION",IF(AND(AJ134&lt;&gt;"",AJ134&lt;&gt;"None"),IF(OR(LEN(TRIM(A134))=0,LEN(TRIM(B134))=0,LEN(TRIM(C134))=0,LEN(TRIM(F134))=0),"ADMIN_INCOMPLETE","ADMIN_DISPOSITION"),IF(OR(LEN(TRIM(A134))=0,LEN(TRIM(B134))=0,LEN(TRIM(C134))=0,LEN(TRIM(D134))=0,LEN(TRIM(E134))=0,LEN(TRIM(F134))=0,LEN(TRIM(G134))=0,LEN(TRIM(H134))=0,LEN(TRIM(I134))=0,LEN(TRIM(J134))=0,LEN(TRIM(K134))=0,LEN(TRIM(L134))=0,LEN(TRIM(M134))=0,LEN(TRIM(N134))=0,LEN(TRIM(O134))=0,LEN(TRIM(P134))=0),"ADMIN_INCOMPLETE",IF(H134&lt;&gt;"Yes","ADMIN_INVALID",IF(I134="Not feasible","BURDEN_NOT_FEASIBLE",IF(AI134&lt;&gt;"OK","UNRECOGNISED_VALUE","CLEAR")))))))</f>
        <v/>
      </c>
      <c r="AF134">
        <f>IF(AND(Q134="",R134=""),"",IF(IF(Q134&lt;&gt;"",Q134,R134)="Stage-A admissible - scoped","stage_a_admissible_scoped",IF(IF(Q134&lt;&gt;"",Q134,R134)="Stage-A admissible - scoped, control-dependent","stage_a_admissible_scoped_control_dependent",IF(IF(Q134&lt;&gt;"",Q134,R134)="Stage-A non-admissible - patchable","stage_a_non_admissible_patchable",IF(IF(Q134&lt;&gt;"",Q134,R134)="Stage-A non-admissible - unpatchable for stated claim","stage_a_non_admissible_unpatchable_for_stated_claim",IF(IF(Q134&lt;&gt;"",Q134,R134)="Indeterminate - insufficient evidence","indeterminate_insufficient_evidence",IF(IF(Q134&lt;&gt;"",Q134,R134)="Protocol refusal to evaluate","protocol_refusal_to_evaluate",IF(IF(Q134&lt;&gt;"",Q134,R134)="Out of scope","out_of_scope",IF(IF(Q134&lt;&gt;"",Q134,R134)="Withdrawn","withdrawn",IF(IF(Q134&lt;&gt;"",Q134,R134)="Not reviewed","not_reviewed","unknown_status"))))))))))</f>
        <v/>
      </c>
      <c r="AG134">
        <f>IF(AND(AF134="",T134=""),"",IF(AND(AF134&lt;&gt;"",ISNUMBER(SEARCH("token="&amp;AF134&amp;";",T134)),ISNUMBER(SEARCH(AK134,T134)),ISNUMBER(SEARCH("CL basis="&amp;AL134&amp;";",T134))),"VALID","INVALID_OR_INCOMPLETE"))</f>
        <v/>
      </c>
      <c r="AH134">
        <f>COUNTIF(K134:P134,"Adequate for scope")</f>
        <v/>
      </c>
      <c r="AI134">
        <f>IF(COUNTA(K134:P134)=0,"",IF(AA134+AB134+AC134+AD134+AH134=6,"OK","UNRECOGNISED_VALUE"))</f>
        <v/>
      </c>
      <c r="AJ134" s="303" t="n"/>
      <c r="AK134" s="303">
        <f>IF(A134="","",Vocabulary!$B$5)</f>
        <v/>
      </c>
      <c r="AL134" s="303">
        <f>IF(A134="","",Vocabulary!$B$6)</f>
        <v/>
      </c>
      <c r="AM134" s="303">
        <f>IF(AJ134="","OK",IF(COUNTIF(Vocabulary!$O$5:$O$8,AJ134)=1,"OK","UNRECOGNISED_ADMIN_DISPOSITION"))</f>
        <v/>
      </c>
    </row>
    <row r="135">
      <c r="Q135">
        <f>IF(AE135="","",IF(AE135="ADMIN_DISPOSITION",AJ135,IF(OR(AE135="ADMIN_INCOMPLETE",AE135="ADMIN_INVALID",AE135="BURDEN_NOT_FEASIBLE",AE135="UNRECOGNISED_VALUE",AE135="UNRECOGNISED_ADMIN_DISPOSITION"),"Protocol refusal to evaluate",IF(AA135&gt;0,"Stage-A non-admissible - unpatchable for stated claim",IF(AB135&gt;0,"Stage-A non-admissible - patchable",IF(OR(J135="Yes",I135="Indeterminate",AC135&gt;0),"Indeterminate - insufficient evidence",IF(AND(AH135=6,AD135=0),"Stage-A admissible - scoped",IF(AND(AH135+AD135=6,AD135&gt;0),"Stage-A admissible - scoped, control-dependent","Protocol refusal to evaluate"))))))))</f>
        <v/>
      </c>
      <c r="S135">
        <f>IF(AND(Q135="",R135=""),"",IF(AND(Q135&lt;&gt;"",R135=""),"UNRECORDED",IF(AND(Q135="",R135&lt;&gt;""),"ORPHAN_RECORDED",IF(Q135=R135,"MATCH","MISMATCH"))))</f>
        <v/>
      </c>
      <c r="AA135">
        <f>COUNTIF(K135:P135,"Material defect - unpatchable for stated claim")</f>
        <v/>
      </c>
      <c r="AB135">
        <f>COUNTIF(K135:P135,"Material defect - patchable")</f>
        <v/>
      </c>
      <c r="AC135">
        <f>COUNTIF(K135:P135,"Indeterminate")+COUNTIF(K135:P135,"Not reviewed")</f>
        <v/>
      </c>
      <c r="AD135">
        <f>COUNTIF(K135:P135,"Adequate - control-dependent")</f>
        <v/>
      </c>
      <c r="AE135">
        <f>IF(COUNTA(A135:P135)+COUNTA(AJ135)=0,"",IF(AM135&lt;&gt;"OK","UNRECOGNISED_ADMIN_DISPOSITION",IF(AND(AJ135&lt;&gt;"",AJ135&lt;&gt;"None"),IF(OR(LEN(TRIM(A135))=0,LEN(TRIM(B135))=0,LEN(TRIM(C135))=0,LEN(TRIM(F135))=0),"ADMIN_INCOMPLETE","ADMIN_DISPOSITION"),IF(OR(LEN(TRIM(A135))=0,LEN(TRIM(B135))=0,LEN(TRIM(C135))=0,LEN(TRIM(D135))=0,LEN(TRIM(E135))=0,LEN(TRIM(F135))=0,LEN(TRIM(G135))=0,LEN(TRIM(H135))=0,LEN(TRIM(I135))=0,LEN(TRIM(J135))=0,LEN(TRIM(K135))=0,LEN(TRIM(L135))=0,LEN(TRIM(M135))=0,LEN(TRIM(N135))=0,LEN(TRIM(O135))=0,LEN(TRIM(P135))=0),"ADMIN_INCOMPLETE",IF(H135&lt;&gt;"Yes","ADMIN_INVALID",IF(I135="Not feasible","BURDEN_NOT_FEASIBLE",IF(AI135&lt;&gt;"OK","UNRECOGNISED_VALUE","CLEAR")))))))</f>
        <v/>
      </c>
      <c r="AF135">
        <f>IF(AND(Q135="",R135=""),"",IF(IF(Q135&lt;&gt;"",Q135,R135)="Stage-A admissible - scoped","stage_a_admissible_scoped",IF(IF(Q135&lt;&gt;"",Q135,R135)="Stage-A admissible - scoped, control-dependent","stage_a_admissible_scoped_control_dependent",IF(IF(Q135&lt;&gt;"",Q135,R135)="Stage-A non-admissible - patchable","stage_a_non_admissible_patchable",IF(IF(Q135&lt;&gt;"",Q135,R135)="Stage-A non-admissible - unpatchable for stated claim","stage_a_non_admissible_unpatchable_for_stated_claim",IF(IF(Q135&lt;&gt;"",Q135,R135)="Indeterminate - insufficient evidence","indeterminate_insufficient_evidence",IF(IF(Q135&lt;&gt;"",Q135,R135)="Protocol refusal to evaluate","protocol_refusal_to_evaluate",IF(IF(Q135&lt;&gt;"",Q135,R135)="Out of scope","out_of_scope",IF(IF(Q135&lt;&gt;"",Q135,R135)="Withdrawn","withdrawn",IF(IF(Q135&lt;&gt;"",Q135,R135)="Not reviewed","not_reviewed","unknown_status"))))))))))</f>
        <v/>
      </c>
      <c r="AG135">
        <f>IF(AND(AF135="",T135=""),"",IF(AND(AF135&lt;&gt;"",ISNUMBER(SEARCH("token="&amp;AF135&amp;";",T135)),ISNUMBER(SEARCH(AK135,T135)),ISNUMBER(SEARCH("CL basis="&amp;AL135&amp;";",T135))),"VALID","INVALID_OR_INCOMPLETE"))</f>
        <v/>
      </c>
      <c r="AH135">
        <f>COUNTIF(K135:P135,"Adequate for scope")</f>
        <v/>
      </c>
      <c r="AI135">
        <f>IF(COUNTA(K135:P135)=0,"",IF(AA135+AB135+AC135+AD135+AH135=6,"OK","UNRECOGNISED_VALUE"))</f>
        <v/>
      </c>
      <c r="AJ135" s="303" t="n"/>
      <c r="AK135" s="303">
        <f>IF(A135="","",Vocabulary!$B$5)</f>
        <v/>
      </c>
      <c r="AL135" s="303">
        <f>IF(A135="","",Vocabulary!$B$6)</f>
        <v/>
      </c>
      <c r="AM135" s="303">
        <f>IF(AJ135="","OK",IF(COUNTIF(Vocabulary!$O$5:$O$8,AJ135)=1,"OK","UNRECOGNISED_ADMIN_DISPOSITION"))</f>
        <v/>
      </c>
    </row>
    <row r="136">
      <c r="Q136">
        <f>IF(AE136="","",IF(AE136="ADMIN_DISPOSITION",AJ136,IF(OR(AE136="ADMIN_INCOMPLETE",AE136="ADMIN_INVALID",AE136="BURDEN_NOT_FEASIBLE",AE136="UNRECOGNISED_VALUE",AE136="UNRECOGNISED_ADMIN_DISPOSITION"),"Protocol refusal to evaluate",IF(AA136&gt;0,"Stage-A non-admissible - unpatchable for stated claim",IF(AB136&gt;0,"Stage-A non-admissible - patchable",IF(OR(J136="Yes",I136="Indeterminate",AC136&gt;0),"Indeterminate - insufficient evidence",IF(AND(AH136=6,AD136=0),"Stage-A admissible - scoped",IF(AND(AH136+AD136=6,AD136&gt;0),"Stage-A admissible - scoped, control-dependent","Protocol refusal to evaluate"))))))))</f>
        <v/>
      </c>
      <c r="S136">
        <f>IF(AND(Q136="",R136=""),"",IF(AND(Q136&lt;&gt;"",R136=""),"UNRECORDED",IF(AND(Q136="",R136&lt;&gt;""),"ORPHAN_RECORDED",IF(Q136=R136,"MATCH","MISMATCH"))))</f>
        <v/>
      </c>
      <c r="AA136">
        <f>COUNTIF(K136:P136,"Material defect - unpatchable for stated claim")</f>
        <v/>
      </c>
      <c r="AB136">
        <f>COUNTIF(K136:P136,"Material defect - patchable")</f>
        <v/>
      </c>
      <c r="AC136">
        <f>COUNTIF(K136:P136,"Indeterminate")+COUNTIF(K136:P136,"Not reviewed")</f>
        <v/>
      </c>
      <c r="AD136">
        <f>COUNTIF(K136:P136,"Adequate - control-dependent")</f>
        <v/>
      </c>
      <c r="AE136">
        <f>IF(COUNTA(A136:P136)+COUNTA(AJ136)=0,"",IF(AM136&lt;&gt;"OK","UNRECOGNISED_ADMIN_DISPOSITION",IF(AND(AJ136&lt;&gt;"",AJ136&lt;&gt;"None"),IF(OR(LEN(TRIM(A136))=0,LEN(TRIM(B136))=0,LEN(TRIM(C136))=0,LEN(TRIM(F136))=0),"ADMIN_INCOMPLETE","ADMIN_DISPOSITION"),IF(OR(LEN(TRIM(A136))=0,LEN(TRIM(B136))=0,LEN(TRIM(C136))=0,LEN(TRIM(D136))=0,LEN(TRIM(E136))=0,LEN(TRIM(F136))=0,LEN(TRIM(G136))=0,LEN(TRIM(H136))=0,LEN(TRIM(I136))=0,LEN(TRIM(J136))=0,LEN(TRIM(K136))=0,LEN(TRIM(L136))=0,LEN(TRIM(M136))=0,LEN(TRIM(N136))=0,LEN(TRIM(O136))=0,LEN(TRIM(P136))=0),"ADMIN_INCOMPLETE",IF(H136&lt;&gt;"Yes","ADMIN_INVALID",IF(I136="Not feasible","BURDEN_NOT_FEASIBLE",IF(AI136&lt;&gt;"OK","UNRECOGNISED_VALUE","CLEAR")))))))</f>
        <v/>
      </c>
      <c r="AF136">
        <f>IF(AND(Q136="",R136=""),"",IF(IF(Q136&lt;&gt;"",Q136,R136)="Stage-A admissible - scoped","stage_a_admissible_scoped",IF(IF(Q136&lt;&gt;"",Q136,R136)="Stage-A admissible - scoped, control-dependent","stage_a_admissible_scoped_control_dependent",IF(IF(Q136&lt;&gt;"",Q136,R136)="Stage-A non-admissible - patchable","stage_a_non_admissible_patchable",IF(IF(Q136&lt;&gt;"",Q136,R136)="Stage-A non-admissible - unpatchable for stated claim","stage_a_non_admissible_unpatchable_for_stated_claim",IF(IF(Q136&lt;&gt;"",Q136,R136)="Indeterminate - insufficient evidence","indeterminate_insufficient_evidence",IF(IF(Q136&lt;&gt;"",Q136,R136)="Protocol refusal to evaluate","protocol_refusal_to_evaluate",IF(IF(Q136&lt;&gt;"",Q136,R136)="Out of scope","out_of_scope",IF(IF(Q136&lt;&gt;"",Q136,R136)="Withdrawn","withdrawn",IF(IF(Q136&lt;&gt;"",Q136,R136)="Not reviewed","not_reviewed","unknown_status"))))))))))</f>
        <v/>
      </c>
      <c r="AG136">
        <f>IF(AND(AF136="",T136=""),"",IF(AND(AF136&lt;&gt;"",ISNUMBER(SEARCH("token="&amp;AF136&amp;";",T136)),ISNUMBER(SEARCH(AK136,T136)),ISNUMBER(SEARCH("CL basis="&amp;AL136&amp;";",T136))),"VALID","INVALID_OR_INCOMPLETE"))</f>
        <v/>
      </c>
      <c r="AH136">
        <f>COUNTIF(K136:P136,"Adequate for scope")</f>
        <v/>
      </c>
      <c r="AI136">
        <f>IF(COUNTA(K136:P136)=0,"",IF(AA136+AB136+AC136+AD136+AH136=6,"OK","UNRECOGNISED_VALUE"))</f>
        <v/>
      </c>
      <c r="AJ136" s="303" t="n"/>
      <c r="AK136" s="303">
        <f>IF(A136="","",Vocabulary!$B$5)</f>
        <v/>
      </c>
      <c r="AL136" s="303">
        <f>IF(A136="","",Vocabulary!$B$6)</f>
        <v/>
      </c>
      <c r="AM136" s="303">
        <f>IF(AJ136="","OK",IF(COUNTIF(Vocabulary!$O$5:$O$8,AJ136)=1,"OK","UNRECOGNISED_ADMIN_DISPOSITION"))</f>
        <v/>
      </c>
    </row>
    <row r="137">
      <c r="Q137">
        <f>IF(AE137="","",IF(AE137="ADMIN_DISPOSITION",AJ137,IF(OR(AE137="ADMIN_INCOMPLETE",AE137="ADMIN_INVALID",AE137="BURDEN_NOT_FEASIBLE",AE137="UNRECOGNISED_VALUE",AE137="UNRECOGNISED_ADMIN_DISPOSITION"),"Protocol refusal to evaluate",IF(AA137&gt;0,"Stage-A non-admissible - unpatchable for stated claim",IF(AB137&gt;0,"Stage-A non-admissible - patchable",IF(OR(J137="Yes",I137="Indeterminate",AC137&gt;0),"Indeterminate - insufficient evidence",IF(AND(AH137=6,AD137=0),"Stage-A admissible - scoped",IF(AND(AH137+AD137=6,AD137&gt;0),"Stage-A admissible - scoped, control-dependent","Protocol refusal to evaluate"))))))))</f>
        <v/>
      </c>
      <c r="S137">
        <f>IF(AND(Q137="",R137=""),"",IF(AND(Q137&lt;&gt;"",R137=""),"UNRECORDED",IF(AND(Q137="",R137&lt;&gt;""),"ORPHAN_RECORDED",IF(Q137=R137,"MATCH","MISMATCH"))))</f>
        <v/>
      </c>
      <c r="AA137">
        <f>COUNTIF(K137:P137,"Material defect - unpatchable for stated claim")</f>
        <v/>
      </c>
      <c r="AB137">
        <f>COUNTIF(K137:P137,"Material defect - patchable")</f>
        <v/>
      </c>
      <c r="AC137">
        <f>COUNTIF(K137:P137,"Indeterminate")+COUNTIF(K137:P137,"Not reviewed")</f>
        <v/>
      </c>
      <c r="AD137">
        <f>COUNTIF(K137:P137,"Adequate - control-dependent")</f>
        <v/>
      </c>
      <c r="AE137">
        <f>IF(COUNTA(A137:P137)+COUNTA(AJ137)=0,"",IF(AM137&lt;&gt;"OK","UNRECOGNISED_ADMIN_DISPOSITION",IF(AND(AJ137&lt;&gt;"",AJ137&lt;&gt;"None"),IF(OR(LEN(TRIM(A137))=0,LEN(TRIM(B137))=0,LEN(TRIM(C137))=0,LEN(TRIM(F137))=0),"ADMIN_INCOMPLETE","ADMIN_DISPOSITION"),IF(OR(LEN(TRIM(A137))=0,LEN(TRIM(B137))=0,LEN(TRIM(C137))=0,LEN(TRIM(D137))=0,LEN(TRIM(E137))=0,LEN(TRIM(F137))=0,LEN(TRIM(G137))=0,LEN(TRIM(H137))=0,LEN(TRIM(I137))=0,LEN(TRIM(J137))=0,LEN(TRIM(K137))=0,LEN(TRIM(L137))=0,LEN(TRIM(M137))=0,LEN(TRIM(N137))=0,LEN(TRIM(O137))=0,LEN(TRIM(P137))=0),"ADMIN_INCOMPLETE",IF(H137&lt;&gt;"Yes","ADMIN_INVALID",IF(I137="Not feasible","BURDEN_NOT_FEASIBLE",IF(AI137&lt;&gt;"OK","UNRECOGNISED_VALUE","CLEAR")))))))</f>
        <v/>
      </c>
      <c r="AF137">
        <f>IF(AND(Q137="",R137=""),"",IF(IF(Q137&lt;&gt;"",Q137,R137)="Stage-A admissible - scoped","stage_a_admissible_scoped",IF(IF(Q137&lt;&gt;"",Q137,R137)="Stage-A admissible - scoped, control-dependent","stage_a_admissible_scoped_control_dependent",IF(IF(Q137&lt;&gt;"",Q137,R137)="Stage-A non-admissible - patchable","stage_a_non_admissible_patchable",IF(IF(Q137&lt;&gt;"",Q137,R137)="Stage-A non-admissible - unpatchable for stated claim","stage_a_non_admissible_unpatchable_for_stated_claim",IF(IF(Q137&lt;&gt;"",Q137,R137)="Indeterminate - insufficient evidence","indeterminate_insufficient_evidence",IF(IF(Q137&lt;&gt;"",Q137,R137)="Protocol refusal to evaluate","protocol_refusal_to_evaluate",IF(IF(Q137&lt;&gt;"",Q137,R137)="Out of scope","out_of_scope",IF(IF(Q137&lt;&gt;"",Q137,R137)="Withdrawn","withdrawn",IF(IF(Q137&lt;&gt;"",Q137,R137)="Not reviewed","not_reviewed","unknown_status"))))))))))</f>
        <v/>
      </c>
      <c r="AG137">
        <f>IF(AND(AF137="",T137=""),"",IF(AND(AF137&lt;&gt;"",ISNUMBER(SEARCH("token="&amp;AF137&amp;";",T137)),ISNUMBER(SEARCH(AK137,T137)),ISNUMBER(SEARCH("CL basis="&amp;AL137&amp;";",T137))),"VALID","INVALID_OR_INCOMPLETE"))</f>
        <v/>
      </c>
      <c r="AH137">
        <f>COUNTIF(K137:P137,"Adequate for scope")</f>
        <v/>
      </c>
      <c r="AI137">
        <f>IF(COUNTA(K137:P137)=0,"",IF(AA137+AB137+AC137+AD137+AH137=6,"OK","UNRECOGNISED_VALUE"))</f>
        <v/>
      </c>
      <c r="AJ137" s="303" t="n"/>
      <c r="AK137" s="303">
        <f>IF(A137="","",Vocabulary!$B$5)</f>
        <v/>
      </c>
      <c r="AL137" s="303">
        <f>IF(A137="","",Vocabulary!$B$6)</f>
        <v/>
      </c>
      <c r="AM137" s="303">
        <f>IF(AJ137="","OK",IF(COUNTIF(Vocabulary!$O$5:$O$8,AJ137)=1,"OK","UNRECOGNISED_ADMIN_DISPOSITION"))</f>
        <v/>
      </c>
    </row>
    <row r="138">
      <c r="Q138">
        <f>IF(AE138="","",IF(AE138="ADMIN_DISPOSITION",AJ138,IF(OR(AE138="ADMIN_INCOMPLETE",AE138="ADMIN_INVALID",AE138="BURDEN_NOT_FEASIBLE",AE138="UNRECOGNISED_VALUE",AE138="UNRECOGNISED_ADMIN_DISPOSITION"),"Protocol refusal to evaluate",IF(AA138&gt;0,"Stage-A non-admissible - unpatchable for stated claim",IF(AB138&gt;0,"Stage-A non-admissible - patchable",IF(OR(J138="Yes",I138="Indeterminate",AC138&gt;0),"Indeterminate - insufficient evidence",IF(AND(AH138=6,AD138=0),"Stage-A admissible - scoped",IF(AND(AH138+AD138=6,AD138&gt;0),"Stage-A admissible - scoped, control-dependent","Protocol refusal to evaluate"))))))))</f>
        <v/>
      </c>
      <c r="S138">
        <f>IF(AND(Q138="",R138=""),"",IF(AND(Q138&lt;&gt;"",R138=""),"UNRECORDED",IF(AND(Q138="",R138&lt;&gt;""),"ORPHAN_RECORDED",IF(Q138=R138,"MATCH","MISMATCH"))))</f>
        <v/>
      </c>
      <c r="AA138">
        <f>COUNTIF(K138:P138,"Material defect - unpatchable for stated claim")</f>
        <v/>
      </c>
      <c r="AB138">
        <f>COUNTIF(K138:P138,"Material defect - patchable")</f>
        <v/>
      </c>
      <c r="AC138">
        <f>COUNTIF(K138:P138,"Indeterminate")+COUNTIF(K138:P138,"Not reviewed")</f>
        <v/>
      </c>
      <c r="AD138">
        <f>COUNTIF(K138:P138,"Adequate - control-dependent")</f>
        <v/>
      </c>
      <c r="AE138">
        <f>IF(COUNTA(A138:P138)+COUNTA(AJ138)=0,"",IF(AM138&lt;&gt;"OK","UNRECOGNISED_ADMIN_DISPOSITION",IF(AND(AJ138&lt;&gt;"",AJ138&lt;&gt;"None"),IF(OR(LEN(TRIM(A138))=0,LEN(TRIM(B138))=0,LEN(TRIM(C138))=0,LEN(TRIM(F138))=0),"ADMIN_INCOMPLETE","ADMIN_DISPOSITION"),IF(OR(LEN(TRIM(A138))=0,LEN(TRIM(B138))=0,LEN(TRIM(C138))=0,LEN(TRIM(D138))=0,LEN(TRIM(E138))=0,LEN(TRIM(F138))=0,LEN(TRIM(G138))=0,LEN(TRIM(H138))=0,LEN(TRIM(I138))=0,LEN(TRIM(J138))=0,LEN(TRIM(K138))=0,LEN(TRIM(L138))=0,LEN(TRIM(M138))=0,LEN(TRIM(N138))=0,LEN(TRIM(O138))=0,LEN(TRIM(P138))=0),"ADMIN_INCOMPLETE",IF(H138&lt;&gt;"Yes","ADMIN_INVALID",IF(I138="Not feasible","BURDEN_NOT_FEASIBLE",IF(AI138&lt;&gt;"OK","UNRECOGNISED_VALUE","CLEAR")))))))</f>
        <v/>
      </c>
      <c r="AF138">
        <f>IF(AND(Q138="",R138=""),"",IF(IF(Q138&lt;&gt;"",Q138,R138)="Stage-A admissible - scoped","stage_a_admissible_scoped",IF(IF(Q138&lt;&gt;"",Q138,R138)="Stage-A admissible - scoped, control-dependent","stage_a_admissible_scoped_control_dependent",IF(IF(Q138&lt;&gt;"",Q138,R138)="Stage-A non-admissible - patchable","stage_a_non_admissible_patchable",IF(IF(Q138&lt;&gt;"",Q138,R138)="Stage-A non-admissible - unpatchable for stated claim","stage_a_non_admissible_unpatchable_for_stated_claim",IF(IF(Q138&lt;&gt;"",Q138,R138)="Indeterminate - insufficient evidence","indeterminate_insufficient_evidence",IF(IF(Q138&lt;&gt;"",Q138,R138)="Protocol refusal to evaluate","protocol_refusal_to_evaluate",IF(IF(Q138&lt;&gt;"",Q138,R138)="Out of scope","out_of_scope",IF(IF(Q138&lt;&gt;"",Q138,R138)="Withdrawn","withdrawn",IF(IF(Q138&lt;&gt;"",Q138,R138)="Not reviewed","not_reviewed","unknown_status"))))))))))</f>
        <v/>
      </c>
      <c r="AG138">
        <f>IF(AND(AF138="",T138=""),"",IF(AND(AF138&lt;&gt;"",ISNUMBER(SEARCH("token="&amp;AF138&amp;";",T138)),ISNUMBER(SEARCH(AK138,T138)),ISNUMBER(SEARCH("CL basis="&amp;AL138&amp;";",T138))),"VALID","INVALID_OR_INCOMPLETE"))</f>
        <v/>
      </c>
      <c r="AH138">
        <f>COUNTIF(K138:P138,"Adequate for scope")</f>
        <v/>
      </c>
      <c r="AI138">
        <f>IF(COUNTA(K138:P138)=0,"",IF(AA138+AB138+AC138+AD138+AH138=6,"OK","UNRECOGNISED_VALUE"))</f>
        <v/>
      </c>
      <c r="AJ138" s="303" t="n"/>
      <c r="AK138" s="303">
        <f>IF(A138="","",Vocabulary!$B$5)</f>
        <v/>
      </c>
      <c r="AL138" s="303">
        <f>IF(A138="","",Vocabulary!$B$6)</f>
        <v/>
      </c>
      <c r="AM138" s="303">
        <f>IF(AJ138="","OK",IF(COUNTIF(Vocabulary!$O$5:$O$8,AJ138)=1,"OK","UNRECOGNISED_ADMIN_DISPOSITION"))</f>
        <v/>
      </c>
    </row>
    <row r="139">
      <c r="Q139">
        <f>IF(AE139="","",IF(AE139="ADMIN_DISPOSITION",AJ139,IF(OR(AE139="ADMIN_INCOMPLETE",AE139="ADMIN_INVALID",AE139="BURDEN_NOT_FEASIBLE",AE139="UNRECOGNISED_VALUE",AE139="UNRECOGNISED_ADMIN_DISPOSITION"),"Protocol refusal to evaluate",IF(AA139&gt;0,"Stage-A non-admissible - unpatchable for stated claim",IF(AB139&gt;0,"Stage-A non-admissible - patchable",IF(OR(J139="Yes",I139="Indeterminate",AC139&gt;0),"Indeterminate - insufficient evidence",IF(AND(AH139=6,AD139=0),"Stage-A admissible - scoped",IF(AND(AH139+AD139=6,AD139&gt;0),"Stage-A admissible - scoped, control-dependent","Protocol refusal to evaluate"))))))))</f>
        <v/>
      </c>
      <c r="S139">
        <f>IF(AND(Q139="",R139=""),"",IF(AND(Q139&lt;&gt;"",R139=""),"UNRECORDED",IF(AND(Q139="",R139&lt;&gt;""),"ORPHAN_RECORDED",IF(Q139=R139,"MATCH","MISMATCH"))))</f>
        <v/>
      </c>
      <c r="AA139">
        <f>COUNTIF(K139:P139,"Material defect - unpatchable for stated claim")</f>
        <v/>
      </c>
      <c r="AB139">
        <f>COUNTIF(K139:P139,"Material defect - patchable")</f>
        <v/>
      </c>
      <c r="AC139">
        <f>COUNTIF(K139:P139,"Indeterminate")+COUNTIF(K139:P139,"Not reviewed")</f>
        <v/>
      </c>
      <c r="AD139">
        <f>COUNTIF(K139:P139,"Adequate - control-dependent")</f>
        <v/>
      </c>
      <c r="AE139">
        <f>IF(COUNTA(A139:P139)+COUNTA(AJ139)=0,"",IF(AM139&lt;&gt;"OK","UNRECOGNISED_ADMIN_DISPOSITION",IF(AND(AJ139&lt;&gt;"",AJ139&lt;&gt;"None"),IF(OR(LEN(TRIM(A139))=0,LEN(TRIM(B139))=0,LEN(TRIM(C139))=0,LEN(TRIM(F139))=0),"ADMIN_INCOMPLETE","ADMIN_DISPOSITION"),IF(OR(LEN(TRIM(A139))=0,LEN(TRIM(B139))=0,LEN(TRIM(C139))=0,LEN(TRIM(D139))=0,LEN(TRIM(E139))=0,LEN(TRIM(F139))=0,LEN(TRIM(G139))=0,LEN(TRIM(H139))=0,LEN(TRIM(I139))=0,LEN(TRIM(J139))=0,LEN(TRIM(K139))=0,LEN(TRIM(L139))=0,LEN(TRIM(M139))=0,LEN(TRIM(N139))=0,LEN(TRIM(O139))=0,LEN(TRIM(P139))=0),"ADMIN_INCOMPLETE",IF(H139&lt;&gt;"Yes","ADMIN_INVALID",IF(I139="Not feasible","BURDEN_NOT_FEASIBLE",IF(AI139&lt;&gt;"OK","UNRECOGNISED_VALUE","CLEAR")))))))</f>
        <v/>
      </c>
      <c r="AF139">
        <f>IF(AND(Q139="",R139=""),"",IF(IF(Q139&lt;&gt;"",Q139,R139)="Stage-A admissible - scoped","stage_a_admissible_scoped",IF(IF(Q139&lt;&gt;"",Q139,R139)="Stage-A admissible - scoped, control-dependent","stage_a_admissible_scoped_control_dependent",IF(IF(Q139&lt;&gt;"",Q139,R139)="Stage-A non-admissible - patchable","stage_a_non_admissible_patchable",IF(IF(Q139&lt;&gt;"",Q139,R139)="Stage-A non-admissible - unpatchable for stated claim","stage_a_non_admissible_unpatchable_for_stated_claim",IF(IF(Q139&lt;&gt;"",Q139,R139)="Indeterminate - insufficient evidence","indeterminate_insufficient_evidence",IF(IF(Q139&lt;&gt;"",Q139,R139)="Protocol refusal to evaluate","protocol_refusal_to_evaluate",IF(IF(Q139&lt;&gt;"",Q139,R139)="Out of scope","out_of_scope",IF(IF(Q139&lt;&gt;"",Q139,R139)="Withdrawn","withdrawn",IF(IF(Q139&lt;&gt;"",Q139,R139)="Not reviewed","not_reviewed","unknown_status"))))))))))</f>
        <v/>
      </c>
      <c r="AG139">
        <f>IF(AND(AF139="",T139=""),"",IF(AND(AF139&lt;&gt;"",ISNUMBER(SEARCH("token="&amp;AF139&amp;";",T139)),ISNUMBER(SEARCH(AK139,T139)),ISNUMBER(SEARCH("CL basis="&amp;AL139&amp;";",T139))),"VALID","INVALID_OR_INCOMPLETE"))</f>
        <v/>
      </c>
      <c r="AH139">
        <f>COUNTIF(K139:P139,"Adequate for scope")</f>
        <v/>
      </c>
      <c r="AI139">
        <f>IF(COUNTA(K139:P139)=0,"",IF(AA139+AB139+AC139+AD139+AH139=6,"OK","UNRECOGNISED_VALUE"))</f>
        <v/>
      </c>
      <c r="AJ139" s="303" t="n"/>
      <c r="AK139" s="303">
        <f>IF(A139="","",Vocabulary!$B$5)</f>
        <v/>
      </c>
      <c r="AL139" s="303">
        <f>IF(A139="","",Vocabulary!$B$6)</f>
        <v/>
      </c>
      <c r="AM139" s="303">
        <f>IF(AJ139="","OK",IF(COUNTIF(Vocabulary!$O$5:$O$8,AJ139)=1,"OK","UNRECOGNISED_ADMIN_DISPOSITION"))</f>
        <v/>
      </c>
    </row>
    <row r="140">
      <c r="Q140">
        <f>IF(AE140="","",IF(AE140="ADMIN_DISPOSITION",AJ140,IF(OR(AE140="ADMIN_INCOMPLETE",AE140="ADMIN_INVALID",AE140="BURDEN_NOT_FEASIBLE",AE140="UNRECOGNISED_VALUE",AE140="UNRECOGNISED_ADMIN_DISPOSITION"),"Protocol refusal to evaluate",IF(AA140&gt;0,"Stage-A non-admissible - unpatchable for stated claim",IF(AB140&gt;0,"Stage-A non-admissible - patchable",IF(OR(J140="Yes",I140="Indeterminate",AC140&gt;0),"Indeterminate - insufficient evidence",IF(AND(AH140=6,AD140=0),"Stage-A admissible - scoped",IF(AND(AH140+AD140=6,AD140&gt;0),"Stage-A admissible - scoped, control-dependent","Protocol refusal to evaluate"))))))))</f>
        <v/>
      </c>
      <c r="S140">
        <f>IF(AND(Q140="",R140=""),"",IF(AND(Q140&lt;&gt;"",R140=""),"UNRECORDED",IF(AND(Q140="",R140&lt;&gt;""),"ORPHAN_RECORDED",IF(Q140=R140,"MATCH","MISMATCH"))))</f>
        <v/>
      </c>
      <c r="AA140">
        <f>COUNTIF(K140:P140,"Material defect - unpatchable for stated claim")</f>
        <v/>
      </c>
      <c r="AB140">
        <f>COUNTIF(K140:P140,"Material defect - patchable")</f>
        <v/>
      </c>
      <c r="AC140">
        <f>COUNTIF(K140:P140,"Indeterminate")+COUNTIF(K140:P140,"Not reviewed")</f>
        <v/>
      </c>
      <c r="AD140">
        <f>COUNTIF(K140:P140,"Adequate - control-dependent")</f>
        <v/>
      </c>
      <c r="AE140">
        <f>IF(COUNTA(A140:P140)+COUNTA(AJ140)=0,"",IF(AM140&lt;&gt;"OK","UNRECOGNISED_ADMIN_DISPOSITION",IF(AND(AJ140&lt;&gt;"",AJ140&lt;&gt;"None"),IF(OR(LEN(TRIM(A140))=0,LEN(TRIM(B140))=0,LEN(TRIM(C140))=0,LEN(TRIM(F140))=0),"ADMIN_INCOMPLETE","ADMIN_DISPOSITION"),IF(OR(LEN(TRIM(A140))=0,LEN(TRIM(B140))=0,LEN(TRIM(C140))=0,LEN(TRIM(D140))=0,LEN(TRIM(E140))=0,LEN(TRIM(F140))=0,LEN(TRIM(G140))=0,LEN(TRIM(H140))=0,LEN(TRIM(I140))=0,LEN(TRIM(J140))=0,LEN(TRIM(K140))=0,LEN(TRIM(L140))=0,LEN(TRIM(M140))=0,LEN(TRIM(N140))=0,LEN(TRIM(O140))=0,LEN(TRIM(P140))=0),"ADMIN_INCOMPLETE",IF(H140&lt;&gt;"Yes","ADMIN_INVALID",IF(I140="Not feasible","BURDEN_NOT_FEASIBLE",IF(AI140&lt;&gt;"OK","UNRECOGNISED_VALUE","CLEAR")))))))</f>
        <v/>
      </c>
      <c r="AF140">
        <f>IF(AND(Q140="",R140=""),"",IF(IF(Q140&lt;&gt;"",Q140,R140)="Stage-A admissible - scoped","stage_a_admissible_scoped",IF(IF(Q140&lt;&gt;"",Q140,R140)="Stage-A admissible - scoped, control-dependent","stage_a_admissible_scoped_control_dependent",IF(IF(Q140&lt;&gt;"",Q140,R140)="Stage-A non-admissible - patchable","stage_a_non_admissible_patchable",IF(IF(Q140&lt;&gt;"",Q140,R140)="Stage-A non-admissible - unpatchable for stated claim","stage_a_non_admissible_unpatchable_for_stated_claim",IF(IF(Q140&lt;&gt;"",Q140,R140)="Indeterminate - insufficient evidence","indeterminate_insufficient_evidence",IF(IF(Q140&lt;&gt;"",Q140,R140)="Protocol refusal to evaluate","protocol_refusal_to_evaluate",IF(IF(Q140&lt;&gt;"",Q140,R140)="Out of scope","out_of_scope",IF(IF(Q140&lt;&gt;"",Q140,R140)="Withdrawn","withdrawn",IF(IF(Q140&lt;&gt;"",Q140,R140)="Not reviewed","not_reviewed","unknown_status"))))))))))</f>
        <v/>
      </c>
      <c r="AG140">
        <f>IF(AND(AF140="",T140=""),"",IF(AND(AF140&lt;&gt;"",ISNUMBER(SEARCH("token="&amp;AF140&amp;";",T140)),ISNUMBER(SEARCH(AK140,T140)),ISNUMBER(SEARCH("CL basis="&amp;AL140&amp;";",T140))),"VALID","INVALID_OR_INCOMPLETE"))</f>
        <v/>
      </c>
      <c r="AH140">
        <f>COUNTIF(K140:P140,"Adequate for scope")</f>
        <v/>
      </c>
      <c r="AI140">
        <f>IF(COUNTA(K140:P140)=0,"",IF(AA140+AB140+AC140+AD140+AH140=6,"OK","UNRECOGNISED_VALUE"))</f>
        <v/>
      </c>
      <c r="AJ140" s="303" t="n"/>
      <c r="AK140" s="303">
        <f>IF(A140="","",Vocabulary!$B$5)</f>
        <v/>
      </c>
      <c r="AL140" s="303">
        <f>IF(A140="","",Vocabulary!$B$6)</f>
        <v/>
      </c>
      <c r="AM140" s="303">
        <f>IF(AJ140="","OK",IF(COUNTIF(Vocabulary!$O$5:$O$8,AJ140)=1,"OK","UNRECOGNISED_ADMIN_DISPOSITION"))</f>
        <v/>
      </c>
    </row>
    <row r="141">
      <c r="Q141">
        <f>IF(AE141="","",IF(AE141="ADMIN_DISPOSITION",AJ141,IF(OR(AE141="ADMIN_INCOMPLETE",AE141="ADMIN_INVALID",AE141="BURDEN_NOT_FEASIBLE",AE141="UNRECOGNISED_VALUE",AE141="UNRECOGNISED_ADMIN_DISPOSITION"),"Protocol refusal to evaluate",IF(AA141&gt;0,"Stage-A non-admissible - unpatchable for stated claim",IF(AB141&gt;0,"Stage-A non-admissible - patchable",IF(OR(J141="Yes",I141="Indeterminate",AC141&gt;0),"Indeterminate - insufficient evidence",IF(AND(AH141=6,AD141=0),"Stage-A admissible - scoped",IF(AND(AH141+AD141=6,AD141&gt;0),"Stage-A admissible - scoped, control-dependent","Protocol refusal to evaluate"))))))))</f>
        <v/>
      </c>
      <c r="S141">
        <f>IF(AND(Q141="",R141=""),"",IF(AND(Q141&lt;&gt;"",R141=""),"UNRECORDED",IF(AND(Q141="",R141&lt;&gt;""),"ORPHAN_RECORDED",IF(Q141=R141,"MATCH","MISMATCH"))))</f>
        <v/>
      </c>
      <c r="AA141">
        <f>COUNTIF(K141:P141,"Material defect - unpatchable for stated claim")</f>
        <v/>
      </c>
      <c r="AB141">
        <f>COUNTIF(K141:P141,"Material defect - patchable")</f>
        <v/>
      </c>
      <c r="AC141">
        <f>COUNTIF(K141:P141,"Indeterminate")+COUNTIF(K141:P141,"Not reviewed")</f>
        <v/>
      </c>
      <c r="AD141">
        <f>COUNTIF(K141:P141,"Adequate - control-dependent")</f>
        <v/>
      </c>
      <c r="AE141">
        <f>IF(COUNTA(A141:P141)+COUNTA(AJ141)=0,"",IF(AM141&lt;&gt;"OK","UNRECOGNISED_ADMIN_DISPOSITION",IF(AND(AJ141&lt;&gt;"",AJ141&lt;&gt;"None"),IF(OR(LEN(TRIM(A141))=0,LEN(TRIM(B141))=0,LEN(TRIM(C141))=0,LEN(TRIM(F141))=0),"ADMIN_INCOMPLETE","ADMIN_DISPOSITION"),IF(OR(LEN(TRIM(A141))=0,LEN(TRIM(B141))=0,LEN(TRIM(C141))=0,LEN(TRIM(D141))=0,LEN(TRIM(E141))=0,LEN(TRIM(F141))=0,LEN(TRIM(G141))=0,LEN(TRIM(H141))=0,LEN(TRIM(I141))=0,LEN(TRIM(J141))=0,LEN(TRIM(K141))=0,LEN(TRIM(L141))=0,LEN(TRIM(M141))=0,LEN(TRIM(N141))=0,LEN(TRIM(O141))=0,LEN(TRIM(P141))=0),"ADMIN_INCOMPLETE",IF(H141&lt;&gt;"Yes","ADMIN_INVALID",IF(I141="Not feasible","BURDEN_NOT_FEASIBLE",IF(AI141&lt;&gt;"OK","UNRECOGNISED_VALUE","CLEAR")))))))</f>
        <v/>
      </c>
      <c r="AF141">
        <f>IF(AND(Q141="",R141=""),"",IF(IF(Q141&lt;&gt;"",Q141,R141)="Stage-A admissible - scoped","stage_a_admissible_scoped",IF(IF(Q141&lt;&gt;"",Q141,R141)="Stage-A admissible - scoped, control-dependent","stage_a_admissible_scoped_control_dependent",IF(IF(Q141&lt;&gt;"",Q141,R141)="Stage-A non-admissible - patchable","stage_a_non_admissible_patchable",IF(IF(Q141&lt;&gt;"",Q141,R141)="Stage-A non-admissible - unpatchable for stated claim","stage_a_non_admissible_unpatchable_for_stated_claim",IF(IF(Q141&lt;&gt;"",Q141,R141)="Indeterminate - insufficient evidence","indeterminate_insufficient_evidence",IF(IF(Q141&lt;&gt;"",Q141,R141)="Protocol refusal to evaluate","protocol_refusal_to_evaluate",IF(IF(Q141&lt;&gt;"",Q141,R141)="Out of scope","out_of_scope",IF(IF(Q141&lt;&gt;"",Q141,R141)="Withdrawn","withdrawn",IF(IF(Q141&lt;&gt;"",Q141,R141)="Not reviewed","not_reviewed","unknown_status"))))))))))</f>
        <v/>
      </c>
      <c r="AG141">
        <f>IF(AND(AF141="",T141=""),"",IF(AND(AF141&lt;&gt;"",ISNUMBER(SEARCH("token="&amp;AF141&amp;";",T141)),ISNUMBER(SEARCH(AK141,T141)),ISNUMBER(SEARCH("CL basis="&amp;AL141&amp;";",T141))),"VALID","INVALID_OR_INCOMPLETE"))</f>
        <v/>
      </c>
      <c r="AH141">
        <f>COUNTIF(K141:P141,"Adequate for scope")</f>
        <v/>
      </c>
      <c r="AI141">
        <f>IF(COUNTA(K141:P141)=0,"",IF(AA141+AB141+AC141+AD141+AH141=6,"OK","UNRECOGNISED_VALUE"))</f>
        <v/>
      </c>
      <c r="AJ141" s="303" t="n"/>
      <c r="AK141" s="303">
        <f>IF(A141="","",Vocabulary!$B$5)</f>
        <v/>
      </c>
      <c r="AL141" s="303">
        <f>IF(A141="","",Vocabulary!$B$6)</f>
        <v/>
      </c>
      <c r="AM141" s="303">
        <f>IF(AJ141="","OK",IF(COUNTIF(Vocabulary!$O$5:$O$8,AJ141)=1,"OK","UNRECOGNISED_ADMIN_DISPOSITION"))</f>
        <v/>
      </c>
    </row>
    <row r="142">
      <c r="Q142">
        <f>IF(AE142="","",IF(AE142="ADMIN_DISPOSITION",AJ142,IF(OR(AE142="ADMIN_INCOMPLETE",AE142="ADMIN_INVALID",AE142="BURDEN_NOT_FEASIBLE",AE142="UNRECOGNISED_VALUE",AE142="UNRECOGNISED_ADMIN_DISPOSITION"),"Protocol refusal to evaluate",IF(AA142&gt;0,"Stage-A non-admissible - unpatchable for stated claim",IF(AB142&gt;0,"Stage-A non-admissible - patchable",IF(OR(J142="Yes",I142="Indeterminate",AC142&gt;0),"Indeterminate - insufficient evidence",IF(AND(AH142=6,AD142=0),"Stage-A admissible - scoped",IF(AND(AH142+AD142=6,AD142&gt;0),"Stage-A admissible - scoped, control-dependent","Protocol refusal to evaluate"))))))))</f>
        <v/>
      </c>
      <c r="S142">
        <f>IF(AND(Q142="",R142=""),"",IF(AND(Q142&lt;&gt;"",R142=""),"UNRECORDED",IF(AND(Q142="",R142&lt;&gt;""),"ORPHAN_RECORDED",IF(Q142=R142,"MATCH","MISMATCH"))))</f>
        <v/>
      </c>
      <c r="AA142">
        <f>COUNTIF(K142:P142,"Material defect - unpatchable for stated claim")</f>
        <v/>
      </c>
      <c r="AB142">
        <f>COUNTIF(K142:P142,"Material defect - patchable")</f>
        <v/>
      </c>
      <c r="AC142">
        <f>COUNTIF(K142:P142,"Indeterminate")+COUNTIF(K142:P142,"Not reviewed")</f>
        <v/>
      </c>
      <c r="AD142">
        <f>COUNTIF(K142:P142,"Adequate - control-dependent")</f>
        <v/>
      </c>
      <c r="AE142">
        <f>IF(COUNTA(A142:P142)+COUNTA(AJ142)=0,"",IF(AM142&lt;&gt;"OK","UNRECOGNISED_ADMIN_DISPOSITION",IF(AND(AJ142&lt;&gt;"",AJ142&lt;&gt;"None"),IF(OR(LEN(TRIM(A142))=0,LEN(TRIM(B142))=0,LEN(TRIM(C142))=0,LEN(TRIM(F142))=0),"ADMIN_INCOMPLETE","ADMIN_DISPOSITION"),IF(OR(LEN(TRIM(A142))=0,LEN(TRIM(B142))=0,LEN(TRIM(C142))=0,LEN(TRIM(D142))=0,LEN(TRIM(E142))=0,LEN(TRIM(F142))=0,LEN(TRIM(G142))=0,LEN(TRIM(H142))=0,LEN(TRIM(I142))=0,LEN(TRIM(J142))=0,LEN(TRIM(K142))=0,LEN(TRIM(L142))=0,LEN(TRIM(M142))=0,LEN(TRIM(N142))=0,LEN(TRIM(O142))=0,LEN(TRIM(P142))=0),"ADMIN_INCOMPLETE",IF(H142&lt;&gt;"Yes","ADMIN_INVALID",IF(I142="Not feasible","BURDEN_NOT_FEASIBLE",IF(AI142&lt;&gt;"OK","UNRECOGNISED_VALUE","CLEAR")))))))</f>
        <v/>
      </c>
      <c r="AF142">
        <f>IF(AND(Q142="",R142=""),"",IF(IF(Q142&lt;&gt;"",Q142,R142)="Stage-A admissible - scoped","stage_a_admissible_scoped",IF(IF(Q142&lt;&gt;"",Q142,R142)="Stage-A admissible - scoped, control-dependent","stage_a_admissible_scoped_control_dependent",IF(IF(Q142&lt;&gt;"",Q142,R142)="Stage-A non-admissible - patchable","stage_a_non_admissible_patchable",IF(IF(Q142&lt;&gt;"",Q142,R142)="Stage-A non-admissible - unpatchable for stated claim","stage_a_non_admissible_unpatchable_for_stated_claim",IF(IF(Q142&lt;&gt;"",Q142,R142)="Indeterminate - insufficient evidence","indeterminate_insufficient_evidence",IF(IF(Q142&lt;&gt;"",Q142,R142)="Protocol refusal to evaluate","protocol_refusal_to_evaluate",IF(IF(Q142&lt;&gt;"",Q142,R142)="Out of scope","out_of_scope",IF(IF(Q142&lt;&gt;"",Q142,R142)="Withdrawn","withdrawn",IF(IF(Q142&lt;&gt;"",Q142,R142)="Not reviewed","not_reviewed","unknown_status"))))))))))</f>
        <v/>
      </c>
      <c r="AG142">
        <f>IF(AND(AF142="",T142=""),"",IF(AND(AF142&lt;&gt;"",ISNUMBER(SEARCH("token="&amp;AF142&amp;";",T142)),ISNUMBER(SEARCH(AK142,T142)),ISNUMBER(SEARCH("CL basis="&amp;AL142&amp;";",T142))),"VALID","INVALID_OR_INCOMPLETE"))</f>
        <v/>
      </c>
      <c r="AH142">
        <f>COUNTIF(K142:P142,"Adequate for scope")</f>
        <v/>
      </c>
      <c r="AI142">
        <f>IF(COUNTA(K142:P142)=0,"",IF(AA142+AB142+AC142+AD142+AH142=6,"OK","UNRECOGNISED_VALUE"))</f>
        <v/>
      </c>
      <c r="AJ142" s="303" t="n"/>
      <c r="AK142" s="303">
        <f>IF(A142="","",Vocabulary!$B$5)</f>
        <v/>
      </c>
      <c r="AL142" s="303">
        <f>IF(A142="","",Vocabulary!$B$6)</f>
        <v/>
      </c>
      <c r="AM142" s="303">
        <f>IF(AJ142="","OK",IF(COUNTIF(Vocabulary!$O$5:$O$8,AJ142)=1,"OK","UNRECOGNISED_ADMIN_DISPOSITION"))</f>
        <v/>
      </c>
    </row>
    <row r="143">
      <c r="Q143">
        <f>IF(AE143="","",IF(AE143="ADMIN_DISPOSITION",AJ143,IF(OR(AE143="ADMIN_INCOMPLETE",AE143="ADMIN_INVALID",AE143="BURDEN_NOT_FEASIBLE",AE143="UNRECOGNISED_VALUE",AE143="UNRECOGNISED_ADMIN_DISPOSITION"),"Protocol refusal to evaluate",IF(AA143&gt;0,"Stage-A non-admissible - unpatchable for stated claim",IF(AB143&gt;0,"Stage-A non-admissible - patchable",IF(OR(J143="Yes",I143="Indeterminate",AC143&gt;0),"Indeterminate - insufficient evidence",IF(AND(AH143=6,AD143=0),"Stage-A admissible - scoped",IF(AND(AH143+AD143=6,AD143&gt;0),"Stage-A admissible - scoped, control-dependent","Protocol refusal to evaluate"))))))))</f>
        <v/>
      </c>
      <c r="S143">
        <f>IF(AND(Q143="",R143=""),"",IF(AND(Q143&lt;&gt;"",R143=""),"UNRECORDED",IF(AND(Q143="",R143&lt;&gt;""),"ORPHAN_RECORDED",IF(Q143=R143,"MATCH","MISMATCH"))))</f>
        <v/>
      </c>
      <c r="AA143">
        <f>COUNTIF(K143:P143,"Material defect - unpatchable for stated claim")</f>
        <v/>
      </c>
      <c r="AB143">
        <f>COUNTIF(K143:P143,"Material defect - patchable")</f>
        <v/>
      </c>
      <c r="AC143">
        <f>COUNTIF(K143:P143,"Indeterminate")+COUNTIF(K143:P143,"Not reviewed")</f>
        <v/>
      </c>
      <c r="AD143">
        <f>COUNTIF(K143:P143,"Adequate - control-dependent")</f>
        <v/>
      </c>
      <c r="AE143">
        <f>IF(COUNTA(A143:P143)+COUNTA(AJ143)=0,"",IF(AM143&lt;&gt;"OK","UNRECOGNISED_ADMIN_DISPOSITION",IF(AND(AJ143&lt;&gt;"",AJ143&lt;&gt;"None"),IF(OR(LEN(TRIM(A143))=0,LEN(TRIM(B143))=0,LEN(TRIM(C143))=0,LEN(TRIM(F143))=0),"ADMIN_INCOMPLETE","ADMIN_DISPOSITION"),IF(OR(LEN(TRIM(A143))=0,LEN(TRIM(B143))=0,LEN(TRIM(C143))=0,LEN(TRIM(D143))=0,LEN(TRIM(E143))=0,LEN(TRIM(F143))=0,LEN(TRIM(G143))=0,LEN(TRIM(H143))=0,LEN(TRIM(I143))=0,LEN(TRIM(J143))=0,LEN(TRIM(K143))=0,LEN(TRIM(L143))=0,LEN(TRIM(M143))=0,LEN(TRIM(N143))=0,LEN(TRIM(O143))=0,LEN(TRIM(P143))=0),"ADMIN_INCOMPLETE",IF(H143&lt;&gt;"Yes","ADMIN_INVALID",IF(I143="Not feasible","BURDEN_NOT_FEASIBLE",IF(AI143&lt;&gt;"OK","UNRECOGNISED_VALUE","CLEAR")))))))</f>
        <v/>
      </c>
      <c r="AF143">
        <f>IF(AND(Q143="",R143=""),"",IF(IF(Q143&lt;&gt;"",Q143,R143)="Stage-A admissible - scoped","stage_a_admissible_scoped",IF(IF(Q143&lt;&gt;"",Q143,R143)="Stage-A admissible - scoped, control-dependent","stage_a_admissible_scoped_control_dependent",IF(IF(Q143&lt;&gt;"",Q143,R143)="Stage-A non-admissible - patchable","stage_a_non_admissible_patchable",IF(IF(Q143&lt;&gt;"",Q143,R143)="Stage-A non-admissible - unpatchable for stated claim","stage_a_non_admissible_unpatchable_for_stated_claim",IF(IF(Q143&lt;&gt;"",Q143,R143)="Indeterminate - insufficient evidence","indeterminate_insufficient_evidence",IF(IF(Q143&lt;&gt;"",Q143,R143)="Protocol refusal to evaluate","protocol_refusal_to_evaluate",IF(IF(Q143&lt;&gt;"",Q143,R143)="Out of scope","out_of_scope",IF(IF(Q143&lt;&gt;"",Q143,R143)="Withdrawn","withdrawn",IF(IF(Q143&lt;&gt;"",Q143,R143)="Not reviewed","not_reviewed","unknown_status"))))))))))</f>
        <v/>
      </c>
      <c r="AG143">
        <f>IF(AND(AF143="",T143=""),"",IF(AND(AF143&lt;&gt;"",ISNUMBER(SEARCH("token="&amp;AF143&amp;";",T143)),ISNUMBER(SEARCH(AK143,T143)),ISNUMBER(SEARCH("CL basis="&amp;AL143&amp;";",T143))),"VALID","INVALID_OR_INCOMPLETE"))</f>
        <v/>
      </c>
      <c r="AH143">
        <f>COUNTIF(K143:P143,"Adequate for scope")</f>
        <v/>
      </c>
      <c r="AI143">
        <f>IF(COUNTA(K143:P143)=0,"",IF(AA143+AB143+AC143+AD143+AH143=6,"OK","UNRECOGNISED_VALUE"))</f>
        <v/>
      </c>
      <c r="AJ143" s="303" t="n"/>
      <c r="AK143" s="303">
        <f>IF(A143="","",Vocabulary!$B$5)</f>
        <v/>
      </c>
      <c r="AL143" s="303">
        <f>IF(A143="","",Vocabulary!$B$6)</f>
        <v/>
      </c>
      <c r="AM143" s="303">
        <f>IF(AJ143="","OK",IF(COUNTIF(Vocabulary!$O$5:$O$8,AJ143)=1,"OK","UNRECOGNISED_ADMIN_DISPOSITION"))</f>
        <v/>
      </c>
    </row>
    <row r="144">
      <c r="Q144">
        <f>IF(AE144="","",IF(AE144="ADMIN_DISPOSITION",AJ144,IF(OR(AE144="ADMIN_INCOMPLETE",AE144="ADMIN_INVALID",AE144="BURDEN_NOT_FEASIBLE",AE144="UNRECOGNISED_VALUE",AE144="UNRECOGNISED_ADMIN_DISPOSITION"),"Protocol refusal to evaluate",IF(AA144&gt;0,"Stage-A non-admissible - unpatchable for stated claim",IF(AB144&gt;0,"Stage-A non-admissible - patchable",IF(OR(J144="Yes",I144="Indeterminate",AC144&gt;0),"Indeterminate - insufficient evidence",IF(AND(AH144=6,AD144=0),"Stage-A admissible - scoped",IF(AND(AH144+AD144=6,AD144&gt;0),"Stage-A admissible - scoped, control-dependent","Protocol refusal to evaluate"))))))))</f>
        <v/>
      </c>
      <c r="S144">
        <f>IF(AND(Q144="",R144=""),"",IF(AND(Q144&lt;&gt;"",R144=""),"UNRECORDED",IF(AND(Q144="",R144&lt;&gt;""),"ORPHAN_RECORDED",IF(Q144=R144,"MATCH","MISMATCH"))))</f>
        <v/>
      </c>
      <c r="AA144">
        <f>COUNTIF(K144:P144,"Material defect - unpatchable for stated claim")</f>
        <v/>
      </c>
      <c r="AB144">
        <f>COUNTIF(K144:P144,"Material defect - patchable")</f>
        <v/>
      </c>
      <c r="AC144">
        <f>COUNTIF(K144:P144,"Indeterminate")+COUNTIF(K144:P144,"Not reviewed")</f>
        <v/>
      </c>
      <c r="AD144">
        <f>COUNTIF(K144:P144,"Adequate - control-dependent")</f>
        <v/>
      </c>
      <c r="AE144">
        <f>IF(COUNTA(A144:P144)+COUNTA(AJ144)=0,"",IF(AM144&lt;&gt;"OK","UNRECOGNISED_ADMIN_DISPOSITION",IF(AND(AJ144&lt;&gt;"",AJ144&lt;&gt;"None"),IF(OR(LEN(TRIM(A144))=0,LEN(TRIM(B144))=0,LEN(TRIM(C144))=0,LEN(TRIM(F144))=0),"ADMIN_INCOMPLETE","ADMIN_DISPOSITION"),IF(OR(LEN(TRIM(A144))=0,LEN(TRIM(B144))=0,LEN(TRIM(C144))=0,LEN(TRIM(D144))=0,LEN(TRIM(E144))=0,LEN(TRIM(F144))=0,LEN(TRIM(G144))=0,LEN(TRIM(H144))=0,LEN(TRIM(I144))=0,LEN(TRIM(J144))=0,LEN(TRIM(K144))=0,LEN(TRIM(L144))=0,LEN(TRIM(M144))=0,LEN(TRIM(N144))=0,LEN(TRIM(O144))=0,LEN(TRIM(P144))=0),"ADMIN_INCOMPLETE",IF(H144&lt;&gt;"Yes","ADMIN_INVALID",IF(I144="Not feasible","BURDEN_NOT_FEASIBLE",IF(AI144&lt;&gt;"OK","UNRECOGNISED_VALUE","CLEAR")))))))</f>
        <v/>
      </c>
      <c r="AF144">
        <f>IF(AND(Q144="",R144=""),"",IF(IF(Q144&lt;&gt;"",Q144,R144)="Stage-A admissible - scoped","stage_a_admissible_scoped",IF(IF(Q144&lt;&gt;"",Q144,R144)="Stage-A admissible - scoped, control-dependent","stage_a_admissible_scoped_control_dependent",IF(IF(Q144&lt;&gt;"",Q144,R144)="Stage-A non-admissible - patchable","stage_a_non_admissible_patchable",IF(IF(Q144&lt;&gt;"",Q144,R144)="Stage-A non-admissible - unpatchable for stated claim","stage_a_non_admissible_unpatchable_for_stated_claim",IF(IF(Q144&lt;&gt;"",Q144,R144)="Indeterminate - insufficient evidence","indeterminate_insufficient_evidence",IF(IF(Q144&lt;&gt;"",Q144,R144)="Protocol refusal to evaluate","protocol_refusal_to_evaluate",IF(IF(Q144&lt;&gt;"",Q144,R144)="Out of scope","out_of_scope",IF(IF(Q144&lt;&gt;"",Q144,R144)="Withdrawn","withdrawn",IF(IF(Q144&lt;&gt;"",Q144,R144)="Not reviewed","not_reviewed","unknown_status"))))))))))</f>
        <v/>
      </c>
      <c r="AG144">
        <f>IF(AND(AF144="",T144=""),"",IF(AND(AF144&lt;&gt;"",ISNUMBER(SEARCH("token="&amp;AF144&amp;";",T144)),ISNUMBER(SEARCH(AK144,T144)),ISNUMBER(SEARCH("CL basis="&amp;AL144&amp;";",T144))),"VALID","INVALID_OR_INCOMPLETE"))</f>
        <v/>
      </c>
      <c r="AH144">
        <f>COUNTIF(K144:P144,"Adequate for scope")</f>
        <v/>
      </c>
      <c r="AI144">
        <f>IF(COUNTA(K144:P144)=0,"",IF(AA144+AB144+AC144+AD144+AH144=6,"OK","UNRECOGNISED_VALUE"))</f>
        <v/>
      </c>
      <c r="AJ144" s="303" t="n"/>
      <c r="AK144" s="303">
        <f>IF(A144="","",Vocabulary!$B$5)</f>
        <v/>
      </c>
      <c r="AL144" s="303">
        <f>IF(A144="","",Vocabulary!$B$6)</f>
        <v/>
      </c>
      <c r="AM144" s="303">
        <f>IF(AJ144="","OK",IF(COUNTIF(Vocabulary!$O$5:$O$8,AJ144)=1,"OK","UNRECOGNISED_ADMIN_DISPOSITION"))</f>
        <v/>
      </c>
    </row>
    <row r="145">
      <c r="Q145">
        <f>IF(AE145="","",IF(AE145="ADMIN_DISPOSITION",AJ145,IF(OR(AE145="ADMIN_INCOMPLETE",AE145="ADMIN_INVALID",AE145="BURDEN_NOT_FEASIBLE",AE145="UNRECOGNISED_VALUE",AE145="UNRECOGNISED_ADMIN_DISPOSITION"),"Protocol refusal to evaluate",IF(AA145&gt;0,"Stage-A non-admissible - unpatchable for stated claim",IF(AB145&gt;0,"Stage-A non-admissible - patchable",IF(OR(J145="Yes",I145="Indeterminate",AC145&gt;0),"Indeterminate - insufficient evidence",IF(AND(AH145=6,AD145=0),"Stage-A admissible - scoped",IF(AND(AH145+AD145=6,AD145&gt;0),"Stage-A admissible - scoped, control-dependent","Protocol refusal to evaluate"))))))))</f>
        <v/>
      </c>
      <c r="S145">
        <f>IF(AND(Q145="",R145=""),"",IF(AND(Q145&lt;&gt;"",R145=""),"UNRECORDED",IF(AND(Q145="",R145&lt;&gt;""),"ORPHAN_RECORDED",IF(Q145=R145,"MATCH","MISMATCH"))))</f>
        <v/>
      </c>
      <c r="AA145">
        <f>COUNTIF(K145:P145,"Material defect - unpatchable for stated claim")</f>
        <v/>
      </c>
      <c r="AB145">
        <f>COUNTIF(K145:P145,"Material defect - patchable")</f>
        <v/>
      </c>
      <c r="AC145">
        <f>COUNTIF(K145:P145,"Indeterminate")+COUNTIF(K145:P145,"Not reviewed")</f>
        <v/>
      </c>
      <c r="AD145">
        <f>COUNTIF(K145:P145,"Adequate - control-dependent")</f>
        <v/>
      </c>
      <c r="AE145">
        <f>IF(COUNTA(A145:P145)+COUNTA(AJ145)=0,"",IF(AM145&lt;&gt;"OK","UNRECOGNISED_ADMIN_DISPOSITION",IF(AND(AJ145&lt;&gt;"",AJ145&lt;&gt;"None"),IF(OR(LEN(TRIM(A145))=0,LEN(TRIM(B145))=0,LEN(TRIM(C145))=0,LEN(TRIM(F145))=0),"ADMIN_INCOMPLETE","ADMIN_DISPOSITION"),IF(OR(LEN(TRIM(A145))=0,LEN(TRIM(B145))=0,LEN(TRIM(C145))=0,LEN(TRIM(D145))=0,LEN(TRIM(E145))=0,LEN(TRIM(F145))=0,LEN(TRIM(G145))=0,LEN(TRIM(H145))=0,LEN(TRIM(I145))=0,LEN(TRIM(J145))=0,LEN(TRIM(K145))=0,LEN(TRIM(L145))=0,LEN(TRIM(M145))=0,LEN(TRIM(N145))=0,LEN(TRIM(O145))=0,LEN(TRIM(P145))=0),"ADMIN_INCOMPLETE",IF(H145&lt;&gt;"Yes","ADMIN_INVALID",IF(I145="Not feasible","BURDEN_NOT_FEASIBLE",IF(AI145&lt;&gt;"OK","UNRECOGNISED_VALUE","CLEAR")))))))</f>
        <v/>
      </c>
      <c r="AF145">
        <f>IF(AND(Q145="",R145=""),"",IF(IF(Q145&lt;&gt;"",Q145,R145)="Stage-A admissible - scoped","stage_a_admissible_scoped",IF(IF(Q145&lt;&gt;"",Q145,R145)="Stage-A admissible - scoped, control-dependent","stage_a_admissible_scoped_control_dependent",IF(IF(Q145&lt;&gt;"",Q145,R145)="Stage-A non-admissible - patchable","stage_a_non_admissible_patchable",IF(IF(Q145&lt;&gt;"",Q145,R145)="Stage-A non-admissible - unpatchable for stated claim","stage_a_non_admissible_unpatchable_for_stated_claim",IF(IF(Q145&lt;&gt;"",Q145,R145)="Indeterminate - insufficient evidence","indeterminate_insufficient_evidence",IF(IF(Q145&lt;&gt;"",Q145,R145)="Protocol refusal to evaluate","protocol_refusal_to_evaluate",IF(IF(Q145&lt;&gt;"",Q145,R145)="Out of scope","out_of_scope",IF(IF(Q145&lt;&gt;"",Q145,R145)="Withdrawn","withdrawn",IF(IF(Q145&lt;&gt;"",Q145,R145)="Not reviewed","not_reviewed","unknown_status"))))))))))</f>
        <v/>
      </c>
      <c r="AG145">
        <f>IF(AND(AF145="",T145=""),"",IF(AND(AF145&lt;&gt;"",ISNUMBER(SEARCH("token="&amp;AF145&amp;";",T145)),ISNUMBER(SEARCH(AK145,T145)),ISNUMBER(SEARCH("CL basis="&amp;AL145&amp;";",T145))),"VALID","INVALID_OR_INCOMPLETE"))</f>
        <v/>
      </c>
      <c r="AH145">
        <f>COUNTIF(K145:P145,"Adequate for scope")</f>
        <v/>
      </c>
      <c r="AI145">
        <f>IF(COUNTA(K145:P145)=0,"",IF(AA145+AB145+AC145+AD145+AH145=6,"OK","UNRECOGNISED_VALUE"))</f>
        <v/>
      </c>
      <c r="AJ145" s="303" t="n"/>
      <c r="AK145" s="303">
        <f>IF(A145="","",Vocabulary!$B$5)</f>
        <v/>
      </c>
      <c r="AL145" s="303">
        <f>IF(A145="","",Vocabulary!$B$6)</f>
        <v/>
      </c>
      <c r="AM145" s="303">
        <f>IF(AJ145="","OK",IF(COUNTIF(Vocabulary!$O$5:$O$8,AJ145)=1,"OK","UNRECOGNISED_ADMIN_DISPOSITION"))</f>
        <v/>
      </c>
    </row>
    <row r="146">
      <c r="Q146">
        <f>IF(AE146="","",IF(AE146="ADMIN_DISPOSITION",AJ146,IF(OR(AE146="ADMIN_INCOMPLETE",AE146="ADMIN_INVALID",AE146="BURDEN_NOT_FEASIBLE",AE146="UNRECOGNISED_VALUE",AE146="UNRECOGNISED_ADMIN_DISPOSITION"),"Protocol refusal to evaluate",IF(AA146&gt;0,"Stage-A non-admissible - unpatchable for stated claim",IF(AB146&gt;0,"Stage-A non-admissible - patchable",IF(OR(J146="Yes",I146="Indeterminate",AC146&gt;0),"Indeterminate - insufficient evidence",IF(AND(AH146=6,AD146=0),"Stage-A admissible - scoped",IF(AND(AH146+AD146=6,AD146&gt;0),"Stage-A admissible - scoped, control-dependent","Protocol refusal to evaluate"))))))))</f>
        <v/>
      </c>
      <c r="S146">
        <f>IF(AND(Q146="",R146=""),"",IF(AND(Q146&lt;&gt;"",R146=""),"UNRECORDED",IF(AND(Q146="",R146&lt;&gt;""),"ORPHAN_RECORDED",IF(Q146=R146,"MATCH","MISMATCH"))))</f>
        <v/>
      </c>
      <c r="AA146">
        <f>COUNTIF(K146:P146,"Material defect - unpatchable for stated claim")</f>
        <v/>
      </c>
      <c r="AB146">
        <f>COUNTIF(K146:P146,"Material defect - patchable")</f>
        <v/>
      </c>
      <c r="AC146">
        <f>COUNTIF(K146:P146,"Indeterminate")+COUNTIF(K146:P146,"Not reviewed")</f>
        <v/>
      </c>
      <c r="AD146">
        <f>COUNTIF(K146:P146,"Adequate - control-dependent")</f>
        <v/>
      </c>
      <c r="AE146">
        <f>IF(COUNTA(A146:P146)+COUNTA(AJ146)=0,"",IF(AM146&lt;&gt;"OK","UNRECOGNISED_ADMIN_DISPOSITION",IF(AND(AJ146&lt;&gt;"",AJ146&lt;&gt;"None"),IF(OR(LEN(TRIM(A146))=0,LEN(TRIM(B146))=0,LEN(TRIM(C146))=0,LEN(TRIM(F146))=0),"ADMIN_INCOMPLETE","ADMIN_DISPOSITION"),IF(OR(LEN(TRIM(A146))=0,LEN(TRIM(B146))=0,LEN(TRIM(C146))=0,LEN(TRIM(D146))=0,LEN(TRIM(E146))=0,LEN(TRIM(F146))=0,LEN(TRIM(G146))=0,LEN(TRIM(H146))=0,LEN(TRIM(I146))=0,LEN(TRIM(J146))=0,LEN(TRIM(K146))=0,LEN(TRIM(L146))=0,LEN(TRIM(M146))=0,LEN(TRIM(N146))=0,LEN(TRIM(O146))=0,LEN(TRIM(P146))=0),"ADMIN_INCOMPLETE",IF(H146&lt;&gt;"Yes","ADMIN_INVALID",IF(I146="Not feasible","BURDEN_NOT_FEASIBLE",IF(AI146&lt;&gt;"OK","UNRECOGNISED_VALUE","CLEAR")))))))</f>
        <v/>
      </c>
      <c r="AF146">
        <f>IF(AND(Q146="",R146=""),"",IF(IF(Q146&lt;&gt;"",Q146,R146)="Stage-A admissible - scoped","stage_a_admissible_scoped",IF(IF(Q146&lt;&gt;"",Q146,R146)="Stage-A admissible - scoped, control-dependent","stage_a_admissible_scoped_control_dependent",IF(IF(Q146&lt;&gt;"",Q146,R146)="Stage-A non-admissible - patchable","stage_a_non_admissible_patchable",IF(IF(Q146&lt;&gt;"",Q146,R146)="Stage-A non-admissible - unpatchable for stated claim","stage_a_non_admissible_unpatchable_for_stated_claim",IF(IF(Q146&lt;&gt;"",Q146,R146)="Indeterminate - insufficient evidence","indeterminate_insufficient_evidence",IF(IF(Q146&lt;&gt;"",Q146,R146)="Protocol refusal to evaluate","protocol_refusal_to_evaluate",IF(IF(Q146&lt;&gt;"",Q146,R146)="Out of scope","out_of_scope",IF(IF(Q146&lt;&gt;"",Q146,R146)="Withdrawn","withdrawn",IF(IF(Q146&lt;&gt;"",Q146,R146)="Not reviewed","not_reviewed","unknown_status"))))))))))</f>
        <v/>
      </c>
      <c r="AG146">
        <f>IF(AND(AF146="",T146=""),"",IF(AND(AF146&lt;&gt;"",ISNUMBER(SEARCH("token="&amp;AF146&amp;";",T146)),ISNUMBER(SEARCH(AK146,T146)),ISNUMBER(SEARCH("CL basis="&amp;AL146&amp;";",T146))),"VALID","INVALID_OR_INCOMPLETE"))</f>
        <v/>
      </c>
      <c r="AH146">
        <f>COUNTIF(K146:P146,"Adequate for scope")</f>
        <v/>
      </c>
      <c r="AI146">
        <f>IF(COUNTA(K146:P146)=0,"",IF(AA146+AB146+AC146+AD146+AH146=6,"OK","UNRECOGNISED_VALUE"))</f>
        <v/>
      </c>
      <c r="AJ146" s="303" t="n"/>
      <c r="AK146" s="303">
        <f>IF(A146="","",Vocabulary!$B$5)</f>
        <v/>
      </c>
      <c r="AL146" s="303">
        <f>IF(A146="","",Vocabulary!$B$6)</f>
        <v/>
      </c>
      <c r="AM146" s="303">
        <f>IF(AJ146="","OK",IF(COUNTIF(Vocabulary!$O$5:$O$8,AJ146)=1,"OK","UNRECOGNISED_ADMIN_DISPOSITION"))</f>
        <v/>
      </c>
    </row>
    <row r="147">
      <c r="Q147">
        <f>IF(AE147="","",IF(AE147="ADMIN_DISPOSITION",AJ147,IF(OR(AE147="ADMIN_INCOMPLETE",AE147="ADMIN_INVALID",AE147="BURDEN_NOT_FEASIBLE",AE147="UNRECOGNISED_VALUE",AE147="UNRECOGNISED_ADMIN_DISPOSITION"),"Protocol refusal to evaluate",IF(AA147&gt;0,"Stage-A non-admissible - unpatchable for stated claim",IF(AB147&gt;0,"Stage-A non-admissible - patchable",IF(OR(J147="Yes",I147="Indeterminate",AC147&gt;0),"Indeterminate - insufficient evidence",IF(AND(AH147=6,AD147=0),"Stage-A admissible - scoped",IF(AND(AH147+AD147=6,AD147&gt;0),"Stage-A admissible - scoped, control-dependent","Protocol refusal to evaluate"))))))))</f>
        <v/>
      </c>
      <c r="S147">
        <f>IF(AND(Q147="",R147=""),"",IF(AND(Q147&lt;&gt;"",R147=""),"UNRECORDED",IF(AND(Q147="",R147&lt;&gt;""),"ORPHAN_RECORDED",IF(Q147=R147,"MATCH","MISMATCH"))))</f>
        <v/>
      </c>
      <c r="AA147">
        <f>COUNTIF(K147:P147,"Material defect - unpatchable for stated claim")</f>
        <v/>
      </c>
      <c r="AB147">
        <f>COUNTIF(K147:P147,"Material defect - patchable")</f>
        <v/>
      </c>
      <c r="AC147">
        <f>COUNTIF(K147:P147,"Indeterminate")+COUNTIF(K147:P147,"Not reviewed")</f>
        <v/>
      </c>
      <c r="AD147">
        <f>COUNTIF(K147:P147,"Adequate - control-dependent")</f>
        <v/>
      </c>
      <c r="AE147">
        <f>IF(COUNTA(A147:P147)+COUNTA(AJ147)=0,"",IF(AM147&lt;&gt;"OK","UNRECOGNISED_ADMIN_DISPOSITION",IF(AND(AJ147&lt;&gt;"",AJ147&lt;&gt;"None"),IF(OR(LEN(TRIM(A147))=0,LEN(TRIM(B147))=0,LEN(TRIM(C147))=0,LEN(TRIM(F147))=0),"ADMIN_INCOMPLETE","ADMIN_DISPOSITION"),IF(OR(LEN(TRIM(A147))=0,LEN(TRIM(B147))=0,LEN(TRIM(C147))=0,LEN(TRIM(D147))=0,LEN(TRIM(E147))=0,LEN(TRIM(F147))=0,LEN(TRIM(G147))=0,LEN(TRIM(H147))=0,LEN(TRIM(I147))=0,LEN(TRIM(J147))=0,LEN(TRIM(K147))=0,LEN(TRIM(L147))=0,LEN(TRIM(M147))=0,LEN(TRIM(N147))=0,LEN(TRIM(O147))=0,LEN(TRIM(P147))=0),"ADMIN_INCOMPLETE",IF(H147&lt;&gt;"Yes","ADMIN_INVALID",IF(I147="Not feasible","BURDEN_NOT_FEASIBLE",IF(AI147&lt;&gt;"OK","UNRECOGNISED_VALUE","CLEAR")))))))</f>
        <v/>
      </c>
      <c r="AF147">
        <f>IF(AND(Q147="",R147=""),"",IF(IF(Q147&lt;&gt;"",Q147,R147)="Stage-A admissible - scoped","stage_a_admissible_scoped",IF(IF(Q147&lt;&gt;"",Q147,R147)="Stage-A admissible - scoped, control-dependent","stage_a_admissible_scoped_control_dependent",IF(IF(Q147&lt;&gt;"",Q147,R147)="Stage-A non-admissible - patchable","stage_a_non_admissible_patchable",IF(IF(Q147&lt;&gt;"",Q147,R147)="Stage-A non-admissible - unpatchable for stated claim","stage_a_non_admissible_unpatchable_for_stated_claim",IF(IF(Q147&lt;&gt;"",Q147,R147)="Indeterminate - insufficient evidence","indeterminate_insufficient_evidence",IF(IF(Q147&lt;&gt;"",Q147,R147)="Protocol refusal to evaluate","protocol_refusal_to_evaluate",IF(IF(Q147&lt;&gt;"",Q147,R147)="Out of scope","out_of_scope",IF(IF(Q147&lt;&gt;"",Q147,R147)="Withdrawn","withdrawn",IF(IF(Q147&lt;&gt;"",Q147,R147)="Not reviewed","not_reviewed","unknown_status"))))))))))</f>
        <v/>
      </c>
      <c r="AG147">
        <f>IF(AND(AF147="",T147=""),"",IF(AND(AF147&lt;&gt;"",ISNUMBER(SEARCH("token="&amp;AF147&amp;";",T147)),ISNUMBER(SEARCH(AK147,T147)),ISNUMBER(SEARCH("CL basis="&amp;AL147&amp;";",T147))),"VALID","INVALID_OR_INCOMPLETE"))</f>
        <v/>
      </c>
      <c r="AH147">
        <f>COUNTIF(K147:P147,"Adequate for scope")</f>
        <v/>
      </c>
      <c r="AI147">
        <f>IF(COUNTA(K147:P147)=0,"",IF(AA147+AB147+AC147+AD147+AH147=6,"OK","UNRECOGNISED_VALUE"))</f>
        <v/>
      </c>
      <c r="AJ147" s="303" t="n"/>
      <c r="AK147" s="303">
        <f>IF(A147="","",Vocabulary!$B$5)</f>
        <v/>
      </c>
      <c r="AL147" s="303">
        <f>IF(A147="","",Vocabulary!$B$6)</f>
        <v/>
      </c>
      <c r="AM147" s="303">
        <f>IF(AJ147="","OK",IF(COUNTIF(Vocabulary!$O$5:$O$8,AJ147)=1,"OK","UNRECOGNISED_ADMIN_DISPOSITION"))</f>
        <v/>
      </c>
    </row>
    <row r="148">
      <c r="Q148">
        <f>IF(AE148="","",IF(AE148="ADMIN_DISPOSITION",AJ148,IF(OR(AE148="ADMIN_INCOMPLETE",AE148="ADMIN_INVALID",AE148="BURDEN_NOT_FEASIBLE",AE148="UNRECOGNISED_VALUE",AE148="UNRECOGNISED_ADMIN_DISPOSITION"),"Protocol refusal to evaluate",IF(AA148&gt;0,"Stage-A non-admissible - unpatchable for stated claim",IF(AB148&gt;0,"Stage-A non-admissible - patchable",IF(OR(J148="Yes",I148="Indeterminate",AC148&gt;0),"Indeterminate - insufficient evidence",IF(AND(AH148=6,AD148=0),"Stage-A admissible - scoped",IF(AND(AH148+AD148=6,AD148&gt;0),"Stage-A admissible - scoped, control-dependent","Protocol refusal to evaluate"))))))))</f>
        <v/>
      </c>
      <c r="S148">
        <f>IF(AND(Q148="",R148=""),"",IF(AND(Q148&lt;&gt;"",R148=""),"UNRECORDED",IF(AND(Q148="",R148&lt;&gt;""),"ORPHAN_RECORDED",IF(Q148=R148,"MATCH","MISMATCH"))))</f>
        <v/>
      </c>
      <c r="AA148">
        <f>COUNTIF(K148:P148,"Material defect - unpatchable for stated claim")</f>
        <v/>
      </c>
      <c r="AB148">
        <f>COUNTIF(K148:P148,"Material defect - patchable")</f>
        <v/>
      </c>
      <c r="AC148">
        <f>COUNTIF(K148:P148,"Indeterminate")+COUNTIF(K148:P148,"Not reviewed")</f>
        <v/>
      </c>
      <c r="AD148">
        <f>COUNTIF(K148:P148,"Adequate - control-dependent")</f>
        <v/>
      </c>
      <c r="AE148">
        <f>IF(COUNTA(A148:P148)+COUNTA(AJ148)=0,"",IF(AM148&lt;&gt;"OK","UNRECOGNISED_ADMIN_DISPOSITION",IF(AND(AJ148&lt;&gt;"",AJ148&lt;&gt;"None"),IF(OR(LEN(TRIM(A148))=0,LEN(TRIM(B148))=0,LEN(TRIM(C148))=0,LEN(TRIM(F148))=0),"ADMIN_INCOMPLETE","ADMIN_DISPOSITION"),IF(OR(LEN(TRIM(A148))=0,LEN(TRIM(B148))=0,LEN(TRIM(C148))=0,LEN(TRIM(D148))=0,LEN(TRIM(E148))=0,LEN(TRIM(F148))=0,LEN(TRIM(G148))=0,LEN(TRIM(H148))=0,LEN(TRIM(I148))=0,LEN(TRIM(J148))=0,LEN(TRIM(K148))=0,LEN(TRIM(L148))=0,LEN(TRIM(M148))=0,LEN(TRIM(N148))=0,LEN(TRIM(O148))=0,LEN(TRIM(P148))=0),"ADMIN_INCOMPLETE",IF(H148&lt;&gt;"Yes","ADMIN_INVALID",IF(I148="Not feasible","BURDEN_NOT_FEASIBLE",IF(AI148&lt;&gt;"OK","UNRECOGNISED_VALUE","CLEAR")))))))</f>
        <v/>
      </c>
      <c r="AF148">
        <f>IF(AND(Q148="",R148=""),"",IF(IF(Q148&lt;&gt;"",Q148,R148)="Stage-A admissible - scoped","stage_a_admissible_scoped",IF(IF(Q148&lt;&gt;"",Q148,R148)="Stage-A admissible - scoped, control-dependent","stage_a_admissible_scoped_control_dependent",IF(IF(Q148&lt;&gt;"",Q148,R148)="Stage-A non-admissible - patchable","stage_a_non_admissible_patchable",IF(IF(Q148&lt;&gt;"",Q148,R148)="Stage-A non-admissible - unpatchable for stated claim","stage_a_non_admissible_unpatchable_for_stated_claim",IF(IF(Q148&lt;&gt;"",Q148,R148)="Indeterminate - insufficient evidence","indeterminate_insufficient_evidence",IF(IF(Q148&lt;&gt;"",Q148,R148)="Protocol refusal to evaluate","protocol_refusal_to_evaluate",IF(IF(Q148&lt;&gt;"",Q148,R148)="Out of scope","out_of_scope",IF(IF(Q148&lt;&gt;"",Q148,R148)="Withdrawn","withdrawn",IF(IF(Q148&lt;&gt;"",Q148,R148)="Not reviewed","not_reviewed","unknown_status"))))))))))</f>
        <v/>
      </c>
      <c r="AG148">
        <f>IF(AND(AF148="",T148=""),"",IF(AND(AF148&lt;&gt;"",ISNUMBER(SEARCH("token="&amp;AF148&amp;";",T148)),ISNUMBER(SEARCH(AK148,T148)),ISNUMBER(SEARCH("CL basis="&amp;AL148&amp;";",T148))),"VALID","INVALID_OR_INCOMPLETE"))</f>
        <v/>
      </c>
      <c r="AH148">
        <f>COUNTIF(K148:P148,"Adequate for scope")</f>
        <v/>
      </c>
      <c r="AI148">
        <f>IF(COUNTA(K148:P148)=0,"",IF(AA148+AB148+AC148+AD148+AH148=6,"OK","UNRECOGNISED_VALUE"))</f>
        <v/>
      </c>
      <c r="AJ148" s="303" t="n"/>
      <c r="AK148" s="303">
        <f>IF(A148="","",Vocabulary!$B$5)</f>
        <v/>
      </c>
      <c r="AL148" s="303">
        <f>IF(A148="","",Vocabulary!$B$6)</f>
        <v/>
      </c>
      <c r="AM148" s="303">
        <f>IF(AJ148="","OK",IF(COUNTIF(Vocabulary!$O$5:$O$8,AJ148)=1,"OK","UNRECOGNISED_ADMIN_DISPOSITION"))</f>
        <v/>
      </c>
    </row>
    <row r="149">
      <c r="Q149">
        <f>IF(AE149="","",IF(AE149="ADMIN_DISPOSITION",AJ149,IF(OR(AE149="ADMIN_INCOMPLETE",AE149="ADMIN_INVALID",AE149="BURDEN_NOT_FEASIBLE",AE149="UNRECOGNISED_VALUE",AE149="UNRECOGNISED_ADMIN_DISPOSITION"),"Protocol refusal to evaluate",IF(AA149&gt;0,"Stage-A non-admissible - unpatchable for stated claim",IF(AB149&gt;0,"Stage-A non-admissible - patchable",IF(OR(J149="Yes",I149="Indeterminate",AC149&gt;0),"Indeterminate - insufficient evidence",IF(AND(AH149=6,AD149=0),"Stage-A admissible - scoped",IF(AND(AH149+AD149=6,AD149&gt;0),"Stage-A admissible - scoped, control-dependent","Protocol refusal to evaluate"))))))))</f>
        <v/>
      </c>
      <c r="S149">
        <f>IF(AND(Q149="",R149=""),"",IF(AND(Q149&lt;&gt;"",R149=""),"UNRECORDED",IF(AND(Q149="",R149&lt;&gt;""),"ORPHAN_RECORDED",IF(Q149=R149,"MATCH","MISMATCH"))))</f>
        <v/>
      </c>
      <c r="AA149">
        <f>COUNTIF(K149:P149,"Material defect - unpatchable for stated claim")</f>
        <v/>
      </c>
      <c r="AB149">
        <f>COUNTIF(K149:P149,"Material defect - patchable")</f>
        <v/>
      </c>
      <c r="AC149">
        <f>COUNTIF(K149:P149,"Indeterminate")+COUNTIF(K149:P149,"Not reviewed")</f>
        <v/>
      </c>
      <c r="AD149">
        <f>COUNTIF(K149:P149,"Adequate - control-dependent")</f>
        <v/>
      </c>
      <c r="AE149">
        <f>IF(COUNTA(A149:P149)+COUNTA(AJ149)=0,"",IF(AM149&lt;&gt;"OK","UNRECOGNISED_ADMIN_DISPOSITION",IF(AND(AJ149&lt;&gt;"",AJ149&lt;&gt;"None"),IF(OR(LEN(TRIM(A149))=0,LEN(TRIM(B149))=0,LEN(TRIM(C149))=0,LEN(TRIM(F149))=0),"ADMIN_INCOMPLETE","ADMIN_DISPOSITION"),IF(OR(LEN(TRIM(A149))=0,LEN(TRIM(B149))=0,LEN(TRIM(C149))=0,LEN(TRIM(D149))=0,LEN(TRIM(E149))=0,LEN(TRIM(F149))=0,LEN(TRIM(G149))=0,LEN(TRIM(H149))=0,LEN(TRIM(I149))=0,LEN(TRIM(J149))=0,LEN(TRIM(K149))=0,LEN(TRIM(L149))=0,LEN(TRIM(M149))=0,LEN(TRIM(N149))=0,LEN(TRIM(O149))=0,LEN(TRIM(P149))=0),"ADMIN_INCOMPLETE",IF(H149&lt;&gt;"Yes","ADMIN_INVALID",IF(I149="Not feasible","BURDEN_NOT_FEASIBLE",IF(AI149&lt;&gt;"OK","UNRECOGNISED_VALUE","CLEAR")))))))</f>
        <v/>
      </c>
      <c r="AF149">
        <f>IF(AND(Q149="",R149=""),"",IF(IF(Q149&lt;&gt;"",Q149,R149)="Stage-A admissible - scoped","stage_a_admissible_scoped",IF(IF(Q149&lt;&gt;"",Q149,R149)="Stage-A admissible - scoped, control-dependent","stage_a_admissible_scoped_control_dependent",IF(IF(Q149&lt;&gt;"",Q149,R149)="Stage-A non-admissible - patchable","stage_a_non_admissible_patchable",IF(IF(Q149&lt;&gt;"",Q149,R149)="Stage-A non-admissible - unpatchable for stated claim","stage_a_non_admissible_unpatchable_for_stated_claim",IF(IF(Q149&lt;&gt;"",Q149,R149)="Indeterminate - insufficient evidence","indeterminate_insufficient_evidence",IF(IF(Q149&lt;&gt;"",Q149,R149)="Protocol refusal to evaluate","protocol_refusal_to_evaluate",IF(IF(Q149&lt;&gt;"",Q149,R149)="Out of scope","out_of_scope",IF(IF(Q149&lt;&gt;"",Q149,R149)="Withdrawn","withdrawn",IF(IF(Q149&lt;&gt;"",Q149,R149)="Not reviewed","not_reviewed","unknown_status"))))))))))</f>
        <v/>
      </c>
      <c r="AG149">
        <f>IF(AND(AF149="",T149=""),"",IF(AND(AF149&lt;&gt;"",ISNUMBER(SEARCH("token="&amp;AF149&amp;";",T149)),ISNUMBER(SEARCH(AK149,T149)),ISNUMBER(SEARCH("CL basis="&amp;AL149&amp;";",T149))),"VALID","INVALID_OR_INCOMPLETE"))</f>
        <v/>
      </c>
      <c r="AH149">
        <f>COUNTIF(K149:P149,"Adequate for scope")</f>
        <v/>
      </c>
      <c r="AI149">
        <f>IF(COUNTA(K149:P149)=0,"",IF(AA149+AB149+AC149+AD149+AH149=6,"OK","UNRECOGNISED_VALUE"))</f>
        <v/>
      </c>
      <c r="AJ149" s="303" t="n"/>
      <c r="AK149" s="303">
        <f>IF(A149="","",Vocabulary!$B$5)</f>
        <v/>
      </c>
      <c r="AL149" s="303">
        <f>IF(A149="","",Vocabulary!$B$6)</f>
        <v/>
      </c>
      <c r="AM149" s="303">
        <f>IF(AJ149="","OK",IF(COUNTIF(Vocabulary!$O$5:$O$8,AJ149)=1,"OK","UNRECOGNISED_ADMIN_DISPOSITION"))</f>
        <v/>
      </c>
    </row>
    <row r="150">
      <c r="Q150">
        <f>IF(AE150="","",IF(AE150="ADMIN_DISPOSITION",AJ150,IF(OR(AE150="ADMIN_INCOMPLETE",AE150="ADMIN_INVALID",AE150="BURDEN_NOT_FEASIBLE",AE150="UNRECOGNISED_VALUE",AE150="UNRECOGNISED_ADMIN_DISPOSITION"),"Protocol refusal to evaluate",IF(AA150&gt;0,"Stage-A non-admissible - unpatchable for stated claim",IF(AB150&gt;0,"Stage-A non-admissible - patchable",IF(OR(J150="Yes",I150="Indeterminate",AC150&gt;0),"Indeterminate - insufficient evidence",IF(AND(AH150=6,AD150=0),"Stage-A admissible - scoped",IF(AND(AH150+AD150=6,AD150&gt;0),"Stage-A admissible - scoped, control-dependent","Protocol refusal to evaluate"))))))))</f>
        <v/>
      </c>
      <c r="S150">
        <f>IF(AND(Q150="",R150=""),"",IF(AND(Q150&lt;&gt;"",R150=""),"UNRECORDED",IF(AND(Q150="",R150&lt;&gt;""),"ORPHAN_RECORDED",IF(Q150=R150,"MATCH","MISMATCH"))))</f>
        <v/>
      </c>
      <c r="AA150">
        <f>COUNTIF(K150:P150,"Material defect - unpatchable for stated claim")</f>
        <v/>
      </c>
      <c r="AB150">
        <f>COUNTIF(K150:P150,"Material defect - patchable")</f>
        <v/>
      </c>
      <c r="AC150">
        <f>COUNTIF(K150:P150,"Indeterminate")+COUNTIF(K150:P150,"Not reviewed")</f>
        <v/>
      </c>
      <c r="AD150">
        <f>COUNTIF(K150:P150,"Adequate - control-dependent")</f>
        <v/>
      </c>
      <c r="AE150">
        <f>IF(COUNTA(A150:P150)+COUNTA(AJ150)=0,"",IF(AM150&lt;&gt;"OK","UNRECOGNISED_ADMIN_DISPOSITION",IF(AND(AJ150&lt;&gt;"",AJ150&lt;&gt;"None"),IF(OR(LEN(TRIM(A150))=0,LEN(TRIM(B150))=0,LEN(TRIM(C150))=0,LEN(TRIM(F150))=0),"ADMIN_INCOMPLETE","ADMIN_DISPOSITION"),IF(OR(LEN(TRIM(A150))=0,LEN(TRIM(B150))=0,LEN(TRIM(C150))=0,LEN(TRIM(D150))=0,LEN(TRIM(E150))=0,LEN(TRIM(F150))=0,LEN(TRIM(G150))=0,LEN(TRIM(H150))=0,LEN(TRIM(I150))=0,LEN(TRIM(J150))=0,LEN(TRIM(K150))=0,LEN(TRIM(L150))=0,LEN(TRIM(M150))=0,LEN(TRIM(N150))=0,LEN(TRIM(O150))=0,LEN(TRIM(P150))=0),"ADMIN_INCOMPLETE",IF(H150&lt;&gt;"Yes","ADMIN_INVALID",IF(I150="Not feasible","BURDEN_NOT_FEASIBLE",IF(AI150&lt;&gt;"OK","UNRECOGNISED_VALUE","CLEAR")))))))</f>
        <v/>
      </c>
      <c r="AF150">
        <f>IF(AND(Q150="",R150=""),"",IF(IF(Q150&lt;&gt;"",Q150,R150)="Stage-A admissible - scoped","stage_a_admissible_scoped",IF(IF(Q150&lt;&gt;"",Q150,R150)="Stage-A admissible - scoped, control-dependent","stage_a_admissible_scoped_control_dependent",IF(IF(Q150&lt;&gt;"",Q150,R150)="Stage-A non-admissible - patchable","stage_a_non_admissible_patchable",IF(IF(Q150&lt;&gt;"",Q150,R150)="Stage-A non-admissible - unpatchable for stated claim","stage_a_non_admissible_unpatchable_for_stated_claim",IF(IF(Q150&lt;&gt;"",Q150,R150)="Indeterminate - insufficient evidence","indeterminate_insufficient_evidence",IF(IF(Q150&lt;&gt;"",Q150,R150)="Protocol refusal to evaluate","protocol_refusal_to_evaluate",IF(IF(Q150&lt;&gt;"",Q150,R150)="Out of scope","out_of_scope",IF(IF(Q150&lt;&gt;"",Q150,R150)="Withdrawn","withdrawn",IF(IF(Q150&lt;&gt;"",Q150,R150)="Not reviewed","not_reviewed","unknown_status"))))))))))</f>
        <v/>
      </c>
      <c r="AG150">
        <f>IF(AND(AF150="",T150=""),"",IF(AND(AF150&lt;&gt;"",ISNUMBER(SEARCH("token="&amp;AF150&amp;";",T150)),ISNUMBER(SEARCH(AK150,T150)),ISNUMBER(SEARCH("CL basis="&amp;AL150&amp;";",T150))),"VALID","INVALID_OR_INCOMPLETE"))</f>
        <v/>
      </c>
      <c r="AH150">
        <f>COUNTIF(K150:P150,"Adequate for scope")</f>
        <v/>
      </c>
      <c r="AI150">
        <f>IF(COUNTA(K150:P150)=0,"",IF(AA150+AB150+AC150+AD150+AH150=6,"OK","UNRECOGNISED_VALUE"))</f>
        <v/>
      </c>
      <c r="AJ150" s="303" t="n"/>
      <c r="AK150" s="303">
        <f>IF(A150="","",Vocabulary!$B$5)</f>
        <v/>
      </c>
      <c r="AL150" s="303">
        <f>IF(A150="","",Vocabulary!$B$6)</f>
        <v/>
      </c>
      <c r="AM150" s="303">
        <f>IF(AJ150="","OK",IF(COUNTIF(Vocabulary!$O$5:$O$8,AJ150)=1,"OK","UNRECOGNISED_ADMIN_DISPOSITION"))</f>
        <v/>
      </c>
    </row>
    <row r="151">
      <c r="Q151">
        <f>IF(AE151="","",IF(AE151="ADMIN_DISPOSITION",AJ151,IF(OR(AE151="ADMIN_INCOMPLETE",AE151="ADMIN_INVALID",AE151="BURDEN_NOT_FEASIBLE",AE151="UNRECOGNISED_VALUE",AE151="UNRECOGNISED_ADMIN_DISPOSITION"),"Protocol refusal to evaluate",IF(AA151&gt;0,"Stage-A non-admissible - unpatchable for stated claim",IF(AB151&gt;0,"Stage-A non-admissible - patchable",IF(OR(J151="Yes",I151="Indeterminate",AC151&gt;0),"Indeterminate - insufficient evidence",IF(AND(AH151=6,AD151=0),"Stage-A admissible - scoped",IF(AND(AH151+AD151=6,AD151&gt;0),"Stage-A admissible - scoped, control-dependent","Protocol refusal to evaluate"))))))))</f>
        <v/>
      </c>
      <c r="S151">
        <f>IF(AND(Q151="",R151=""),"",IF(AND(Q151&lt;&gt;"",R151=""),"UNRECORDED",IF(AND(Q151="",R151&lt;&gt;""),"ORPHAN_RECORDED",IF(Q151=R151,"MATCH","MISMATCH"))))</f>
        <v/>
      </c>
      <c r="AA151">
        <f>COUNTIF(K151:P151,"Material defect - unpatchable for stated claim")</f>
        <v/>
      </c>
      <c r="AB151">
        <f>COUNTIF(K151:P151,"Material defect - patchable")</f>
        <v/>
      </c>
      <c r="AC151">
        <f>COUNTIF(K151:P151,"Indeterminate")+COUNTIF(K151:P151,"Not reviewed")</f>
        <v/>
      </c>
      <c r="AD151">
        <f>COUNTIF(K151:P151,"Adequate - control-dependent")</f>
        <v/>
      </c>
      <c r="AE151">
        <f>IF(COUNTA(A151:P151)+COUNTA(AJ151)=0,"",IF(AM151&lt;&gt;"OK","UNRECOGNISED_ADMIN_DISPOSITION",IF(AND(AJ151&lt;&gt;"",AJ151&lt;&gt;"None"),IF(OR(LEN(TRIM(A151))=0,LEN(TRIM(B151))=0,LEN(TRIM(C151))=0,LEN(TRIM(F151))=0),"ADMIN_INCOMPLETE","ADMIN_DISPOSITION"),IF(OR(LEN(TRIM(A151))=0,LEN(TRIM(B151))=0,LEN(TRIM(C151))=0,LEN(TRIM(D151))=0,LEN(TRIM(E151))=0,LEN(TRIM(F151))=0,LEN(TRIM(G151))=0,LEN(TRIM(H151))=0,LEN(TRIM(I151))=0,LEN(TRIM(J151))=0,LEN(TRIM(K151))=0,LEN(TRIM(L151))=0,LEN(TRIM(M151))=0,LEN(TRIM(N151))=0,LEN(TRIM(O151))=0,LEN(TRIM(P151))=0),"ADMIN_INCOMPLETE",IF(H151&lt;&gt;"Yes","ADMIN_INVALID",IF(I151="Not feasible","BURDEN_NOT_FEASIBLE",IF(AI151&lt;&gt;"OK","UNRECOGNISED_VALUE","CLEAR")))))))</f>
        <v/>
      </c>
      <c r="AF151">
        <f>IF(AND(Q151="",R151=""),"",IF(IF(Q151&lt;&gt;"",Q151,R151)="Stage-A admissible - scoped","stage_a_admissible_scoped",IF(IF(Q151&lt;&gt;"",Q151,R151)="Stage-A admissible - scoped, control-dependent","stage_a_admissible_scoped_control_dependent",IF(IF(Q151&lt;&gt;"",Q151,R151)="Stage-A non-admissible - patchable","stage_a_non_admissible_patchable",IF(IF(Q151&lt;&gt;"",Q151,R151)="Stage-A non-admissible - unpatchable for stated claim","stage_a_non_admissible_unpatchable_for_stated_claim",IF(IF(Q151&lt;&gt;"",Q151,R151)="Indeterminate - insufficient evidence","indeterminate_insufficient_evidence",IF(IF(Q151&lt;&gt;"",Q151,R151)="Protocol refusal to evaluate","protocol_refusal_to_evaluate",IF(IF(Q151&lt;&gt;"",Q151,R151)="Out of scope","out_of_scope",IF(IF(Q151&lt;&gt;"",Q151,R151)="Withdrawn","withdrawn",IF(IF(Q151&lt;&gt;"",Q151,R151)="Not reviewed","not_reviewed","unknown_status"))))))))))</f>
        <v/>
      </c>
      <c r="AG151">
        <f>IF(AND(AF151="",T151=""),"",IF(AND(AF151&lt;&gt;"",ISNUMBER(SEARCH("token="&amp;AF151&amp;";",T151)),ISNUMBER(SEARCH(AK151,T151)),ISNUMBER(SEARCH("CL basis="&amp;AL151&amp;";",T151))),"VALID","INVALID_OR_INCOMPLETE"))</f>
        <v/>
      </c>
      <c r="AH151">
        <f>COUNTIF(K151:P151,"Adequate for scope")</f>
        <v/>
      </c>
      <c r="AI151">
        <f>IF(COUNTA(K151:P151)=0,"",IF(AA151+AB151+AC151+AD151+AH151=6,"OK","UNRECOGNISED_VALUE"))</f>
        <v/>
      </c>
      <c r="AJ151" s="303" t="n"/>
      <c r="AK151" s="303">
        <f>IF(A151="","",Vocabulary!$B$5)</f>
        <v/>
      </c>
      <c r="AL151" s="303">
        <f>IF(A151="","",Vocabulary!$B$6)</f>
        <v/>
      </c>
      <c r="AM151" s="303">
        <f>IF(AJ151="","OK",IF(COUNTIF(Vocabulary!$O$5:$O$8,AJ151)=1,"OK","UNRECOGNISED_ADMIN_DISPOSITION"))</f>
        <v/>
      </c>
    </row>
    <row r="152">
      <c r="Q152">
        <f>IF(AE152="","",IF(AE152="ADMIN_DISPOSITION",AJ152,IF(OR(AE152="ADMIN_INCOMPLETE",AE152="ADMIN_INVALID",AE152="BURDEN_NOT_FEASIBLE",AE152="UNRECOGNISED_VALUE",AE152="UNRECOGNISED_ADMIN_DISPOSITION"),"Protocol refusal to evaluate",IF(AA152&gt;0,"Stage-A non-admissible - unpatchable for stated claim",IF(AB152&gt;0,"Stage-A non-admissible - patchable",IF(OR(J152="Yes",I152="Indeterminate",AC152&gt;0),"Indeterminate - insufficient evidence",IF(AND(AH152=6,AD152=0),"Stage-A admissible - scoped",IF(AND(AH152+AD152=6,AD152&gt;0),"Stage-A admissible - scoped, control-dependent","Protocol refusal to evaluate"))))))))</f>
        <v/>
      </c>
      <c r="S152">
        <f>IF(AND(Q152="",R152=""),"",IF(AND(Q152&lt;&gt;"",R152=""),"UNRECORDED",IF(AND(Q152="",R152&lt;&gt;""),"ORPHAN_RECORDED",IF(Q152=R152,"MATCH","MISMATCH"))))</f>
        <v/>
      </c>
      <c r="AA152">
        <f>COUNTIF(K152:P152,"Material defect - unpatchable for stated claim")</f>
        <v/>
      </c>
      <c r="AB152">
        <f>COUNTIF(K152:P152,"Material defect - patchable")</f>
        <v/>
      </c>
      <c r="AC152">
        <f>COUNTIF(K152:P152,"Indeterminate")+COUNTIF(K152:P152,"Not reviewed")</f>
        <v/>
      </c>
      <c r="AD152">
        <f>COUNTIF(K152:P152,"Adequate - control-dependent")</f>
        <v/>
      </c>
      <c r="AE152">
        <f>IF(COUNTA(A152:P152)+COUNTA(AJ152)=0,"",IF(AM152&lt;&gt;"OK","UNRECOGNISED_ADMIN_DISPOSITION",IF(AND(AJ152&lt;&gt;"",AJ152&lt;&gt;"None"),IF(OR(LEN(TRIM(A152))=0,LEN(TRIM(B152))=0,LEN(TRIM(C152))=0,LEN(TRIM(F152))=0),"ADMIN_INCOMPLETE","ADMIN_DISPOSITION"),IF(OR(LEN(TRIM(A152))=0,LEN(TRIM(B152))=0,LEN(TRIM(C152))=0,LEN(TRIM(D152))=0,LEN(TRIM(E152))=0,LEN(TRIM(F152))=0,LEN(TRIM(G152))=0,LEN(TRIM(H152))=0,LEN(TRIM(I152))=0,LEN(TRIM(J152))=0,LEN(TRIM(K152))=0,LEN(TRIM(L152))=0,LEN(TRIM(M152))=0,LEN(TRIM(N152))=0,LEN(TRIM(O152))=0,LEN(TRIM(P152))=0),"ADMIN_INCOMPLETE",IF(H152&lt;&gt;"Yes","ADMIN_INVALID",IF(I152="Not feasible","BURDEN_NOT_FEASIBLE",IF(AI152&lt;&gt;"OK","UNRECOGNISED_VALUE","CLEAR")))))))</f>
        <v/>
      </c>
      <c r="AF152">
        <f>IF(AND(Q152="",R152=""),"",IF(IF(Q152&lt;&gt;"",Q152,R152)="Stage-A admissible - scoped","stage_a_admissible_scoped",IF(IF(Q152&lt;&gt;"",Q152,R152)="Stage-A admissible - scoped, control-dependent","stage_a_admissible_scoped_control_dependent",IF(IF(Q152&lt;&gt;"",Q152,R152)="Stage-A non-admissible - patchable","stage_a_non_admissible_patchable",IF(IF(Q152&lt;&gt;"",Q152,R152)="Stage-A non-admissible - unpatchable for stated claim","stage_a_non_admissible_unpatchable_for_stated_claim",IF(IF(Q152&lt;&gt;"",Q152,R152)="Indeterminate - insufficient evidence","indeterminate_insufficient_evidence",IF(IF(Q152&lt;&gt;"",Q152,R152)="Protocol refusal to evaluate","protocol_refusal_to_evaluate",IF(IF(Q152&lt;&gt;"",Q152,R152)="Out of scope","out_of_scope",IF(IF(Q152&lt;&gt;"",Q152,R152)="Withdrawn","withdrawn",IF(IF(Q152&lt;&gt;"",Q152,R152)="Not reviewed","not_reviewed","unknown_status"))))))))))</f>
        <v/>
      </c>
      <c r="AG152">
        <f>IF(AND(AF152="",T152=""),"",IF(AND(AF152&lt;&gt;"",ISNUMBER(SEARCH("token="&amp;AF152&amp;";",T152)),ISNUMBER(SEARCH(AK152,T152)),ISNUMBER(SEARCH("CL basis="&amp;AL152&amp;";",T152))),"VALID","INVALID_OR_INCOMPLETE"))</f>
        <v/>
      </c>
      <c r="AH152">
        <f>COUNTIF(K152:P152,"Adequate for scope")</f>
        <v/>
      </c>
      <c r="AI152">
        <f>IF(COUNTA(K152:P152)=0,"",IF(AA152+AB152+AC152+AD152+AH152=6,"OK","UNRECOGNISED_VALUE"))</f>
        <v/>
      </c>
      <c r="AJ152" s="303" t="n"/>
      <c r="AK152" s="303">
        <f>IF(A152="","",Vocabulary!$B$5)</f>
        <v/>
      </c>
      <c r="AL152" s="303">
        <f>IF(A152="","",Vocabulary!$B$6)</f>
        <v/>
      </c>
      <c r="AM152" s="303">
        <f>IF(AJ152="","OK",IF(COUNTIF(Vocabulary!$O$5:$O$8,AJ152)=1,"OK","UNRECOGNISED_ADMIN_DISPOSITION"))</f>
        <v/>
      </c>
    </row>
    <row r="153">
      <c r="Q153">
        <f>IF(AE153="","",IF(AE153="ADMIN_DISPOSITION",AJ153,IF(OR(AE153="ADMIN_INCOMPLETE",AE153="ADMIN_INVALID",AE153="BURDEN_NOT_FEASIBLE",AE153="UNRECOGNISED_VALUE",AE153="UNRECOGNISED_ADMIN_DISPOSITION"),"Protocol refusal to evaluate",IF(AA153&gt;0,"Stage-A non-admissible - unpatchable for stated claim",IF(AB153&gt;0,"Stage-A non-admissible - patchable",IF(OR(J153="Yes",I153="Indeterminate",AC153&gt;0),"Indeterminate - insufficient evidence",IF(AND(AH153=6,AD153=0),"Stage-A admissible - scoped",IF(AND(AH153+AD153=6,AD153&gt;0),"Stage-A admissible - scoped, control-dependent","Protocol refusal to evaluate"))))))))</f>
        <v/>
      </c>
      <c r="S153">
        <f>IF(AND(Q153="",R153=""),"",IF(AND(Q153&lt;&gt;"",R153=""),"UNRECORDED",IF(AND(Q153="",R153&lt;&gt;""),"ORPHAN_RECORDED",IF(Q153=R153,"MATCH","MISMATCH"))))</f>
        <v/>
      </c>
      <c r="AA153">
        <f>COUNTIF(K153:P153,"Material defect - unpatchable for stated claim")</f>
        <v/>
      </c>
      <c r="AB153">
        <f>COUNTIF(K153:P153,"Material defect - patchable")</f>
        <v/>
      </c>
      <c r="AC153">
        <f>COUNTIF(K153:P153,"Indeterminate")+COUNTIF(K153:P153,"Not reviewed")</f>
        <v/>
      </c>
      <c r="AD153">
        <f>COUNTIF(K153:P153,"Adequate - control-dependent")</f>
        <v/>
      </c>
      <c r="AE153">
        <f>IF(COUNTA(A153:P153)+COUNTA(AJ153)=0,"",IF(AM153&lt;&gt;"OK","UNRECOGNISED_ADMIN_DISPOSITION",IF(AND(AJ153&lt;&gt;"",AJ153&lt;&gt;"None"),IF(OR(LEN(TRIM(A153))=0,LEN(TRIM(B153))=0,LEN(TRIM(C153))=0,LEN(TRIM(F153))=0),"ADMIN_INCOMPLETE","ADMIN_DISPOSITION"),IF(OR(LEN(TRIM(A153))=0,LEN(TRIM(B153))=0,LEN(TRIM(C153))=0,LEN(TRIM(D153))=0,LEN(TRIM(E153))=0,LEN(TRIM(F153))=0,LEN(TRIM(G153))=0,LEN(TRIM(H153))=0,LEN(TRIM(I153))=0,LEN(TRIM(J153))=0,LEN(TRIM(K153))=0,LEN(TRIM(L153))=0,LEN(TRIM(M153))=0,LEN(TRIM(N153))=0,LEN(TRIM(O153))=0,LEN(TRIM(P153))=0),"ADMIN_INCOMPLETE",IF(H153&lt;&gt;"Yes","ADMIN_INVALID",IF(I153="Not feasible","BURDEN_NOT_FEASIBLE",IF(AI153&lt;&gt;"OK","UNRECOGNISED_VALUE","CLEAR")))))))</f>
        <v/>
      </c>
      <c r="AF153">
        <f>IF(AND(Q153="",R153=""),"",IF(IF(Q153&lt;&gt;"",Q153,R153)="Stage-A admissible - scoped","stage_a_admissible_scoped",IF(IF(Q153&lt;&gt;"",Q153,R153)="Stage-A admissible - scoped, control-dependent","stage_a_admissible_scoped_control_dependent",IF(IF(Q153&lt;&gt;"",Q153,R153)="Stage-A non-admissible - patchable","stage_a_non_admissible_patchable",IF(IF(Q153&lt;&gt;"",Q153,R153)="Stage-A non-admissible - unpatchable for stated claim","stage_a_non_admissible_unpatchable_for_stated_claim",IF(IF(Q153&lt;&gt;"",Q153,R153)="Indeterminate - insufficient evidence","indeterminate_insufficient_evidence",IF(IF(Q153&lt;&gt;"",Q153,R153)="Protocol refusal to evaluate","protocol_refusal_to_evaluate",IF(IF(Q153&lt;&gt;"",Q153,R153)="Out of scope","out_of_scope",IF(IF(Q153&lt;&gt;"",Q153,R153)="Withdrawn","withdrawn",IF(IF(Q153&lt;&gt;"",Q153,R153)="Not reviewed","not_reviewed","unknown_status"))))))))))</f>
        <v/>
      </c>
      <c r="AG153">
        <f>IF(AND(AF153="",T153=""),"",IF(AND(AF153&lt;&gt;"",ISNUMBER(SEARCH("token="&amp;AF153&amp;";",T153)),ISNUMBER(SEARCH(AK153,T153)),ISNUMBER(SEARCH("CL basis="&amp;AL153&amp;";",T153))),"VALID","INVALID_OR_INCOMPLETE"))</f>
        <v/>
      </c>
      <c r="AH153">
        <f>COUNTIF(K153:P153,"Adequate for scope")</f>
        <v/>
      </c>
      <c r="AI153">
        <f>IF(COUNTA(K153:P153)=0,"",IF(AA153+AB153+AC153+AD153+AH153=6,"OK","UNRECOGNISED_VALUE"))</f>
        <v/>
      </c>
      <c r="AJ153" s="303" t="n"/>
      <c r="AK153" s="303">
        <f>IF(A153="","",Vocabulary!$B$5)</f>
        <v/>
      </c>
      <c r="AL153" s="303">
        <f>IF(A153="","",Vocabulary!$B$6)</f>
        <v/>
      </c>
      <c r="AM153" s="303">
        <f>IF(AJ153="","OK",IF(COUNTIF(Vocabulary!$O$5:$O$8,AJ153)=1,"OK","UNRECOGNISED_ADMIN_DISPOSITION"))</f>
        <v/>
      </c>
    </row>
    <row r="154">
      <c r="Q154">
        <f>IF(AE154="","",IF(AE154="ADMIN_DISPOSITION",AJ154,IF(OR(AE154="ADMIN_INCOMPLETE",AE154="ADMIN_INVALID",AE154="BURDEN_NOT_FEASIBLE",AE154="UNRECOGNISED_VALUE",AE154="UNRECOGNISED_ADMIN_DISPOSITION"),"Protocol refusal to evaluate",IF(AA154&gt;0,"Stage-A non-admissible - unpatchable for stated claim",IF(AB154&gt;0,"Stage-A non-admissible - patchable",IF(OR(J154="Yes",I154="Indeterminate",AC154&gt;0),"Indeterminate - insufficient evidence",IF(AND(AH154=6,AD154=0),"Stage-A admissible - scoped",IF(AND(AH154+AD154=6,AD154&gt;0),"Stage-A admissible - scoped, control-dependent","Protocol refusal to evaluate"))))))))</f>
        <v/>
      </c>
      <c r="S154">
        <f>IF(AND(Q154="",R154=""),"",IF(AND(Q154&lt;&gt;"",R154=""),"UNRECORDED",IF(AND(Q154="",R154&lt;&gt;""),"ORPHAN_RECORDED",IF(Q154=R154,"MATCH","MISMATCH"))))</f>
        <v/>
      </c>
      <c r="AA154">
        <f>COUNTIF(K154:P154,"Material defect - unpatchable for stated claim")</f>
        <v/>
      </c>
      <c r="AB154">
        <f>COUNTIF(K154:P154,"Material defect - patchable")</f>
        <v/>
      </c>
      <c r="AC154">
        <f>COUNTIF(K154:P154,"Indeterminate")+COUNTIF(K154:P154,"Not reviewed")</f>
        <v/>
      </c>
      <c r="AD154">
        <f>COUNTIF(K154:P154,"Adequate - control-dependent")</f>
        <v/>
      </c>
      <c r="AE154">
        <f>IF(COUNTA(A154:P154)+COUNTA(AJ154)=0,"",IF(AM154&lt;&gt;"OK","UNRECOGNISED_ADMIN_DISPOSITION",IF(AND(AJ154&lt;&gt;"",AJ154&lt;&gt;"None"),IF(OR(LEN(TRIM(A154))=0,LEN(TRIM(B154))=0,LEN(TRIM(C154))=0,LEN(TRIM(F154))=0),"ADMIN_INCOMPLETE","ADMIN_DISPOSITION"),IF(OR(LEN(TRIM(A154))=0,LEN(TRIM(B154))=0,LEN(TRIM(C154))=0,LEN(TRIM(D154))=0,LEN(TRIM(E154))=0,LEN(TRIM(F154))=0,LEN(TRIM(G154))=0,LEN(TRIM(H154))=0,LEN(TRIM(I154))=0,LEN(TRIM(J154))=0,LEN(TRIM(K154))=0,LEN(TRIM(L154))=0,LEN(TRIM(M154))=0,LEN(TRIM(N154))=0,LEN(TRIM(O154))=0,LEN(TRIM(P154))=0),"ADMIN_INCOMPLETE",IF(H154&lt;&gt;"Yes","ADMIN_INVALID",IF(I154="Not feasible","BURDEN_NOT_FEASIBLE",IF(AI154&lt;&gt;"OK","UNRECOGNISED_VALUE","CLEAR")))))))</f>
        <v/>
      </c>
      <c r="AF154">
        <f>IF(AND(Q154="",R154=""),"",IF(IF(Q154&lt;&gt;"",Q154,R154)="Stage-A admissible - scoped","stage_a_admissible_scoped",IF(IF(Q154&lt;&gt;"",Q154,R154)="Stage-A admissible - scoped, control-dependent","stage_a_admissible_scoped_control_dependent",IF(IF(Q154&lt;&gt;"",Q154,R154)="Stage-A non-admissible - patchable","stage_a_non_admissible_patchable",IF(IF(Q154&lt;&gt;"",Q154,R154)="Stage-A non-admissible - unpatchable for stated claim","stage_a_non_admissible_unpatchable_for_stated_claim",IF(IF(Q154&lt;&gt;"",Q154,R154)="Indeterminate - insufficient evidence","indeterminate_insufficient_evidence",IF(IF(Q154&lt;&gt;"",Q154,R154)="Protocol refusal to evaluate","protocol_refusal_to_evaluate",IF(IF(Q154&lt;&gt;"",Q154,R154)="Out of scope","out_of_scope",IF(IF(Q154&lt;&gt;"",Q154,R154)="Withdrawn","withdrawn",IF(IF(Q154&lt;&gt;"",Q154,R154)="Not reviewed","not_reviewed","unknown_status"))))))))))</f>
        <v/>
      </c>
      <c r="AG154">
        <f>IF(AND(AF154="",T154=""),"",IF(AND(AF154&lt;&gt;"",ISNUMBER(SEARCH("token="&amp;AF154&amp;";",T154)),ISNUMBER(SEARCH(AK154,T154)),ISNUMBER(SEARCH("CL basis="&amp;AL154&amp;";",T154))),"VALID","INVALID_OR_INCOMPLETE"))</f>
        <v/>
      </c>
      <c r="AH154">
        <f>COUNTIF(K154:P154,"Adequate for scope")</f>
        <v/>
      </c>
      <c r="AI154">
        <f>IF(COUNTA(K154:P154)=0,"",IF(AA154+AB154+AC154+AD154+AH154=6,"OK","UNRECOGNISED_VALUE"))</f>
        <v/>
      </c>
      <c r="AJ154" s="303" t="n"/>
      <c r="AK154" s="303">
        <f>IF(A154="","",Vocabulary!$B$5)</f>
        <v/>
      </c>
      <c r="AL154" s="303">
        <f>IF(A154="","",Vocabulary!$B$6)</f>
        <v/>
      </c>
      <c r="AM154" s="303">
        <f>IF(AJ154="","OK",IF(COUNTIF(Vocabulary!$O$5:$O$8,AJ154)=1,"OK","UNRECOGNISED_ADMIN_DISPOSITION"))</f>
        <v/>
      </c>
    </row>
    <row r="155">
      <c r="Q155">
        <f>IF(AE155="","",IF(AE155="ADMIN_DISPOSITION",AJ155,IF(OR(AE155="ADMIN_INCOMPLETE",AE155="ADMIN_INVALID",AE155="BURDEN_NOT_FEASIBLE",AE155="UNRECOGNISED_VALUE",AE155="UNRECOGNISED_ADMIN_DISPOSITION"),"Protocol refusal to evaluate",IF(AA155&gt;0,"Stage-A non-admissible - unpatchable for stated claim",IF(AB155&gt;0,"Stage-A non-admissible - patchable",IF(OR(J155="Yes",I155="Indeterminate",AC155&gt;0),"Indeterminate - insufficient evidence",IF(AND(AH155=6,AD155=0),"Stage-A admissible - scoped",IF(AND(AH155+AD155=6,AD155&gt;0),"Stage-A admissible - scoped, control-dependent","Protocol refusal to evaluate"))))))))</f>
        <v/>
      </c>
      <c r="S155">
        <f>IF(AND(Q155="",R155=""),"",IF(AND(Q155&lt;&gt;"",R155=""),"UNRECORDED",IF(AND(Q155="",R155&lt;&gt;""),"ORPHAN_RECORDED",IF(Q155=R155,"MATCH","MISMATCH"))))</f>
        <v/>
      </c>
      <c r="AA155">
        <f>COUNTIF(K155:P155,"Material defect - unpatchable for stated claim")</f>
        <v/>
      </c>
      <c r="AB155">
        <f>COUNTIF(K155:P155,"Material defect - patchable")</f>
        <v/>
      </c>
      <c r="AC155">
        <f>COUNTIF(K155:P155,"Indeterminate")+COUNTIF(K155:P155,"Not reviewed")</f>
        <v/>
      </c>
      <c r="AD155">
        <f>COUNTIF(K155:P155,"Adequate - control-dependent")</f>
        <v/>
      </c>
      <c r="AE155">
        <f>IF(COUNTA(A155:P155)+COUNTA(AJ155)=0,"",IF(AM155&lt;&gt;"OK","UNRECOGNISED_ADMIN_DISPOSITION",IF(AND(AJ155&lt;&gt;"",AJ155&lt;&gt;"None"),IF(OR(LEN(TRIM(A155))=0,LEN(TRIM(B155))=0,LEN(TRIM(C155))=0,LEN(TRIM(F155))=0),"ADMIN_INCOMPLETE","ADMIN_DISPOSITION"),IF(OR(LEN(TRIM(A155))=0,LEN(TRIM(B155))=0,LEN(TRIM(C155))=0,LEN(TRIM(D155))=0,LEN(TRIM(E155))=0,LEN(TRIM(F155))=0,LEN(TRIM(G155))=0,LEN(TRIM(H155))=0,LEN(TRIM(I155))=0,LEN(TRIM(J155))=0,LEN(TRIM(K155))=0,LEN(TRIM(L155))=0,LEN(TRIM(M155))=0,LEN(TRIM(N155))=0,LEN(TRIM(O155))=0,LEN(TRIM(P155))=0),"ADMIN_INCOMPLETE",IF(H155&lt;&gt;"Yes","ADMIN_INVALID",IF(I155="Not feasible","BURDEN_NOT_FEASIBLE",IF(AI155&lt;&gt;"OK","UNRECOGNISED_VALUE","CLEAR")))))))</f>
        <v/>
      </c>
      <c r="AF155">
        <f>IF(AND(Q155="",R155=""),"",IF(IF(Q155&lt;&gt;"",Q155,R155)="Stage-A admissible - scoped","stage_a_admissible_scoped",IF(IF(Q155&lt;&gt;"",Q155,R155)="Stage-A admissible - scoped, control-dependent","stage_a_admissible_scoped_control_dependent",IF(IF(Q155&lt;&gt;"",Q155,R155)="Stage-A non-admissible - patchable","stage_a_non_admissible_patchable",IF(IF(Q155&lt;&gt;"",Q155,R155)="Stage-A non-admissible - unpatchable for stated claim","stage_a_non_admissible_unpatchable_for_stated_claim",IF(IF(Q155&lt;&gt;"",Q155,R155)="Indeterminate - insufficient evidence","indeterminate_insufficient_evidence",IF(IF(Q155&lt;&gt;"",Q155,R155)="Protocol refusal to evaluate","protocol_refusal_to_evaluate",IF(IF(Q155&lt;&gt;"",Q155,R155)="Out of scope","out_of_scope",IF(IF(Q155&lt;&gt;"",Q155,R155)="Withdrawn","withdrawn",IF(IF(Q155&lt;&gt;"",Q155,R155)="Not reviewed","not_reviewed","unknown_status"))))))))))</f>
        <v/>
      </c>
      <c r="AG155">
        <f>IF(AND(AF155="",T155=""),"",IF(AND(AF155&lt;&gt;"",ISNUMBER(SEARCH("token="&amp;AF155&amp;";",T155)),ISNUMBER(SEARCH(AK155,T155)),ISNUMBER(SEARCH("CL basis="&amp;AL155&amp;";",T155))),"VALID","INVALID_OR_INCOMPLETE"))</f>
        <v/>
      </c>
      <c r="AH155">
        <f>COUNTIF(K155:P155,"Adequate for scope")</f>
        <v/>
      </c>
      <c r="AI155">
        <f>IF(COUNTA(K155:P155)=0,"",IF(AA155+AB155+AC155+AD155+AH155=6,"OK","UNRECOGNISED_VALUE"))</f>
        <v/>
      </c>
      <c r="AJ155" s="303" t="n"/>
      <c r="AK155" s="303">
        <f>IF(A155="","",Vocabulary!$B$5)</f>
        <v/>
      </c>
      <c r="AL155" s="303">
        <f>IF(A155="","",Vocabulary!$B$6)</f>
        <v/>
      </c>
      <c r="AM155" s="303">
        <f>IF(AJ155="","OK",IF(COUNTIF(Vocabulary!$O$5:$O$8,AJ155)=1,"OK","UNRECOGNISED_ADMIN_DISPOSITION"))</f>
        <v/>
      </c>
    </row>
    <row r="156">
      <c r="Q156">
        <f>IF(AE156="","",IF(AE156="ADMIN_DISPOSITION",AJ156,IF(OR(AE156="ADMIN_INCOMPLETE",AE156="ADMIN_INVALID",AE156="BURDEN_NOT_FEASIBLE",AE156="UNRECOGNISED_VALUE",AE156="UNRECOGNISED_ADMIN_DISPOSITION"),"Protocol refusal to evaluate",IF(AA156&gt;0,"Stage-A non-admissible - unpatchable for stated claim",IF(AB156&gt;0,"Stage-A non-admissible - patchable",IF(OR(J156="Yes",I156="Indeterminate",AC156&gt;0),"Indeterminate - insufficient evidence",IF(AND(AH156=6,AD156=0),"Stage-A admissible - scoped",IF(AND(AH156+AD156=6,AD156&gt;0),"Stage-A admissible - scoped, control-dependent","Protocol refusal to evaluate"))))))))</f>
        <v/>
      </c>
      <c r="S156">
        <f>IF(AND(Q156="",R156=""),"",IF(AND(Q156&lt;&gt;"",R156=""),"UNRECORDED",IF(AND(Q156="",R156&lt;&gt;""),"ORPHAN_RECORDED",IF(Q156=R156,"MATCH","MISMATCH"))))</f>
        <v/>
      </c>
      <c r="AA156">
        <f>COUNTIF(K156:P156,"Material defect - unpatchable for stated claim")</f>
        <v/>
      </c>
      <c r="AB156">
        <f>COUNTIF(K156:P156,"Material defect - patchable")</f>
        <v/>
      </c>
      <c r="AC156">
        <f>COUNTIF(K156:P156,"Indeterminate")+COUNTIF(K156:P156,"Not reviewed")</f>
        <v/>
      </c>
      <c r="AD156">
        <f>COUNTIF(K156:P156,"Adequate - control-dependent")</f>
        <v/>
      </c>
      <c r="AE156">
        <f>IF(COUNTA(A156:P156)+COUNTA(AJ156)=0,"",IF(AM156&lt;&gt;"OK","UNRECOGNISED_ADMIN_DISPOSITION",IF(AND(AJ156&lt;&gt;"",AJ156&lt;&gt;"None"),IF(OR(LEN(TRIM(A156))=0,LEN(TRIM(B156))=0,LEN(TRIM(C156))=0,LEN(TRIM(F156))=0),"ADMIN_INCOMPLETE","ADMIN_DISPOSITION"),IF(OR(LEN(TRIM(A156))=0,LEN(TRIM(B156))=0,LEN(TRIM(C156))=0,LEN(TRIM(D156))=0,LEN(TRIM(E156))=0,LEN(TRIM(F156))=0,LEN(TRIM(G156))=0,LEN(TRIM(H156))=0,LEN(TRIM(I156))=0,LEN(TRIM(J156))=0,LEN(TRIM(K156))=0,LEN(TRIM(L156))=0,LEN(TRIM(M156))=0,LEN(TRIM(N156))=0,LEN(TRIM(O156))=0,LEN(TRIM(P156))=0),"ADMIN_INCOMPLETE",IF(H156&lt;&gt;"Yes","ADMIN_INVALID",IF(I156="Not feasible","BURDEN_NOT_FEASIBLE",IF(AI156&lt;&gt;"OK","UNRECOGNISED_VALUE","CLEAR")))))))</f>
        <v/>
      </c>
      <c r="AF156">
        <f>IF(AND(Q156="",R156=""),"",IF(IF(Q156&lt;&gt;"",Q156,R156)="Stage-A admissible - scoped","stage_a_admissible_scoped",IF(IF(Q156&lt;&gt;"",Q156,R156)="Stage-A admissible - scoped, control-dependent","stage_a_admissible_scoped_control_dependent",IF(IF(Q156&lt;&gt;"",Q156,R156)="Stage-A non-admissible - patchable","stage_a_non_admissible_patchable",IF(IF(Q156&lt;&gt;"",Q156,R156)="Stage-A non-admissible - unpatchable for stated claim","stage_a_non_admissible_unpatchable_for_stated_claim",IF(IF(Q156&lt;&gt;"",Q156,R156)="Indeterminate - insufficient evidence","indeterminate_insufficient_evidence",IF(IF(Q156&lt;&gt;"",Q156,R156)="Protocol refusal to evaluate","protocol_refusal_to_evaluate",IF(IF(Q156&lt;&gt;"",Q156,R156)="Out of scope","out_of_scope",IF(IF(Q156&lt;&gt;"",Q156,R156)="Withdrawn","withdrawn",IF(IF(Q156&lt;&gt;"",Q156,R156)="Not reviewed","not_reviewed","unknown_status"))))))))))</f>
        <v/>
      </c>
      <c r="AG156">
        <f>IF(AND(AF156="",T156=""),"",IF(AND(AF156&lt;&gt;"",ISNUMBER(SEARCH("token="&amp;AF156&amp;";",T156)),ISNUMBER(SEARCH(AK156,T156)),ISNUMBER(SEARCH("CL basis="&amp;AL156&amp;";",T156))),"VALID","INVALID_OR_INCOMPLETE"))</f>
        <v/>
      </c>
      <c r="AH156">
        <f>COUNTIF(K156:P156,"Adequate for scope")</f>
        <v/>
      </c>
      <c r="AI156">
        <f>IF(COUNTA(K156:P156)=0,"",IF(AA156+AB156+AC156+AD156+AH156=6,"OK","UNRECOGNISED_VALUE"))</f>
        <v/>
      </c>
      <c r="AJ156" s="303" t="n"/>
      <c r="AK156" s="303">
        <f>IF(A156="","",Vocabulary!$B$5)</f>
        <v/>
      </c>
      <c r="AL156" s="303">
        <f>IF(A156="","",Vocabulary!$B$6)</f>
        <v/>
      </c>
      <c r="AM156" s="303">
        <f>IF(AJ156="","OK",IF(COUNTIF(Vocabulary!$O$5:$O$8,AJ156)=1,"OK","UNRECOGNISED_ADMIN_DISPOSITION"))</f>
        <v/>
      </c>
    </row>
    <row r="157">
      <c r="Q157">
        <f>IF(AE157="","",IF(AE157="ADMIN_DISPOSITION",AJ157,IF(OR(AE157="ADMIN_INCOMPLETE",AE157="ADMIN_INVALID",AE157="BURDEN_NOT_FEASIBLE",AE157="UNRECOGNISED_VALUE",AE157="UNRECOGNISED_ADMIN_DISPOSITION"),"Protocol refusal to evaluate",IF(AA157&gt;0,"Stage-A non-admissible - unpatchable for stated claim",IF(AB157&gt;0,"Stage-A non-admissible - patchable",IF(OR(J157="Yes",I157="Indeterminate",AC157&gt;0),"Indeterminate - insufficient evidence",IF(AND(AH157=6,AD157=0),"Stage-A admissible - scoped",IF(AND(AH157+AD157=6,AD157&gt;0),"Stage-A admissible - scoped, control-dependent","Protocol refusal to evaluate"))))))))</f>
        <v/>
      </c>
      <c r="S157">
        <f>IF(AND(Q157="",R157=""),"",IF(AND(Q157&lt;&gt;"",R157=""),"UNRECORDED",IF(AND(Q157="",R157&lt;&gt;""),"ORPHAN_RECORDED",IF(Q157=R157,"MATCH","MISMATCH"))))</f>
        <v/>
      </c>
      <c r="AA157">
        <f>COUNTIF(K157:P157,"Material defect - unpatchable for stated claim")</f>
        <v/>
      </c>
      <c r="AB157">
        <f>COUNTIF(K157:P157,"Material defect - patchable")</f>
        <v/>
      </c>
      <c r="AC157">
        <f>COUNTIF(K157:P157,"Indeterminate")+COUNTIF(K157:P157,"Not reviewed")</f>
        <v/>
      </c>
      <c r="AD157">
        <f>COUNTIF(K157:P157,"Adequate - control-dependent")</f>
        <v/>
      </c>
      <c r="AE157">
        <f>IF(COUNTA(A157:P157)+COUNTA(AJ157)=0,"",IF(AM157&lt;&gt;"OK","UNRECOGNISED_ADMIN_DISPOSITION",IF(AND(AJ157&lt;&gt;"",AJ157&lt;&gt;"None"),IF(OR(LEN(TRIM(A157))=0,LEN(TRIM(B157))=0,LEN(TRIM(C157))=0,LEN(TRIM(F157))=0),"ADMIN_INCOMPLETE","ADMIN_DISPOSITION"),IF(OR(LEN(TRIM(A157))=0,LEN(TRIM(B157))=0,LEN(TRIM(C157))=0,LEN(TRIM(D157))=0,LEN(TRIM(E157))=0,LEN(TRIM(F157))=0,LEN(TRIM(G157))=0,LEN(TRIM(H157))=0,LEN(TRIM(I157))=0,LEN(TRIM(J157))=0,LEN(TRIM(K157))=0,LEN(TRIM(L157))=0,LEN(TRIM(M157))=0,LEN(TRIM(N157))=0,LEN(TRIM(O157))=0,LEN(TRIM(P157))=0),"ADMIN_INCOMPLETE",IF(H157&lt;&gt;"Yes","ADMIN_INVALID",IF(I157="Not feasible","BURDEN_NOT_FEASIBLE",IF(AI157&lt;&gt;"OK","UNRECOGNISED_VALUE","CLEAR")))))))</f>
        <v/>
      </c>
      <c r="AF157">
        <f>IF(AND(Q157="",R157=""),"",IF(IF(Q157&lt;&gt;"",Q157,R157)="Stage-A admissible - scoped","stage_a_admissible_scoped",IF(IF(Q157&lt;&gt;"",Q157,R157)="Stage-A admissible - scoped, control-dependent","stage_a_admissible_scoped_control_dependent",IF(IF(Q157&lt;&gt;"",Q157,R157)="Stage-A non-admissible - patchable","stage_a_non_admissible_patchable",IF(IF(Q157&lt;&gt;"",Q157,R157)="Stage-A non-admissible - unpatchable for stated claim","stage_a_non_admissible_unpatchable_for_stated_claim",IF(IF(Q157&lt;&gt;"",Q157,R157)="Indeterminate - insufficient evidence","indeterminate_insufficient_evidence",IF(IF(Q157&lt;&gt;"",Q157,R157)="Protocol refusal to evaluate","protocol_refusal_to_evaluate",IF(IF(Q157&lt;&gt;"",Q157,R157)="Out of scope","out_of_scope",IF(IF(Q157&lt;&gt;"",Q157,R157)="Withdrawn","withdrawn",IF(IF(Q157&lt;&gt;"",Q157,R157)="Not reviewed","not_reviewed","unknown_status"))))))))))</f>
        <v/>
      </c>
      <c r="AG157">
        <f>IF(AND(AF157="",T157=""),"",IF(AND(AF157&lt;&gt;"",ISNUMBER(SEARCH("token="&amp;AF157&amp;";",T157)),ISNUMBER(SEARCH(AK157,T157)),ISNUMBER(SEARCH("CL basis="&amp;AL157&amp;";",T157))),"VALID","INVALID_OR_INCOMPLETE"))</f>
        <v/>
      </c>
      <c r="AH157">
        <f>COUNTIF(K157:P157,"Adequate for scope")</f>
        <v/>
      </c>
      <c r="AI157">
        <f>IF(COUNTA(K157:P157)=0,"",IF(AA157+AB157+AC157+AD157+AH157=6,"OK","UNRECOGNISED_VALUE"))</f>
        <v/>
      </c>
      <c r="AJ157" s="303" t="n"/>
      <c r="AK157" s="303">
        <f>IF(A157="","",Vocabulary!$B$5)</f>
        <v/>
      </c>
      <c r="AL157" s="303">
        <f>IF(A157="","",Vocabulary!$B$6)</f>
        <v/>
      </c>
      <c r="AM157" s="303">
        <f>IF(AJ157="","OK",IF(COUNTIF(Vocabulary!$O$5:$O$8,AJ157)=1,"OK","UNRECOGNISED_ADMIN_DISPOSITION"))</f>
        <v/>
      </c>
    </row>
    <row r="158">
      <c r="Q158">
        <f>IF(AE158="","",IF(AE158="ADMIN_DISPOSITION",AJ158,IF(OR(AE158="ADMIN_INCOMPLETE",AE158="ADMIN_INVALID",AE158="BURDEN_NOT_FEASIBLE",AE158="UNRECOGNISED_VALUE",AE158="UNRECOGNISED_ADMIN_DISPOSITION"),"Protocol refusal to evaluate",IF(AA158&gt;0,"Stage-A non-admissible - unpatchable for stated claim",IF(AB158&gt;0,"Stage-A non-admissible - patchable",IF(OR(J158="Yes",I158="Indeterminate",AC158&gt;0),"Indeterminate - insufficient evidence",IF(AND(AH158=6,AD158=0),"Stage-A admissible - scoped",IF(AND(AH158+AD158=6,AD158&gt;0),"Stage-A admissible - scoped, control-dependent","Protocol refusal to evaluate"))))))))</f>
        <v/>
      </c>
      <c r="S158">
        <f>IF(AND(Q158="",R158=""),"",IF(AND(Q158&lt;&gt;"",R158=""),"UNRECORDED",IF(AND(Q158="",R158&lt;&gt;""),"ORPHAN_RECORDED",IF(Q158=R158,"MATCH","MISMATCH"))))</f>
        <v/>
      </c>
      <c r="AA158">
        <f>COUNTIF(K158:P158,"Material defect - unpatchable for stated claim")</f>
        <v/>
      </c>
      <c r="AB158">
        <f>COUNTIF(K158:P158,"Material defect - patchable")</f>
        <v/>
      </c>
      <c r="AC158">
        <f>COUNTIF(K158:P158,"Indeterminate")+COUNTIF(K158:P158,"Not reviewed")</f>
        <v/>
      </c>
      <c r="AD158">
        <f>COUNTIF(K158:P158,"Adequate - control-dependent")</f>
        <v/>
      </c>
      <c r="AE158">
        <f>IF(COUNTA(A158:P158)+COUNTA(AJ158)=0,"",IF(AM158&lt;&gt;"OK","UNRECOGNISED_ADMIN_DISPOSITION",IF(AND(AJ158&lt;&gt;"",AJ158&lt;&gt;"None"),IF(OR(LEN(TRIM(A158))=0,LEN(TRIM(B158))=0,LEN(TRIM(C158))=0,LEN(TRIM(F158))=0),"ADMIN_INCOMPLETE","ADMIN_DISPOSITION"),IF(OR(LEN(TRIM(A158))=0,LEN(TRIM(B158))=0,LEN(TRIM(C158))=0,LEN(TRIM(D158))=0,LEN(TRIM(E158))=0,LEN(TRIM(F158))=0,LEN(TRIM(G158))=0,LEN(TRIM(H158))=0,LEN(TRIM(I158))=0,LEN(TRIM(J158))=0,LEN(TRIM(K158))=0,LEN(TRIM(L158))=0,LEN(TRIM(M158))=0,LEN(TRIM(N158))=0,LEN(TRIM(O158))=0,LEN(TRIM(P158))=0),"ADMIN_INCOMPLETE",IF(H158&lt;&gt;"Yes","ADMIN_INVALID",IF(I158="Not feasible","BURDEN_NOT_FEASIBLE",IF(AI158&lt;&gt;"OK","UNRECOGNISED_VALUE","CLEAR")))))))</f>
        <v/>
      </c>
      <c r="AF158">
        <f>IF(AND(Q158="",R158=""),"",IF(IF(Q158&lt;&gt;"",Q158,R158)="Stage-A admissible - scoped","stage_a_admissible_scoped",IF(IF(Q158&lt;&gt;"",Q158,R158)="Stage-A admissible - scoped, control-dependent","stage_a_admissible_scoped_control_dependent",IF(IF(Q158&lt;&gt;"",Q158,R158)="Stage-A non-admissible - patchable","stage_a_non_admissible_patchable",IF(IF(Q158&lt;&gt;"",Q158,R158)="Stage-A non-admissible - unpatchable for stated claim","stage_a_non_admissible_unpatchable_for_stated_claim",IF(IF(Q158&lt;&gt;"",Q158,R158)="Indeterminate - insufficient evidence","indeterminate_insufficient_evidence",IF(IF(Q158&lt;&gt;"",Q158,R158)="Protocol refusal to evaluate","protocol_refusal_to_evaluate",IF(IF(Q158&lt;&gt;"",Q158,R158)="Out of scope","out_of_scope",IF(IF(Q158&lt;&gt;"",Q158,R158)="Withdrawn","withdrawn",IF(IF(Q158&lt;&gt;"",Q158,R158)="Not reviewed","not_reviewed","unknown_status"))))))))))</f>
        <v/>
      </c>
      <c r="AG158">
        <f>IF(AND(AF158="",T158=""),"",IF(AND(AF158&lt;&gt;"",ISNUMBER(SEARCH("token="&amp;AF158&amp;";",T158)),ISNUMBER(SEARCH(AK158,T158)),ISNUMBER(SEARCH("CL basis="&amp;AL158&amp;";",T158))),"VALID","INVALID_OR_INCOMPLETE"))</f>
        <v/>
      </c>
      <c r="AH158">
        <f>COUNTIF(K158:P158,"Adequate for scope")</f>
        <v/>
      </c>
      <c r="AI158">
        <f>IF(COUNTA(K158:P158)=0,"",IF(AA158+AB158+AC158+AD158+AH158=6,"OK","UNRECOGNISED_VALUE"))</f>
        <v/>
      </c>
      <c r="AJ158" s="303" t="n"/>
      <c r="AK158" s="303">
        <f>IF(A158="","",Vocabulary!$B$5)</f>
        <v/>
      </c>
      <c r="AL158" s="303">
        <f>IF(A158="","",Vocabulary!$B$6)</f>
        <v/>
      </c>
      <c r="AM158" s="303">
        <f>IF(AJ158="","OK",IF(COUNTIF(Vocabulary!$O$5:$O$8,AJ158)=1,"OK","UNRECOGNISED_ADMIN_DISPOSITION"))</f>
        <v/>
      </c>
    </row>
    <row r="159">
      <c r="Q159">
        <f>IF(AE159="","",IF(AE159="ADMIN_DISPOSITION",AJ159,IF(OR(AE159="ADMIN_INCOMPLETE",AE159="ADMIN_INVALID",AE159="BURDEN_NOT_FEASIBLE",AE159="UNRECOGNISED_VALUE",AE159="UNRECOGNISED_ADMIN_DISPOSITION"),"Protocol refusal to evaluate",IF(AA159&gt;0,"Stage-A non-admissible - unpatchable for stated claim",IF(AB159&gt;0,"Stage-A non-admissible - patchable",IF(OR(J159="Yes",I159="Indeterminate",AC159&gt;0),"Indeterminate - insufficient evidence",IF(AND(AH159=6,AD159=0),"Stage-A admissible - scoped",IF(AND(AH159+AD159=6,AD159&gt;0),"Stage-A admissible - scoped, control-dependent","Protocol refusal to evaluate"))))))))</f>
        <v/>
      </c>
      <c r="S159">
        <f>IF(AND(Q159="",R159=""),"",IF(AND(Q159&lt;&gt;"",R159=""),"UNRECORDED",IF(AND(Q159="",R159&lt;&gt;""),"ORPHAN_RECORDED",IF(Q159=R159,"MATCH","MISMATCH"))))</f>
        <v/>
      </c>
      <c r="AA159">
        <f>COUNTIF(K159:P159,"Material defect - unpatchable for stated claim")</f>
        <v/>
      </c>
      <c r="AB159">
        <f>COUNTIF(K159:P159,"Material defect - patchable")</f>
        <v/>
      </c>
      <c r="AC159">
        <f>COUNTIF(K159:P159,"Indeterminate")+COUNTIF(K159:P159,"Not reviewed")</f>
        <v/>
      </c>
      <c r="AD159">
        <f>COUNTIF(K159:P159,"Adequate - control-dependent")</f>
        <v/>
      </c>
      <c r="AE159">
        <f>IF(COUNTA(A159:P159)+COUNTA(AJ159)=0,"",IF(AM159&lt;&gt;"OK","UNRECOGNISED_ADMIN_DISPOSITION",IF(AND(AJ159&lt;&gt;"",AJ159&lt;&gt;"None"),IF(OR(LEN(TRIM(A159))=0,LEN(TRIM(B159))=0,LEN(TRIM(C159))=0,LEN(TRIM(F159))=0),"ADMIN_INCOMPLETE","ADMIN_DISPOSITION"),IF(OR(LEN(TRIM(A159))=0,LEN(TRIM(B159))=0,LEN(TRIM(C159))=0,LEN(TRIM(D159))=0,LEN(TRIM(E159))=0,LEN(TRIM(F159))=0,LEN(TRIM(G159))=0,LEN(TRIM(H159))=0,LEN(TRIM(I159))=0,LEN(TRIM(J159))=0,LEN(TRIM(K159))=0,LEN(TRIM(L159))=0,LEN(TRIM(M159))=0,LEN(TRIM(N159))=0,LEN(TRIM(O159))=0,LEN(TRIM(P159))=0),"ADMIN_INCOMPLETE",IF(H159&lt;&gt;"Yes","ADMIN_INVALID",IF(I159="Not feasible","BURDEN_NOT_FEASIBLE",IF(AI159&lt;&gt;"OK","UNRECOGNISED_VALUE","CLEAR")))))))</f>
        <v/>
      </c>
      <c r="AF159">
        <f>IF(AND(Q159="",R159=""),"",IF(IF(Q159&lt;&gt;"",Q159,R159)="Stage-A admissible - scoped","stage_a_admissible_scoped",IF(IF(Q159&lt;&gt;"",Q159,R159)="Stage-A admissible - scoped, control-dependent","stage_a_admissible_scoped_control_dependent",IF(IF(Q159&lt;&gt;"",Q159,R159)="Stage-A non-admissible - patchable","stage_a_non_admissible_patchable",IF(IF(Q159&lt;&gt;"",Q159,R159)="Stage-A non-admissible - unpatchable for stated claim","stage_a_non_admissible_unpatchable_for_stated_claim",IF(IF(Q159&lt;&gt;"",Q159,R159)="Indeterminate - insufficient evidence","indeterminate_insufficient_evidence",IF(IF(Q159&lt;&gt;"",Q159,R159)="Protocol refusal to evaluate","protocol_refusal_to_evaluate",IF(IF(Q159&lt;&gt;"",Q159,R159)="Out of scope","out_of_scope",IF(IF(Q159&lt;&gt;"",Q159,R159)="Withdrawn","withdrawn",IF(IF(Q159&lt;&gt;"",Q159,R159)="Not reviewed","not_reviewed","unknown_status"))))))))))</f>
        <v/>
      </c>
      <c r="AG159">
        <f>IF(AND(AF159="",T159=""),"",IF(AND(AF159&lt;&gt;"",ISNUMBER(SEARCH("token="&amp;AF159&amp;";",T159)),ISNUMBER(SEARCH(AK159,T159)),ISNUMBER(SEARCH("CL basis="&amp;AL159&amp;";",T159))),"VALID","INVALID_OR_INCOMPLETE"))</f>
        <v/>
      </c>
      <c r="AH159">
        <f>COUNTIF(K159:P159,"Adequate for scope")</f>
        <v/>
      </c>
      <c r="AI159">
        <f>IF(COUNTA(K159:P159)=0,"",IF(AA159+AB159+AC159+AD159+AH159=6,"OK","UNRECOGNISED_VALUE"))</f>
        <v/>
      </c>
      <c r="AJ159" s="303" t="n"/>
      <c r="AK159" s="303">
        <f>IF(A159="","",Vocabulary!$B$5)</f>
        <v/>
      </c>
      <c r="AL159" s="303">
        <f>IF(A159="","",Vocabulary!$B$6)</f>
        <v/>
      </c>
      <c r="AM159" s="303">
        <f>IF(AJ159="","OK",IF(COUNTIF(Vocabulary!$O$5:$O$8,AJ159)=1,"OK","UNRECOGNISED_ADMIN_DISPOSITION"))</f>
        <v/>
      </c>
    </row>
    <row r="160">
      <c r="Q160">
        <f>IF(AE160="","",IF(AE160="ADMIN_DISPOSITION",AJ160,IF(OR(AE160="ADMIN_INCOMPLETE",AE160="ADMIN_INVALID",AE160="BURDEN_NOT_FEASIBLE",AE160="UNRECOGNISED_VALUE",AE160="UNRECOGNISED_ADMIN_DISPOSITION"),"Protocol refusal to evaluate",IF(AA160&gt;0,"Stage-A non-admissible - unpatchable for stated claim",IF(AB160&gt;0,"Stage-A non-admissible - patchable",IF(OR(J160="Yes",I160="Indeterminate",AC160&gt;0),"Indeterminate - insufficient evidence",IF(AND(AH160=6,AD160=0),"Stage-A admissible - scoped",IF(AND(AH160+AD160=6,AD160&gt;0),"Stage-A admissible - scoped, control-dependent","Protocol refusal to evaluate"))))))))</f>
        <v/>
      </c>
      <c r="S160">
        <f>IF(AND(Q160="",R160=""),"",IF(AND(Q160&lt;&gt;"",R160=""),"UNRECORDED",IF(AND(Q160="",R160&lt;&gt;""),"ORPHAN_RECORDED",IF(Q160=R160,"MATCH","MISMATCH"))))</f>
        <v/>
      </c>
      <c r="AA160">
        <f>COUNTIF(K160:P160,"Material defect - unpatchable for stated claim")</f>
        <v/>
      </c>
      <c r="AB160">
        <f>COUNTIF(K160:P160,"Material defect - patchable")</f>
        <v/>
      </c>
      <c r="AC160">
        <f>COUNTIF(K160:P160,"Indeterminate")+COUNTIF(K160:P160,"Not reviewed")</f>
        <v/>
      </c>
      <c r="AD160">
        <f>COUNTIF(K160:P160,"Adequate - control-dependent")</f>
        <v/>
      </c>
      <c r="AE160">
        <f>IF(COUNTA(A160:P160)+COUNTA(AJ160)=0,"",IF(AM160&lt;&gt;"OK","UNRECOGNISED_ADMIN_DISPOSITION",IF(AND(AJ160&lt;&gt;"",AJ160&lt;&gt;"None"),IF(OR(LEN(TRIM(A160))=0,LEN(TRIM(B160))=0,LEN(TRIM(C160))=0,LEN(TRIM(F160))=0),"ADMIN_INCOMPLETE","ADMIN_DISPOSITION"),IF(OR(LEN(TRIM(A160))=0,LEN(TRIM(B160))=0,LEN(TRIM(C160))=0,LEN(TRIM(D160))=0,LEN(TRIM(E160))=0,LEN(TRIM(F160))=0,LEN(TRIM(G160))=0,LEN(TRIM(H160))=0,LEN(TRIM(I160))=0,LEN(TRIM(J160))=0,LEN(TRIM(K160))=0,LEN(TRIM(L160))=0,LEN(TRIM(M160))=0,LEN(TRIM(N160))=0,LEN(TRIM(O160))=0,LEN(TRIM(P160))=0),"ADMIN_INCOMPLETE",IF(H160&lt;&gt;"Yes","ADMIN_INVALID",IF(I160="Not feasible","BURDEN_NOT_FEASIBLE",IF(AI160&lt;&gt;"OK","UNRECOGNISED_VALUE","CLEAR")))))))</f>
        <v/>
      </c>
      <c r="AF160">
        <f>IF(AND(Q160="",R160=""),"",IF(IF(Q160&lt;&gt;"",Q160,R160)="Stage-A admissible - scoped","stage_a_admissible_scoped",IF(IF(Q160&lt;&gt;"",Q160,R160)="Stage-A admissible - scoped, control-dependent","stage_a_admissible_scoped_control_dependent",IF(IF(Q160&lt;&gt;"",Q160,R160)="Stage-A non-admissible - patchable","stage_a_non_admissible_patchable",IF(IF(Q160&lt;&gt;"",Q160,R160)="Stage-A non-admissible - unpatchable for stated claim","stage_a_non_admissible_unpatchable_for_stated_claim",IF(IF(Q160&lt;&gt;"",Q160,R160)="Indeterminate - insufficient evidence","indeterminate_insufficient_evidence",IF(IF(Q160&lt;&gt;"",Q160,R160)="Protocol refusal to evaluate","protocol_refusal_to_evaluate",IF(IF(Q160&lt;&gt;"",Q160,R160)="Out of scope","out_of_scope",IF(IF(Q160&lt;&gt;"",Q160,R160)="Withdrawn","withdrawn",IF(IF(Q160&lt;&gt;"",Q160,R160)="Not reviewed","not_reviewed","unknown_status"))))))))))</f>
        <v/>
      </c>
      <c r="AG160">
        <f>IF(AND(AF160="",T160=""),"",IF(AND(AF160&lt;&gt;"",ISNUMBER(SEARCH("token="&amp;AF160&amp;";",T160)),ISNUMBER(SEARCH(AK160,T160)),ISNUMBER(SEARCH("CL basis="&amp;AL160&amp;";",T160))),"VALID","INVALID_OR_INCOMPLETE"))</f>
        <v/>
      </c>
      <c r="AH160">
        <f>COUNTIF(K160:P160,"Adequate for scope")</f>
        <v/>
      </c>
      <c r="AI160">
        <f>IF(COUNTA(K160:P160)=0,"",IF(AA160+AB160+AC160+AD160+AH160=6,"OK","UNRECOGNISED_VALUE"))</f>
        <v/>
      </c>
      <c r="AJ160" s="303" t="n"/>
      <c r="AK160" s="303">
        <f>IF(A160="","",Vocabulary!$B$5)</f>
        <v/>
      </c>
      <c r="AL160" s="303">
        <f>IF(A160="","",Vocabulary!$B$6)</f>
        <v/>
      </c>
      <c r="AM160" s="303">
        <f>IF(AJ160="","OK",IF(COUNTIF(Vocabulary!$O$5:$O$8,AJ160)=1,"OK","UNRECOGNISED_ADMIN_DISPOSITION"))</f>
        <v/>
      </c>
    </row>
    <row r="161">
      <c r="Q161">
        <f>IF(AE161="","",IF(AE161="ADMIN_DISPOSITION",AJ161,IF(OR(AE161="ADMIN_INCOMPLETE",AE161="ADMIN_INVALID",AE161="BURDEN_NOT_FEASIBLE",AE161="UNRECOGNISED_VALUE",AE161="UNRECOGNISED_ADMIN_DISPOSITION"),"Protocol refusal to evaluate",IF(AA161&gt;0,"Stage-A non-admissible - unpatchable for stated claim",IF(AB161&gt;0,"Stage-A non-admissible - patchable",IF(OR(J161="Yes",I161="Indeterminate",AC161&gt;0),"Indeterminate - insufficient evidence",IF(AND(AH161=6,AD161=0),"Stage-A admissible - scoped",IF(AND(AH161+AD161=6,AD161&gt;0),"Stage-A admissible - scoped, control-dependent","Protocol refusal to evaluate"))))))))</f>
        <v/>
      </c>
      <c r="S161">
        <f>IF(AND(Q161="",R161=""),"",IF(AND(Q161&lt;&gt;"",R161=""),"UNRECORDED",IF(AND(Q161="",R161&lt;&gt;""),"ORPHAN_RECORDED",IF(Q161=R161,"MATCH","MISMATCH"))))</f>
        <v/>
      </c>
      <c r="AA161">
        <f>COUNTIF(K161:P161,"Material defect - unpatchable for stated claim")</f>
        <v/>
      </c>
      <c r="AB161">
        <f>COUNTIF(K161:P161,"Material defect - patchable")</f>
        <v/>
      </c>
      <c r="AC161">
        <f>COUNTIF(K161:P161,"Indeterminate")+COUNTIF(K161:P161,"Not reviewed")</f>
        <v/>
      </c>
      <c r="AD161">
        <f>COUNTIF(K161:P161,"Adequate - control-dependent")</f>
        <v/>
      </c>
      <c r="AE161">
        <f>IF(COUNTA(A161:P161)+COUNTA(AJ161)=0,"",IF(AM161&lt;&gt;"OK","UNRECOGNISED_ADMIN_DISPOSITION",IF(AND(AJ161&lt;&gt;"",AJ161&lt;&gt;"None"),IF(OR(LEN(TRIM(A161))=0,LEN(TRIM(B161))=0,LEN(TRIM(C161))=0,LEN(TRIM(F161))=0),"ADMIN_INCOMPLETE","ADMIN_DISPOSITION"),IF(OR(LEN(TRIM(A161))=0,LEN(TRIM(B161))=0,LEN(TRIM(C161))=0,LEN(TRIM(D161))=0,LEN(TRIM(E161))=0,LEN(TRIM(F161))=0,LEN(TRIM(G161))=0,LEN(TRIM(H161))=0,LEN(TRIM(I161))=0,LEN(TRIM(J161))=0,LEN(TRIM(K161))=0,LEN(TRIM(L161))=0,LEN(TRIM(M161))=0,LEN(TRIM(N161))=0,LEN(TRIM(O161))=0,LEN(TRIM(P161))=0),"ADMIN_INCOMPLETE",IF(H161&lt;&gt;"Yes","ADMIN_INVALID",IF(I161="Not feasible","BURDEN_NOT_FEASIBLE",IF(AI161&lt;&gt;"OK","UNRECOGNISED_VALUE","CLEAR")))))))</f>
        <v/>
      </c>
      <c r="AF161">
        <f>IF(AND(Q161="",R161=""),"",IF(IF(Q161&lt;&gt;"",Q161,R161)="Stage-A admissible - scoped","stage_a_admissible_scoped",IF(IF(Q161&lt;&gt;"",Q161,R161)="Stage-A admissible - scoped, control-dependent","stage_a_admissible_scoped_control_dependent",IF(IF(Q161&lt;&gt;"",Q161,R161)="Stage-A non-admissible - patchable","stage_a_non_admissible_patchable",IF(IF(Q161&lt;&gt;"",Q161,R161)="Stage-A non-admissible - unpatchable for stated claim","stage_a_non_admissible_unpatchable_for_stated_claim",IF(IF(Q161&lt;&gt;"",Q161,R161)="Indeterminate - insufficient evidence","indeterminate_insufficient_evidence",IF(IF(Q161&lt;&gt;"",Q161,R161)="Protocol refusal to evaluate","protocol_refusal_to_evaluate",IF(IF(Q161&lt;&gt;"",Q161,R161)="Out of scope","out_of_scope",IF(IF(Q161&lt;&gt;"",Q161,R161)="Withdrawn","withdrawn",IF(IF(Q161&lt;&gt;"",Q161,R161)="Not reviewed","not_reviewed","unknown_status"))))))))))</f>
        <v/>
      </c>
      <c r="AG161">
        <f>IF(AND(AF161="",T161=""),"",IF(AND(AF161&lt;&gt;"",ISNUMBER(SEARCH("token="&amp;AF161&amp;";",T161)),ISNUMBER(SEARCH(AK161,T161)),ISNUMBER(SEARCH("CL basis="&amp;AL161&amp;";",T161))),"VALID","INVALID_OR_INCOMPLETE"))</f>
        <v/>
      </c>
      <c r="AH161">
        <f>COUNTIF(K161:P161,"Adequate for scope")</f>
        <v/>
      </c>
      <c r="AI161">
        <f>IF(COUNTA(K161:P161)=0,"",IF(AA161+AB161+AC161+AD161+AH161=6,"OK","UNRECOGNISED_VALUE"))</f>
        <v/>
      </c>
      <c r="AJ161" s="303" t="n"/>
      <c r="AK161" s="303">
        <f>IF(A161="","",Vocabulary!$B$5)</f>
        <v/>
      </c>
      <c r="AL161" s="303">
        <f>IF(A161="","",Vocabulary!$B$6)</f>
        <v/>
      </c>
      <c r="AM161" s="303">
        <f>IF(AJ161="","OK",IF(COUNTIF(Vocabulary!$O$5:$O$8,AJ161)=1,"OK","UNRECOGNISED_ADMIN_DISPOSITION"))</f>
        <v/>
      </c>
    </row>
    <row r="162">
      <c r="Q162">
        <f>IF(AE162="","",IF(AE162="ADMIN_DISPOSITION",AJ162,IF(OR(AE162="ADMIN_INCOMPLETE",AE162="ADMIN_INVALID",AE162="BURDEN_NOT_FEASIBLE",AE162="UNRECOGNISED_VALUE",AE162="UNRECOGNISED_ADMIN_DISPOSITION"),"Protocol refusal to evaluate",IF(AA162&gt;0,"Stage-A non-admissible - unpatchable for stated claim",IF(AB162&gt;0,"Stage-A non-admissible - patchable",IF(OR(J162="Yes",I162="Indeterminate",AC162&gt;0),"Indeterminate - insufficient evidence",IF(AND(AH162=6,AD162=0),"Stage-A admissible - scoped",IF(AND(AH162+AD162=6,AD162&gt;0),"Stage-A admissible - scoped, control-dependent","Protocol refusal to evaluate"))))))))</f>
        <v/>
      </c>
      <c r="S162">
        <f>IF(AND(Q162="",R162=""),"",IF(AND(Q162&lt;&gt;"",R162=""),"UNRECORDED",IF(AND(Q162="",R162&lt;&gt;""),"ORPHAN_RECORDED",IF(Q162=R162,"MATCH","MISMATCH"))))</f>
        <v/>
      </c>
      <c r="AA162">
        <f>COUNTIF(K162:P162,"Material defect - unpatchable for stated claim")</f>
        <v/>
      </c>
      <c r="AB162">
        <f>COUNTIF(K162:P162,"Material defect - patchable")</f>
        <v/>
      </c>
      <c r="AC162">
        <f>COUNTIF(K162:P162,"Indeterminate")+COUNTIF(K162:P162,"Not reviewed")</f>
        <v/>
      </c>
      <c r="AD162">
        <f>COUNTIF(K162:P162,"Adequate - control-dependent")</f>
        <v/>
      </c>
      <c r="AE162">
        <f>IF(COUNTA(A162:P162)+COUNTA(AJ162)=0,"",IF(AM162&lt;&gt;"OK","UNRECOGNISED_ADMIN_DISPOSITION",IF(AND(AJ162&lt;&gt;"",AJ162&lt;&gt;"None"),IF(OR(LEN(TRIM(A162))=0,LEN(TRIM(B162))=0,LEN(TRIM(C162))=0,LEN(TRIM(F162))=0),"ADMIN_INCOMPLETE","ADMIN_DISPOSITION"),IF(OR(LEN(TRIM(A162))=0,LEN(TRIM(B162))=0,LEN(TRIM(C162))=0,LEN(TRIM(D162))=0,LEN(TRIM(E162))=0,LEN(TRIM(F162))=0,LEN(TRIM(G162))=0,LEN(TRIM(H162))=0,LEN(TRIM(I162))=0,LEN(TRIM(J162))=0,LEN(TRIM(K162))=0,LEN(TRIM(L162))=0,LEN(TRIM(M162))=0,LEN(TRIM(N162))=0,LEN(TRIM(O162))=0,LEN(TRIM(P162))=0),"ADMIN_INCOMPLETE",IF(H162&lt;&gt;"Yes","ADMIN_INVALID",IF(I162="Not feasible","BURDEN_NOT_FEASIBLE",IF(AI162&lt;&gt;"OK","UNRECOGNISED_VALUE","CLEAR")))))))</f>
        <v/>
      </c>
      <c r="AF162">
        <f>IF(AND(Q162="",R162=""),"",IF(IF(Q162&lt;&gt;"",Q162,R162)="Stage-A admissible - scoped","stage_a_admissible_scoped",IF(IF(Q162&lt;&gt;"",Q162,R162)="Stage-A admissible - scoped, control-dependent","stage_a_admissible_scoped_control_dependent",IF(IF(Q162&lt;&gt;"",Q162,R162)="Stage-A non-admissible - patchable","stage_a_non_admissible_patchable",IF(IF(Q162&lt;&gt;"",Q162,R162)="Stage-A non-admissible - unpatchable for stated claim","stage_a_non_admissible_unpatchable_for_stated_claim",IF(IF(Q162&lt;&gt;"",Q162,R162)="Indeterminate - insufficient evidence","indeterminate_insufficient_evidence",IF(IF(Q162&lt;&gt;"",Q162,R162)="Protocol refusal to evaluate","protocol_refusal_to_evaluate",IF(IF(Q162&lt;&gt;"",Q162,R162)="Out of scope","out_of_scope",IF(IF(Q162&lt;&gt;"",Q162,R162)="Withdrawn","withdrawn",IF(IF(Q162&lt;&gt;"",Q162,R162)="Not reviewed","not_reviewed","unknown_status"))))))))))</f>
        <v/>
      </c>
      <c r="AG162">
        <f>IF(AND(AF162="",T162=""),"",IF(AND(AF162&lt;&gt;"",ISNUMBER(SEARCH("token="&amp;AF162&amp;";",T162)),ISNUMBER(SEARCH(AK162,T162)),ISNUMBER(SEARCH("CL basis="&amp;AL162&amp;";",T162))),"VALID","INVALID_OR_INCOMPLETE"))</f>
        <v/>
      </c>
      <c r="AH162">
        <f>COUNTIF(K162:P162,"Adequate for scope")</f>
        <v/>
      </c>
      <c r="AI162">
        <f>IF(COUNTA(K162:P162)=0,"",IF(AA162+AB162+AC162+AD162+AH162=6,"OK","UNRECOGNISED_VALUE"))</f>
        <v/>
      </c>
      <c r="AJ162" s="303" t="n"/>
      <c r="AK162" s="303">
        <f>IF(A162="","",Vocabulary!$B$5)</f>
        <v/>
      </c>
      <c r="AL162" s="303">
        <f>IF(A162="","",Vocabulary!$B$6)</f>
        <v/>
      </c>
      <c r="AM162" s="303">
        <f>IF(AJ162="","OK",IF(COUNTIF(Vocabulary!$O$5:$O$8,AJ162)=1,"OK","UNRECOGNISED_ADMIN_DISPOSITION"))</f>
        <v/>
      </c>
    </row>
    <row r="163">
      <c r="Q163">
        <f>IF(AE163="","",IF(AE163="ADMIN_DISPOSITION",AJ163,IF(OR(AE163="ADMIN_INCOMPLETE",AE163="ADMIN_INVALID",AE163="BURDEN_NOT_FEASIBLE",AE163="UNRECOGNISED_VALUE",AE163="UNRECOGNISED_ADMIN_DISPOSITION"),"Protocol refusal to evaluate",IF(AA163&gt;0,"Stage-A non-admissible - unpatchable for stated claim",IF(AB163&gt;0,"Stage-A non-admissible - patchable",IF(OR(J163="Yes",I163="Indeterminate",AC163&gt;0),"Indeterminate - insufficient evidence",IF(AND(AH163=6,AD163=0),"Stage-A admissible - scoped",IF(AND(AH163+AD163=6,AD163&gt;0),"Stage-A admissible - scoped, control-dependent","Protocol refusal to evaluate"))))))))</f>
        <v/>
      </c>
      <c r="S163">
        <f>IF(AND(Q163="",R163=""),"",IF(AND(Q163&lt;&gt;"",R163=""),"UNRECORDED",IF(AND(Q163="",R163&lt;&gt;""),"ORPHAN_RECORDED",IF(Q163=R163,"MATCH","MISMATCH"))))</f>
        <v/>
      </c>
      <c r="AA163">
        <f>COUNTIF(K163:P163,"Material defect - unpatchable for stated claim")</f>
        <v/>
      </c>
      <c r="AB163">
        <f>COUNTIF(K163:P163,"Material defect - patchable")</f>
        <v/>
      </c>
      <c r="AC163">
        <f>COUNTIF(K163:P163,"Indeterminate")+COUNTIF(K163:P163,"Not reviewed")</f>
        <v/>
      </c>
      <c r="AD163">
        <f>COUNTIF(K163:P163,"Adequate - control-dependent")</f>
        <v/>
      </c>
      <c r="AE163">
        <f>IF(COUNTA(A163:P163)+COUNTA(AJ163)=0,"",IF(AM163&lt;&gt;"OK","UNRECOGNISED_ADMIN_DISPOSITION",IF(AND(AJ163&lt;&gt;"",AJ163&lt;&gt;"None"),IF(OR(LEN(TRIM(A163))=0,LEN(TRIM(B163))=0,LEN(TRIM(C163))=0,LEN(TRIM(F163))=0),"ADMIN_INCOMPLETE","ADMIN_DISPOSITION"),IF(OR(LEN(TRIM(A163))=0,LEN(TRIM(B163))=0,LEN(TRIM(C163))=0,LEN(TRIM(D163))=0,LEN(TRIM(E163))=0,LEN(TRIM(F163))=0,LEN(TRIM(G163))=0,LEN(TRIM(H163))=0,LEN(TRIM(I163))=0,LEN(TRIM(J163))=0,LEN(TRIM(K163))=0,LEN(TRIM(L163))=0,LEN(TRIM(M163))=0,LEN(TRIM(N163))=0,LEN(TRIM(O163))=0,LEN(TRIM(P163))=0),"ADMIN_INCOMPLETE",IF(H163&lt;&gt;"Yes","ADMIN_INVALID",IF(I163="Not feasible","BURDEN_NOT_FEASIBLE",IF(AI163&lt;&gt;"OK","UNRECOGNISED_VALUE","CLEAR")))))))</f>
        <v/>
      </c>
      <c r="AF163">
        <f>IF(AND(Q163="",R163=""),"",IF(IF(Q163&lt;&gt;"",Q163,R163)="Stage-A admissible - scoped","stage_a_admissible_scoped",IF(IF(Q163&lt;&gt;"",Q163,R163)="Stage-A admissible - scoped, control-dependent","stage_a_admissible_scoped_control_dependent",IF(IF(Q163&lt;&gt;"",Q163,R163)="Stage-A non-admissible - patchable","stage_a_non_admissible_patchable",IF(IF(Q163&lt;&gt;"",Q163,R163)="Stage-A non-admissible - unpatchable for stated claim","stage_a_non_admissible_unpatchable_for_stated_claim",IF(IF(Q163&lt;&gt;"",Q163,R163)="Indeterminate - insufficient evidence","indeterminate_insufficient_evidence",IF(IF(Q163&lt;&gt;"",Q163,R163)="Protocol refusal to evaluate","protocol_refusal_to_evaluate",IF(IF(Q163&lt;&gt;"",Q163,R163)="Out of scope","out_of_scope",IF(IF(Q163&lt;&gt;"",Q163,R163)="Withdrawn","withdrawn",IF(IF(Q163&lt;&gt;"",Q163,R163)="Not reviewed","not_reviewed","unknown_status"))))))))))</f>
        <v/>
      </c>
      <c r="AG163">
        <f>IF(AND(AF163="",T163=""),"",IF(AND(AF163&lt;&gt;"",ISNUMBER(SEARCH("token="&amp;AF163&amp;";",T163)),ISNUMBER(SEARCH(AK163,T163)),ISNUMBER(SEARCH("CL basis="&amp;AL163&amp;";",T163))),"VALID","INVALID_OR_INCOMPLETE"))</f>
        <v/>
      </c>
      <c r="AH163">
        <f>COUNTIF(K163:P163,"Adequate for scope")</f>
        <v/>
      </c>
      <c r="AI163">
        <f>IF(COUNTA(K163:P163)=0,"",IF(AA163+AB163+AC163+AD163+AH163=6,"OK","UNRECOGNISED_VALUE"))</f>
        <v/>
      </c>
      <c r="AJ163" s="303" t="n"/>
      <c r="AK163" s="303">
        <f>IF(A163="","",Vocabulary!$B$5)</f>
        <v/>
      </c>
      <c r="AL163" s="303">
        <f>IF(A163="","",Vocabulary!$B$6)</f>
        <v/>
      </c>
      <c r="AM163" s="303">
        <f>IF(AJ163="","OK",IF(COUNTIF(Vocabulary!$O$5:$O$8,AJ163)=1,"OK","UNRECOGNISED_ADMIN_DISPOSITION"))</f>
        <v/>
      </c>
    </row>
    <row r="164">
      <c r="Q164">
        <f>IF(AE164="","",IF(AE164="ADMIN_DISPOSITION",AJ164,IF(OR(AE164="ADMIN_INCOMPLETE",AE164="ADMIN_INVALID",AE164="BURDEN_NOT_FEASIBLE",AE164="UNRECOGNISED_VALUE",AE164="UNRECOGNISED_ADMIN_DISPOSITION"),"Protocol refusal to evaluate",IF(AA164&gt;0,"Stage-A non-admissible - unpatchable for stated claim",IF(AB164&gt;0,"Stage-A non-admissible - patchable",IF(OR(J164="Yes",I164="Indeterminate",AC164&gt;0),"Indeterminate - insufficient evidence",IF(AND(AH164=6,AD164=0),"Stage-A admissible - scoped",IF(AND(AH164+AD164=6,AD164&gt;0),"Stage-A admissible - scoped, control-dependent","Protocol refusal to evaluate"))))))))</f>
        <v/>
      </c>
      <c r="S164">
        <f>IF(AND(Q164="",R164=""),"",IF(AND(Q164&lt;&gt;"",R164=""),"UNRECORDED",IF(AND(Q164="",R164&lt;&gt;""),"ORPHAN_RECORDED",IF(Q164=R164,"MATCH","MISMATCH"))))</f>
        <v/>
      </c>
      <c r="AA164">
        <f>COUNTIF(K164:P164,"Material defect - unpatchable for stated claim")</f>
        <v/>
      </c>
      <c r="AB164">
        <f>COUNTIF(K164:P164,"Material defect - patchable")</f>
        <v/>
      </c>
      <c r="AC164">
        <f>COUNTIF(K164:P164,"Indeterminate")+COUNTIF(K164:P164,"Not reviewed")</f>
        <v/>
      </c>
      <c r="AD164">
        <f>COUNTIF(K164:P164,"Adequate - control-dependent")</f>
        <v/>
      </c>
      <c r="AE164">
        <f>IF(COUNTA(A164:P164)+COUNTA(AJ164)=0,"",IF(AM164&lt;&gt;"OK","UNRECOGNISED_ADMIN_DISPOSITION",IF(AND(AJ164&lt;&gt;"",AJ164&lt;&gt;"None"),IF(OR(LEN(TRIM(A164))=0,LEN(TRIM(B164))=0,LEN(TRIM(C164))=0,LEN(TRIM(F164))=0),"ADMIN_INCOMPLETE","ADMIN_DISPOSITION"),IF(OR(LEN(TRIM(A164))=0,LEN(TRIM(B164))=0,LEN(TRIM(C164))=0,LEN(TRIM(D164))=0,LEN(TRIM(E164))=0,LEN(TRIM(F164))=0,LEN(TRIM(G164))=0,LEN(TRIM(H164))=0,LEN(TRIM(I164))=0,LEN(TRIM(J164))=0,LEN(TRIM(K164))=0,LEN(TRIM(L164))=0,LEN(TRIM(M164))=0,LEN(TRIM(N164))=0,LEN(TRIM(O164))=0,LEN(TRIM(P164))=0),"ADMIN_INCOMPLETE",IF(H164&lt;&gt;"Yes","ADMIN_INVALID",IF(I164="Not feasible","BURDEN_NOT_FEASIBLE",IF(AI164&lt;&gt;"OK","UNRECOGNISED_VALUE","CLEAR")))))))</f>
        <v/>
      </c>
      <c r="AF164">
        <f>IF(AND(Q164="",R164=""),"",IF(IF(Q164&lt;&gt;"",Q164,R164)="Stage-A admissible - scoped","stage_a_admissible_scoped",IF(IF(Q164&lt;&gt;"",Q164,R164)="Stage-A admissible - scoped, control-dependent","stage_a_admissible_scoped_control_dependent",IF(IF(Q164&lt;&gt;"",Q164,R164)="Stage-A non-admissible - patchable","stage_a_non_admissible_patchable",IF(IF(Q164&lt;&gt;"",Q164,R164)="Stage-A non-admissible - unpatchable for stated claim","stage_a_non_admissible_unpatchable_for_stated_claim",IF(IF(Q164&lt;&gt;"",Q164,R164)="Indeterminate - insufficient evidence","indeterminate_insufficient_evidence",IF(IF(Q164&lt;&gt;"",Q164,R164)="Protocol refusal to evaluate","protocol_refusal_to_evaluate",IF(IF(Q164&lt;&gt;"",Q164,R164)="Out of scope","out_of_scope",IF(IF(Q164&lt;&gt;"",Q164,R164)="Withdrawn","withdrawn",IF(IF(Q164&lt;&gt;"",Q164,R164)="Not reviewed","not_reviewed","unknown_status"))))))))))</f>
        <v/>
      </c>
      <c r="AG164">
        <f>IF(AND(AF164="",T164=""),"",IF(AND(AF164&lt;&gt;"",ISNUMBER(SEARCH("token="&amp;AF164&amp;";",T164)),ISNUMBER(SEARCH(AK164,T164)),ISNUMBER(SEARCH("CL basis="&amp;AL164&amp;";",T164))),"VALID","INVALID_OR_INCOMPLETE"))</f>
        <v/>
      </c>
      <c r="AH164">
        <f>COUNTIF(K164:P164,"Adequate for scope")</f>
        <v/>
      </c>
      <c r="AI164">
        <f>IF(COUNTA(K164:P164)=0,"",IF(AA164+AB164+AC164+AD164+AH164=6,"OK","UNRECOGNISED_VALUE"))</f>
        <v/>
      </c>
      <c r="AJ164" s="303" t="n"/>
      <c r="AK164" s="303">
        <f>IF(A164="","",Vocabulary!$B$5)</f>
        <v/>
      </c>
      <c r="AL164" s="303">
        <f>IF(A164="","",Vocabulary!$B$6)</f>
        <v/>
      </c>
      <c r="AM164" s="303">
        <f>IF(AJ164="","OK",IF(COUNTIF(Vocabulary!$O$5:$O$8,AJ164)=1,"OK","UNRECOGNISED_ADMIN_DISPOSITION"))</f>
        <v/>
      </c>
    </row>
    <row r="165">
      <c r="Q165">
        <f>IF(AE165="","",IF(AE165="ADMIN_DISPOSITION",AJ165,IF(OR(AE165="ADMIN_INCOMPLETE",AE165="ADMIN_INVALID",AE165="BURDEN_NOT_FEASIBLE",AE165="UNRECOGNISED_VALUE",AE165="UNRECOGNISED_ADMIN_DISPOSITION"),"Protocol refusal to evaluate",IF(AA165&gt;0,"Stage-A non-admissible - unpatchable for stated claim",IF(AB165&gt;0,"Stage-A non-admissible - patchable",IF(OR(J165="Yes",I165="Indeterminate",AC165&gt;0),"Indeterminate - insufficient evidence",IF(AND(AH165=6,AD165=0),"Stage-A admissible - scoped",IF(AND(AH165+AD165=6,AD165&gt;0),"Stage-A admissible - scoped, control-dependent","Protocol refusal to evaluate"))))))))</f>
        <v/>
      </c>
      <c r="S165">
        <f>IF(AND(Q165="",R165=""),"",IF(AND(Q165&lt;&gt;"",R165=""),"UNRECORDED",IF(AND(Q165="",R165&lt;&gt;""),"ORPHAN_RECORDED",IF(Q165=R165,"MATCH","MISMATCH"))))</f>
        <v/>
      </c>
      <c r="AA165">
        <f>COUNTIF(K165:P165,"Material defect - unpatchable for stated claim")</f>
        <v/>
      </c>
      <c r="AB165">
        <f>COUNTIF(K165:P165,"Material defect - patchable")</f>
        <v/>
      </c>
      <c r="AC165">
        <f>COUNTIF(K165:P165,"Indeterminate")+COUNTIF(K165:P165,"Not reviewed")</f>
        <v/>
      </c>
      <c r="AD165">
        <f>COUNTIF(K165:P165,"Adequate - control-dependent")</f>
        <v/>
      </c>
      <c r="AE165">
        <f>IF(COUNTA(A165:P165)+COUNTA(AJ165)=0,"",IF(AM165&lt;&gt;"OK","UNRECOGNISED_ADMIN_DISPOSITION",IF(AND(AJ165&lt;&gt;"",AJ165&lt;&gt;"None"),IF(OR(LEN(TRIM(A165))=0,LEN(TRIM(B165))=0,LEN(TRIM(C165))=0,LEN(TRIM(F165))=0),"ADMIN_INCOMPLETE","ADMIN_DISPOSITION"),IF(OR(LEN(TRIM(A165))=0,LEN(TRIM(B165))=0,LEN(TRIM(C165))=0,LEN(TRIM(D165))=0,LEN(TRIM(E165))=0,LEN(TRIM(F165))=0,LEN(TRIM(G165))=0,LEN(TRIM(H165))=0,LEN(TRIM(I165))=0,LEN(TRIM(J165))=0,LEN(TRIM(K165))=0,LEN(TRIM(L165))=0,LEN(TRIM(M165))=0,LEN(TRIM(N165))=0,LEN(TRIM(O165))=0,LEN(TRIM(P165))=0),"ADMIN_INCOMPLETE",IF(H165&lt;&gt;"Yes","ADMIN_INVALID",IF(I165="Not feasible","BURDEN_NOT_FEASIBLE",IF(AI165&lt;&gt;"OK","UNRECOGNISED_VALUE","CLEAR")))))))</f>
        <v/>
      </c>
      <c r="AF165">
        <f>IF(AND(Q165="",R165=""),"",IF(IF(Q165&lt;&gt;"",Q165,R165)="Stage-A admissible - scoped","stage_a_admissible_scoped",IF(IF(Q165&lt;&gt;"",Q165,R165)="Stage-A admissible - scoped, control-dependent","stage_a_admissible_scoped_control_dependent",IF(IF(Q165&lt;&gt;"",Q165,R165)="Stage-A non-admissible - patchable","stage_a_non_admissible_patchable",IF(IF(Q165&lt;&gt;"",Q165,R165)="Stage-A non-admissible - unpatchable for stated claim","stage_a_non_admissible_unpatchable_for_stated_claim",IF(IF(Q165&lt;&gt;"",Q165,R165)="Indeterminate - insufficient evidence","indeterminate_insufficient_evidence",IF(IF(Q165&lt;&gt;"",Q165,R165)="Protocol refusal to evaluate","protocol_refusal_to_evaluate",IF(IF(Q165&lt;&gt;"",Q165,R165)="Out of scope","out_of_scope",IF(IF(Q165&lt;&gt;"",Q165,R165)="Withdrawn","withdrawn",IF(IF(Q165&lt;&gt;"",Q165,R165)="Not reviewed","not_reviewed","unknown_status"))))))))))</f>
        <v/>
      </c>
      <c r="AG165">
        <f>IF(AND(AF165="",T165=""),"",IF(AND(AF165&lt;&gt;"",ISNUMBER(SEARCH("token="&amp;AF165&amp;";",T165)),ISNUMBER(SEARCH(AK165,T165)),ISNUMBER(SEARCH("CL basis="&amp;AL165&amp;";",T165))),"VALID","INVALID_OR_INCOMPLETE"))</f>
        <v/>
      </c>
      <c r="AH165">
        <f>COUNTIF(K165:P165,"Adequate for scope")</f>
        <v/>
      </c>
      <c r="AI165">
        <f>IF(COUNTA(K165:P165)=0,"",IF(AA165+AB165+AC165+AD165+AH165=6,"OK","UNRECOGNISED_VALUE"))</f>
        <v/>
      </c>
      <c r="AJ165" s="303" t="n"/>
      <c r="AK165" s="303">
        <f>IF(A165="","",Vocabulary!$B$5)</f>
        <v/>
      </c>
      <c r="AL165" s="303">
        <f>IF(A165="","",Vocabulary!$B$6)</f>
        <v/>
      </c>
      <c r="AM165" s="303">
        <f>IF(AJ165="","OK",IF(COUNTIF(Vocabulary!$O$5:$O$8,AJ165)=1,"OK","UNRECOGNISED_ADMIN_DISPOSITION"))</f>
        <v/>
      </c>
    </row>
    <row r="166">
      <c r="Q166">
        <f>IF(AE166="","",IF(AE166="ADMIN_DISPOSITION",AJ166,IF(OR(AE166="ADMIN_INCOMPLETE",AE166="ADMIN_INVALID",AE166="BURDEN_NOT_FEASIBLE",AE166="UNRECOGNISED_VALUE",AE166="UNRECOGNISED_ADMIN_DISPOSITION"),"Protocol refusal to evaluate",IF(AA166&gt;0,"Stage-A non-admissible - unpatchable for stated claim",IF(AB166&gt;0,"Stage-A non-admissible - patchable",IF(OR(J166="Yes",I166="Indeterminate",AC166&gt;0),"Indeterminate - insufficient evidence",IF(AND(AH166=6,AD166=0),"Stage-A admissible - scoped",IF(AND(AH166+AD166=6,AD166&gt;0),"Stage-A admissible - scoped, control-dependent","Protocol refusal to evaluate"))))))))</f>
        <v/>
      </c>
      <c r="S166">
        <f>IF(AND(Q166="",R166=""),"",IF(AND(Q166&lt;&gt;"",R166=""),"UNRECORDED",IF(AND(Q166="",R166&lt;&gt;""),"ORPHAN_RECORDED",IF(Q166=R166,"MATCH","MISMATCH"))))</f>
        <v/>
      </c>
      <c r="AA166">
        <f>COUNTIF(K166:P166,"Material defect - unpatchable for stated claim")</f>
        <v/>
      </c>
      <c r="AB166">
        <f>COUNTIF(K166:P166,"Material defect - patchable")</f>
        <v/>
      </c>
      <c r="AC166">
        <f>COUNTIF(K166:P166,"Indeterminate")+COUNTIF(K166:P166,"Not reviewed")</f>
        <v/>
      </c>
      <c r="AD166">
        <f>COUNTIF(K166:P166,"Adequate - control-dependent")</f>
        <v/>
      </c>
      <c r="AE166">
        <f>IF(COUNTA(A166:P166)+COUNTA(AJ166)=0,"",IF(AM166&lt;&gt;"OK","UNRECOGNISED_ADMIN_DISPOSITION",IF(AND(AJ166&lt;&gt;"",AJ166&lt;&gt;"None"),IF(OR(LEN(TRIM(A166))=0,LEN(TRIM(B166))=0,LEN(TRIM(C166))=0,LEN(TRIM(F166))=0),"ADMIN_INCOMPLETE","ADMIN_DISPOSITION"),IF(OR(LEN(TRIM(A166))=0,LEN(TRIM(B166))=0,LEN(TRIM(C166))=0,LEN(TRIM(D166))=0,LEN(TRIM(E166))=0,LEN(TRIM(F166))=0,LEN(TRIM(G166))=0,LEN(TRIM(H166))=0,LEN(TRIM(I166))=0,LEN(TRIM(J166))=0,LEN(TRIM(K166))=0,LEN(TRIM(L166))=0,LEN(TRIM(M166))=0,LEN(TRIM(N166))=0,LEN(TRIM(O166))=0,LEN(TRIM(P166))=0),"ADMIN_INCOMPLETE",IF(H166&lt;&gt;"Yes","ADMIN_INVALID",IF(I166="Not feasible","BURDEN_NOT_FEASIBLE",IF(AI166&lt;&gt;"OK","UNRECOGNISED_VALUE","CLEAR")))))))</f>
        <v/>
      </c>
      <c r="AF166">
        <f>IF(AND(Q166="",R166=""),"",IF(IF(Q166&lt;&gt;"",Q166,R166)="Stage-A admissible - scoped","stage_a_admissible_scoped",IF(IF(Q166&lt;&gt;"",Q166,R166)="Stage-A admissible - scoped, control-dependent","stage_a_admissible_scoped_control_dependent",IF(IF(Q166&lt;&gt;"",Q166,R166)="Stage-A non-admissible - patchable","stage_a_non_admissible_patchable",IF(IF(Q166&lt;&gt;"",Q166,R166)="Stage-A non-admissible - unpatchable for stated claim","stage_a_non_admissible_unpatchable_for_stated_claim",IF(IF(Q166&lt;&gt;"",Q166,R166)="Indeterminate - insufficient evidence","indeterminate_insufficient_evidence",IF(IF(Q166&lt;&gt;"",Q166,R166)="Protocol refusal to evaluate","protocol_refusal_to_evaluate",IF(IF(Q166&lt;&gt;"",Q166,R166)="Out of scope","out_of_scope",IF(IF(Q166&lt;&gt;"",Q166,R166)="Withdrawn","withdrawn",IF(IF(Q166&lt;&gt;"",Q166,R166)="Not reviewed","not_reviewed","unknown_status"))))))))))</f>
        <v/>
      </c>
      <c r="AG166">
        <f>IF(AND(AF166="",T166=""),"",IF(AND(AF166&lt;&gt;"",ISNUMBER(SEARCH("token="&amp;AF166&amp;";",T166)),ISNUMBER(SEARCH(AK166,T166)),ISNUMBER(SEARCH("CL basis="&amp;AL166&amp;";",T166))),"VALID","INVALID_OR_INCOMPLETE"))</f>
        <v/>
      </c>
      <c r="AH166">
        <f>COUNTIF(K166:P166,"Adequate for scope")</f>
        <v/>
      </c>
      <c r="AI166">
        <f>IF(COUNTA(K166:P166)=0,"",IF(AA166+AB166+AC166+AD166+AH166=6,"OK","UNRECOGNISED_VALUE"))</f>
        <v/>
      </c>
      <c r="AJ166" s="303" t="n"/>
      <c r="AK166" s="303">
        <f>IF(A166="","",Vocabulary!$B$5)</f>
        <v/>
      </c>
      <c r="AL166" s="303">
        <f>IF(A166="","",Vocabulary!$B$6)</f>
        <v/>
      </c>
      <c r="AM166" s="303">
        <f>IF(AJ166="","OK",IF(COUNTIF(Vocabulary!$O$5:$O$8,AJ166)=1,"OK","UNRECOGNISED_ADMIN_DISPOSITION"))</f>
        <v/>
      </c>
    </row>
    <row r="167">
      <c r="Q167">
        <f>IF(AE167="","",IF(AE167="ADMIN_DISPOSITION",AJ167,IF(OR(AE167="ADMIN_INCOMPLETE",AE167="ADMIN_INVALID",AE167="BURDEN_NOT_FEASIBLE",AE167="UNRECOGNISED_VALUE",AE167="UNRECOGNISED_ADMIN_DISPOSITION"),"Protocol refusal to evaluate",IF(AA167&gt;0,"Stage-A non-admissible - unpatchable for stated claim",IF(AB167&gt;0,"Stage-A non-admissible - patchable",IF(OR(J167="Yes",I167="Indeterminate",AC167&gt;0),"Indeterminate - insufficient evidence",IF(AND(AH167=6,AD167=0),"Stage-A admissible - scoped",IF(AND(AH167+AD167=6,AD167&gt;0),"Stage-A admissible - scoped, control-dependent","Protocol refusal to evaluate"))))))))</f>
        <v/>
      </c>
      <c r="S167">
        <f>IF(AND(Q167="",R167=""),"",IF(AND(Q167&lt;&gt;"",R167=""),"UNRECORDED",IF(AND(Q167="",R167&lt;&gt;""),"ORPHAN_RECORDED",IF(Q167=R167,"MATCH","MISMATCH"))))</f>
        <v/>
      </c>
      <c r="AA167">
        <f>COUNTIF(K167:P167,"Material defect - unpatchable for stated claim")</f>
        <v/>
      </c>
      <c r="AB167">
        <f>COUNTIF(K167:P167,"Material defect - patchable")</f>
        <v/>
      </c>
      <c r="AC167">
        <f>COUNTIF(K167:P167,"Indeterminate")+COUNTIF(K167:P167,"Not reviewed")</f>
        <v/>
      </c>
      <c r="AD167">
        <f>COUNTIF(K167:P167,"Adequate - control-dependent")</f>
        <v/>
      </c>
      <c r="AE167">
        <f>IF(COUNTA(A167:P167)+COUNTA(AJ167)=0,"",IF(AM167&lt;&gt;"OK","UNRECOGNISED_ADMIN_DISPOSITION",IF(AND(AJ167&lt;&gt;"",AJ167&lt;&gt;"None"),IF(OR(LEN(TRIM(A167))=0,LEN(TRIM(B167))=0,LEN(TRIM(C167))=0,LEN(TRIM(F167))=0),"ADMIN_INCOMPLETE","ADMIN_DISPOSITION"),IF(OR(LEN(TRIM(A167))=0,LEN(TRIM(B167))=0,LEN(TRIM(C167))=0,LEN(TRIM(D167))=0,LEN(TRIM(E167))=0,LEN(TRIM(F167))=0,LEN(TRIM(G167))=0,LEN(TRIM(H167))=0,LEN(TRIM(I167))=0,LEN(TRIM(J167))=0,LEN(TRIM(K167))=0,LEN(TRIM(L167))=0,LEN(TRIM(M167))=0,LEN(TRIM(N167))=0,LEN(TRIM(O167))=0,LEN(TRIM(P167))=0),"ADMIN_INCOMPLETE",IF(H167&lt;&gt;"Yes","ADMIN_INVALID",IF(I167="Not feasible","BURDEN_NOT_FEASIBLE",IF(AI167&lt;&gt;"OK","UNRECOGNISED_VALUE","CLEAR")))))))</f>
        <v/>
      </c>
      <c r="AF167">
        <f>IF(AND(Q167="",R167=""),"",IF(IF(Q167&lt;&gt;"",Q167,R167)="Stage-A admissible - scoped","stage_a_admissible_scoped",IF(IF(Q167&lt;&gt;"",Q167,R167)="Stage-A admissible - scoped, control-dependent","stage_a_admissible_scoped_control_dependent",IF(IF(Q167&lt;&gt;"",Q167,R167)="Stage-A non-admissible - patchable","stage_a_non_admissible_patchable",IF(IF(Q167&lt;&gt;"",Q167,R167)="Stage-A non-admissible - unpatchable for stated claim","stage_a_non_admissible_unpatchable_for_stated_claim",IF(IF(Q167&lt;&gt;"",Q167,R167)="Indeterminate - insufficient evidence","indeterminate_insufficient_evidence",IF(IF(Q167&lt;&gt;"",Q167,R167)="Protocol refusal to evaluate","protocol_refusal_to_evaluate",IF(IF(Q167&lt;&gt;"",Q167,R167)="Out of scope","out_of_scope",IF(IF(Q167&lt;&gt;"",Q167,R167)="Withdrawn","withdrawn",IF(IF(Q167&lt;&gt;"",Q167,R167)="Not reviewed","not_reviewed","unknown_status"))))))))))</f>
        <v/>
      </c>
      <c r="AG167">
        <f>IF(AND(AF167="",T167=""),"",IF(AND(AF167&lt;&gt;"",ISNUMBER(SEARCH("token="&amp;AF167&amp;";",T167)),ISNUMBER(SEARCH(AK167,T167)),ISNUMBER(SEARCH("CL basis="&amp;AL167&amp;";",T167))),"VALID","INVALID_OR_INCOMPLETE"))</f>
        <v/>
      </c>
      <c r="AH167">
        <f>COUNTIF(K167:P167,"Adequate for scope")</f>
        <v/>
      </c>
      <c r="AI167">
        <f>IF(COUNTA(K167:P167)=0,"",IF(AA167+AB167+AC167+AD167+AH167=6,"OK","UNRECOGNISED_VALUE"))</f>
        <v/>
      </c>
      <c r="AJ167" s="303" t="n"/>
      <c r="AK167" s="303">
        <f>IF(A167="","",Vocabulary!$B$5)</f>
        <v/>
      </c>
      <c r="AL167" s="303">
        <f>IF(A167="","",Vocabulary!$B$6)</f>
        <v/>
      </c>
      <c r="AM167" s="303">
        <f>IF(AJ167="","OK",IF(COUNTIF(Vocabulary!$O$5:$O$8,AJ167)=1,"OK","UNRECOGNISED_ADMIN_DISPOSITION"))</f>
        <v/>
      </c>
    </row>
    <row r="168">
      <c r="Q168">
        <f>IF(AE168="","",IF(AE168="ADMIN_DISPOSITION",AJ168,IF(OR(AE168="ADMIN_INCOMPLETE",AE168="ADMIN_INVALID",AE168="BURDEN_NOT_FEASIBLE",AE168="UNRECOGNISED_VALUE",AE168="UNRECOGNISED_ADMIN_DISPOSITION"),"Protocol refusal to evaluate",IF(AA168&gt;0,"Stage-A non-admissible - unpatchable for stated claim",IF(AB168&gt;0,"Stage-A non-admissible - patchable",IF(OR(J168="Yes",I168="Indeterminate",AC168&gt;0),"Indeterminate - insufficient evidence",IF(AND(AH168=6,AD168=0),"Stage-A admissible - scoped",IF(AND(AH168+AD168=6,AD168&gt;0),"Stage-A admissible - scoped, control-dependent","Protocol refusal to evaluate"))))))))</f>
        <v/>
      </c>
      <c r="S168">
        <f>IF(AND(Q168="",R168=""),"",IF(AND(Q168&lt;&gt;"",R168=""),"UNRECORDED",IF(AND(Q168="",R168&lt;&gt;""),"ORPHAN_RECORDED",IF(Q168=R168,"MATCH","MISMATCH"))))</f>
        <v/>
      </c>
      <c r="AA168">
        <f>COUNTIF(K168:P168,"Material defect - unpatchable for stated claim")</f>
        <v/>
      </c>
      <c r="AB168">
        <f>COUNTIF(K168:P168,"Material defect - patchable")</f>
        <v/>
      </c>
      <c r="AC168">
        <f>COUNTIF(K168:P168,"Indeterminate")+COUNTIF(K168:P168,"Not reviewed")</f>
        <v/>
      </c>
      <c r="AD168">
        <f>COUNTIF(K168:P168,"Adequate - control-dependent")</f>
        <v/>
      </c>
      <c r="AE168">
        <f>IF(COUNTA(A168:P168)+COUNTA(AJ168)=0,"",IF(AM168&lt;&gt;"OK","UNRECOGNISED_ADMIN_DISPOSITION",IF(AND(AJ168&lt;&gt;"",AJ168&lt;&gt;"None"),IF(OR(LEN(TRIM(A168))=0,LEN(TRIM(B168))=0,LEN(TRIM(C168))=0,LEN(TRIM(F168))=0),"ADMIN_INCOMPLETE","ADMIN_DISPOSITION"),IF(OR(LEN(TRIM(A168))=0,LEN(TRIM(B168))=0,LEN(TRIM(C168))=0,LEN(TRIM(D168))=0,LEN(TRIM(E168))=0,LEN(TRIM(F168))=0,LEN(TRIM(G168))=0,LEN(TRIM(H168))=0,LEN(TRIM(I168))=0,LEN(TRIM(J168))=0,LEN(TRIM(K168))=0,LEN(TRIM(L168))=0,LEN(TRIM(M168))=0,LEN(TRIM(N168))=0,LEN(TRIM(O168))=0,LEN(TRIM(P168))=0),"ADMIN_INCOMPLETE",IF(H168&lt;&gt;"Yes","ADMIN_INVALID",IF(I168="Not feasible","BURDEN_NOT_FEASIBLE",IF(AI168&lt;&gt;"OK","UNRECOGNISED_VALUE","CLEAR")))))))</f>
        <v/>
      </c>
      <c r="AF168">
        <f>IF(AND(Q168="",R168=""),"",IF(IF(Q168&lt;&gt;"",Q168,R168)="Stage-A admissible - scoped","stage_a_admissible_scoped",IF(IF(Q168&lt;&gt;"",Q168,R168)="Stage-A admissible - scoped, control-dependent","stage_a_admissible_scoped_control_dependent",IF(IF(Q168&lt;&gt;"",Q168,R168)="Stage-A non-admissible - patchable","stage_a_non_admissible_patchable",IF(IF(Q168&lt;&gt;"",Q168,R168)="Stage-A non-admissible - unpatchable for stated claim","stage_a_non_admissible_unpatchable_for_stated_claim",IF(IF(Q168&lt;&gt;"",Q168,R168)="Indeterminate - insufficient evidence","indeterminate_insufficient_evidence",IF(IF(Q168&lt;&gt;"",Q168,R168)="Protocol refusal to evaluate","protocol_refusal_to_evaluate",IF(IF(Q168&lt;&gt;"",Q168,R168)="Out of scope","out_of_scope",IF(IF(Q168&lt;&gt;"",Q168,R168)="Withdrawn","withdrawn",IF(IF(Q168&lt;&gt;"",Q168,R168)="Not reviewed","not_reviewed","unknown_status"))))))))))</f>
        <v/>
      </c>
      <c r="AG168">
        <f>IF(AND(AF168="",T168=""),"",IF(AND(AF168&lt;&gt;"",ISNUMBER(SEARCH("token="&amp;AF168&amp;";",T168)),ISNUMBER(SEARCH(AK168,T168)),ISNUMBER(SEARCH("CL basis="&amp;AL168&amp;";",T168))),"VALID","INVALID_OR_INCOMPLETE"))</f>
        <v/>
      </c>
      <c r="AH168">
        <f>COUNTIF(K168:P168,"Adequate for scope")</f>
        <v/>
      </c>
      <c r="AI168">
        <f>IF(COUNTA(K168:P168)=0,"",IF(AA168+AB168+AC168+AD168+AH168=6,"OK","UNRECOGNISED_VALUE"))</f>
        <v/>
      </c>
      <c r="AJ168" s="303" t="n"/>
      <c r="AK168" s="303">
        <f>IF(A168="","",Vocabulary!$B$5)</f>
        <v/>
      </c>
      <c r="AL168" s="303">
        <f>IF(A168="","",Vocabulary!$B$6)</f>
        <v/>
      </c>
      <c r="AM168" s="303">
        <f>IF(AJ168="","OK",IF(COUNTIF(Vocabulary!$O$5:$O$8,AJ168)=1,"OK","UNRECOGNISED_ADMIN_DISPOSITION"))</f>
        <v/>
      </c>
    </row>
    <row r="169">
      <c r="Q169">
        <f>IF(AE169="","",IF(AE169="ADMIN_DISPOSITION",AJ169,IF(OR(AE169="ADMIN_INCOMPLETE",AE169="ADMIN_INVALID",AE169="BURDEN_NOT_FEASIBLE",AE169="UNRECOGNISED_VALUE",AE169="UNRECOGNISED_ADMIN_DISPOSITION"),"Protocol refusal to evaluate",IF(AA169&gt;0,"Stage-A non-admissible - unpatchable for stated claim",IF(AB169&gt;0,"Stage-A non-admissible - patchable",IF(OR(J169="Yes",I169="Indeterminate",AC169&gt;0),"Indeterminate - insufficient evidence",IF(AND(AH169=6,AD169=0),"Stage-A admissible - scoped",IF(AND(AH169+AD169=6,AD169&gt;0),"Stage-A admissible - scoped, control-dependent","Protocol refusal to evaluate"))))))))</f>
        <v/>
      </c>
      <c r="S169">
        <f>IF(AND(Q169="",R169=""),"",IF(AND(Q169&lt;&gt;"",R169=""),"UNRECORDED",IF(AND(Q169="",R169&lt;&gt;""),"ORPHAN_RECORDED",IF(Q169=R169,"MATCH","MISMATCH"))))</f>
        <v/>
      </c>
      <c r="AA169">
        <f>COUNTIF(K169:P169,"Material defect - unpatchable for stated claim")</f>
        <v/>
      </c>
      <c r="AB169">
        <f>COUNTIF(K169:P169,"Material defect - patchable")</f>
        <v/>
      </c>
      <c r="AC169">
        <f>COUNTIF(K169:P169,"Indeterminate")+COUNTIF(K169:P169,"Not reviewed")</f>
        <v/>
      </c>
      <c r="AD169">
        <f>COUNTIF(K169:P169,"Adequate - control-dependent")</f>
        <v/>
      </c>
      <c r="AE169">
        <f>IF(COUNTA(A169:P169)+COUNTA(AJ169)=0,"",IF(AM169&lt;&gt;"OK","UNRECOGNISED_ADMIN_DISPOSITION",IF(AND(AJ169&lt;&gt;"",AJ169&lt;&gt;"None"),IF(OR(LEN(TRIM(A169))=0,LEN(TRIM(B169))=0,LEN(TRIM(C169))=0,LEN(TRIM(F169))=0),"ADMIN_INCOMPLETE","ADMIN_DISPOSITION"),IF(OR(LEN(TRIM(A169))=0,LEN(TRIM(B169))=0,LEN(TRIM(C169))=0,LEN(TRIM(D169))=0,LEN(TRIM(E169))=0,LEN(TRIM(F169))=0,LEN(TRIM(G169))=0,LEN(TRIM(H169))=0,LEN(TRIM(I169))=0,LEN(TRIM(J169))=0,LEN(TRIM(K169))=0,LEN(TRIM(L169))=0,LEN(TRIM(M169))=0,LEN(TRIM(N169))=0,LEN(TRIM(O169))=0,LEN(TRIM(P169))=0),"ADMIN_INCOMPLETE",IF(H169&lt;&gt;"Yes","ADMIN_INVALID",IF(I169="Not feasible","BURDEN_NOT_FEASIBLE",IF(AI169&lt;&gt;"OK","UNRECOGNISED_VALUE","CLEAR")))))))</f>
        <v/>
      </c>
      <c r="AF169">
        <f>IF(AND(Q169="",R169=""),"",IF(IF(Q169&lt;&gt;"",Q169,R169)="Stage-A admissible - scoped","stage_a_admissible_scoped",IF(IF(Q169&lt;&gt;"",Q169,R169)="Stage-A admissible - scoped, control-dependent","stage_a_admissible_scoped_control_dependent",IF(IF(Q169&lt;&gt;"",Q169,R169)="Stage-A non-admissible - patchable","stage_a_non_admissible_patchable",IF(IF(Q169&lt;&gt;"",Q169,R169)="Stage-A non-admissible - unpatchable for stated claim","stage_a_non_admissible_unpatchable_for_stated_claim",IF(IF(Q169&lt;&gt;"",Q169,R169)="Indeterminate - insufficient evidence","indeterminate_insufficient_evidence",IF(IF(Q169&lt;&gt;"",Q169,R169)="Protocol refusal to evaluate","protocol_refusal_to_evaluate",IF(IF(Q169&lt;&gt;"",Q169,R169)="Out of scope","out_of_scope",IF(IF(Q169&lt;&gt;"",Q169,R169)="Withdrawn","withdrawn",IF(IF(Q169&lt;&gt;"",Q169,R169)="Not reviewed","not_reviewed","unknown_status"))))))))))</f>
        <v/>
      </c>
      <c r="AG169">
        <f>IF(AND(AF169="",T169=""),"",IF(AND(AF169&lt;&gt;"",ISNUMBER(SEARCH("token="&amp;AF169&amp;";",T169)),ISNUMBER(SEARCH(AK169,T169)),ISNUMBER(SEARCH("CL basis="&amp;AL169&amp;";",T169))),"VALID","INVALID_OR_INCOMPLETE"))</f>
        <v/>
      </c>
      <c r="AH169">
        <f>COUNTIF(K169:P169,"Adequate for scope")</f>
        <v/>
      </c>
      <c r="AI169">
        <f>IF(COUNTA(K169:P169)=0,"",IF(AA169+AB169+AC169+AD169+AH169=6,"OK","UNRECOGNISED_VALUE"))</f>
        <v/>
      </c>
      <c r="AJ169" s="303" t="n"/>
      <c r="AK169" s="303">
        <f>IF(A169="","",Vocabulary!$B$5)</f>
        <v/>
      </c>
      <c r="AL169" s="303">
        <f>IF(A169="","",Vocabulary!$B$6)</f>
        <v/>
      </c>
      <c r="AM169" s="303">
        <f>IF(AJ169="","OK",IF(COUNTIF(Vocabulary!$O$5:$O$8,AJ169)=1,"OK","UNRECOGNISED_ADMIN_DISPOSITION"))</f>
        <v/>
      </c>
    </row>
    <row r="170">
      <c r="Q170">
        <f>IF(AE170="","",IF(AE170="ADMIN_DISPOSITION",AJ170,IF(OR(AE170="ADMIN_INCOMPLETE",AE170="ADMIN_INVALID",AE170="BURDEN_NOT_FEASIBLE",AE170="UNRECOGNISED_VALUE",AE170="UNRECOGNISED_ADMIN_DISPOSITION"),"Protocol refusal to evaluate",IF(AA170&gt;0,"Stage-A non-admissible - unpatchable for stated claim",IF(AB170&gt;0,"Stage-A non-admissible - patchable",IF(OR(J170="Yes",I170="Indeterminate",AC170&gt;0),"Indeterminate - insufficient evidence",IF(AND(AH170=6,AD170=0),"Stage-A admissible - scoped",IF(AND(AH170+AD170=6,AD170&gt;0),"Stage-A admissible - scoped, control-dependent","Protocol refusal to evaluate"))))))))</f>
        <v/>
      </c>
      <c r="S170">
        <f>IF(AND(Q170="",R170=""),"",IF(AND(Q170&lt;&gt;"",R170=""),"UNRECORDED",IF(AND(Q170="",R170&lt;&gt;""),"ORPHAN_RECORDED",IF(Q170=R170,"MATCH","MISMATCH"))))</f>
        <v/>
      </c>
      <c r="AA170">
        <f>COUNTIF(K170:P170,"Material defect - unpatchable for stated claim")</f>
        <v/>
      </c>
      <c r="AB170">
        <f>COUNTIF(K170:P170,"Material defect - patchable")</f>
        <v/>
      </c>
      <c r="AC170">
        <f>COUNTIF(K170:P170,"Indeterminate")+COUNTIF(K170:P170,"Not reviewed")</f>
        <v/>
      </c>
      <c r="AD170">
        <f>COUNTIF(K170:P170,"Adequate - control-dependent")</f>
        <v/>
      </c>
      <c r="AE170">
        <f>IF(COUNTA(A170:P170)+COUNTA(AJ170)=0,"",IF(AM170&lt;&gt;"OK","UNRECOGNISED_ADMIN_DISPOSITION",IF(AND(AJ170&lt;&gt;"",AJ170&lt;&gt;"None"),IF(OR(LEN(TRIM(A170))=0,LEN(TRIM(B170))=0,LEN(TRIM(C170))=0,LEN(TRIM(F170))=0),"ADMIN_INCOMPLETE","ADMIN_DISPOSITION"),IF(OR(LEN(TRIM(A170))=0,LEN(TRIM(B170))=0,LEN(TRIM(C170))=0,LEN(TRIM(D170))=0,LEN(TRIM(E170))=0,LEN(TRIM(F170))=0,LEN(TRIM(G170))=0,LEN(TRIM(H170))=0,LEN(TRIM(I170))=0,LEN(TRIM(J170))=0,LEN(TRIM(K170))=0,LEN(TRIM(L170))=0,LEN(TRIM(M170))=0,LEN(TRIM(N170))=0,LEN(TRIM(O170))=0,LEN(TRIM(P170))=0),"ADMIN_INCOMPLETE",IF(H170&lt;&gt;"Yes","ADMIN_INVALID",IF(I170="Not feasible","BURDEN_NOT_FEASIBLE",IF(AI170&lt;&gt;"OK","UNRECOGNISED_VALUE","CLEAR")))))))</f>
        <v/>
      </c>
      <c r="AF170">
        <f>IF(AND(Q170="",R170=""),"",IF(IF(Q170&lt;&gt;"",Q170,R170)="Stage-A admissible - scoped","stage_a_admissible_scoped",IF(IF(Q170&lt;&gt;"",Q170,R170)="Stage-A admissible - scoped, control-dependent","stage_a_admissible_scoped_control_dependent",IF(IF(Q170&lt;&gt;"",Q170,R170)="Stage-A non-admissible - patchable","stage_a_non_admissible_patchable",IF(IF(Q170&lt;&gt;"",Q170,R170)="Stage-A non-admissible - unpatchable for stated claim","stage_a_non_admissible_unpatchable_for_stated_claim",IF(IF(Q170&lt;&gt;"",Q170,R170)="Indeterminate - insufficient evidence","indeterminate_insufficient_evidence",IF(IF(Q170&lt;&gt;"",Q170,R170)="Protocol refusal to evaluate","protocol_refusal_to_evaluate",IF(IF(Q170&lt;&gt;"",Q170,R170)="Out of scope","out_of_scope",IF(IF(Q170&lt;&gt;"",Q170,R170)="Withdrawn","withdrawn",IF(IF(Q170&lt;&gt;"",Q170,R170)="Not reviewed","not_reviewed","unknown_status"))))))))))</f>
        <v/>
      </c>
      <c r="AG170">
        <f>IF(AND(AF170="",T170=""),"",IF(AND(AF170&lt;&gt;"",ISNUMBER(SEARCH("token="&amp;AF170&amp;";",T170)),ISNUMBER(SEARCH(AK170,T170)),ISNUMBER(SEARCH("CL basis="&amp;AL170&amp;";",T170))),"VALID","INVALID_OR_INCOMPLETE"))</f>
        <v/>
      </c>
      <c r="AH170">
        <f>COUNTIF(K170:P170,"Adequate for scope")</f>
        <v/>
      </c>
      <c r="AI170">
        <f>IF(COUNTA(K170:P170)=0,"",IF(AA170+AB170+AC170+AD170+AH170=6,"OK","UNRECOGNISED_VALUE"))</f>
        <v/>
      </c>
      <c r="AJ170" s="303" t="n"/>
      <c r="AK170" s="303">
        <f>IF(A170="","",Vocabulary!$B$5)</f>
        <v/>
      </c>
      <c r="AL170" s="303">
        <f>IF(A170="","",Vocabulary!$B$6)</f>
        <v/>
      </c>
      <c r="AM170" s="303">
        <f>IF(AJ170="","OK",IF(COUNTIF(Vocabulary!$O$5:$O$8,AJ170)=1,"OK","UNRECOGNISED_ADMIN_DISPOSITION"))</f>
        <v/>
      </c>
    </row>
    <row r="171">
      <c r="Q171">
        <f>IF(AE171="","",IF(AE171="ADMIN_DISPOSITION",AJ171,IF(OR(AE171="ADMIN_INCOMPLETE",AE171="ADMIN_INVALID",AE171="BURDEN_NOT_FEASIBLE",AE171="UNRECOGNISED_VALUE",AE171="UNRECOGNISED_ADMIN_DISPOSITION"),"Protocol refusal to evaluate",IF(AA171&gt;0,"Stage-A non-admissible - unpatchable for stated claim",IF(AB171&gt;0,"Stage-A non-admissible - patchable",IF(OR(J171="Yes",I171="Indeterminate",AC171&gt;0),"Indeterminate - insufficient evidence",IF(AND(AH171=6,AD171=0),"Stage-A admissible - scoped",IF(AND(AH171+AD171=6,AD171&gt;0),"Stage-A admissible - scoped, control-dependent","Protocol refusal to evaluate"))))))))</f>
        <v/>
      </c>
      <c r="S171">
        <f>IF(AND(Q171="",R171=""),"",IF(AND(Q171&lt;&gt;"",R171=""),"UNRECORDED",IF(AND(Q171="",R171&lt;&gt;""),"ORPHAN_RECORDED",IF(Q171=R171,"MATCH","MISMATCH"))))</f>
        <v/>
      </c>
      <c r="AA171">
        <f>COUNTIF(K171:P171,"Material defect - unpatchable for stated claim")</f>
        <v/>
      </c>
      <c r="AB171">
        <f>COUNTIF(K171:P171,"Material defect - patchable")</f>
        <v/>
      </c>
      <c r="AC171">
        <f>COUNTIF(K171:P171,"Indeterminate")+COUNTIF(K171:P171,"Not reviewed")</f>
        <v/>
      </c>
      <c r="AD171">
        <f>COUNTIF(K171:P171,"Adequate - control-dependent")</f>
        <v/>
      </c>
      <c r="AE171">
        <f>IF(COUNTA(A171:P171)+COUNTA(AJ171)=0,"",IF(AM171&lt;&gt;"OK","UNRECOGNISED_ADMIN_DISPOSITION",IF(AND(AJ171&lt;&gt;"",AJ171&lt;&gt;"None"),IF(OR(LEN(TRIM(A171))=0,LEN(TRIM(B171))=0,LEN(TRIM(C171))=0,LEN(TRIM(F171))=0),"ADMIN_INCOMPLETE","ADMIN_DISPOSITION"),IF(OR(LEN(TRIM(A171))=0,LEN(TRIM(B171))=0,LEN(TRIM(C171))=0,LEN(TRIM(D171))=0,LEN(TRIM(E171))=0,LEN(TRIM(F171))=0,LEN(TRIM(G171))=0,LEN(TRIM(H171))=0,LEN(TRIM(I171))=0,LEN(TRIM(J171))=0,LEN(TRIM(K171))=0,LEN(TRIM(L171))=0,LEN(TRIM(M171))=0,LEN(TRIM(N171))=0,LEN(TRIM(O171))=0,LEN(TRIM(P171))=0),"ADMIN_INCOMPLETE",IF(H171&lt;&gt;"Yes","ADMIN_INVALID",IF(I171="Not feasible","BURDEN_NOT_FEASIBLE",IF(AI171&lt;&gt;"OK","UNRECOGNISED_VALUE","CLEAR")))))))</f>
        <v/>
      </c>
      <c r="AF171">
        <f>IF(AND(Q171="",R171=""),"",IF(IF(Q171&lt;&gt;"",Q171,R171)="Stage-A admissible - scoped","stage_a_admissible_scoped",IF(IF(Q171&lt;&gt;"",Q171,R171)="Stage-A admissible - scoped, control-dependent","stage_a_admissible_scoped_control_dependent",IF(IF(Q171&lt;&gt;"",Q171,R171)="Stage-A non-admissible - patchable","stage_a_non_admissible_patchable",IF(IF(Q171&lt;&gt;"",Q171,R171)="Stage-A non-admissible - unpatchable for stated claim","stage_a_non_admissible_unpatchable_for_stated_claim",IF(IF(Q171&lt;&gt;"",Q171,R171)="Indeterminate - insufficient evidence","indeterminate_insufficient_evidence",IF(IF(Q171&lt;&gt;"",Q171,R171)="Protocol refusal to evaluate","protocol_refusal_to_evaluate",IF(IF(Q171&lt;&gt;"",Q171,R171)="Out of scope","out_of_scope",IF(IF(Q171&lt;&gt;"",Q171,R171)="Withdrawn","withdrawn",IF(IF(Q171&lt;&gt;"",Q171,R171)="Not reviewed","not_reviewed","unknown_status"))))))))))</f>
        <v/>
      </c>
      <c r="AG171">
        <f>IF(AND(AF171="",T171=""),"",IF(AND(AF171&lt;&gt;"",ISNUMBER(SEARCH("token="&amp;AF171&amp;";",T171)),ISNUMBER(SEARCH(AK171,T171)),ISNUMBER(SEARCH("CL basis="&amp;AL171&amp;";",T171))),"VALID","INVALID_OR_INCOMPLETE"))</f>
        <v/>
      </c>
      <c r="AH171">
        <f>COUNTIF(K171:P171,"Adequate for scope")</f>
        <v/>
      </c>
      <c r="AI171">
        <f>IF(COUNTA(K171:P171)=0,"",IF(AA171+AB171+AC171+AD171+AH171=6,"OK","UNRECOGNISED_VALUE"))</f>
        <v/>
      </c>
      <c r="AJ171" s="303" t="n"/>
      <c r="AK171" s="303">
        <f>IF(A171="","",Vocabulary!$B$5)</f>
        <v/>
      </c>
      <c r="AL171" s="303">
        <f>IF(A171="","",Vocabulary!$B$6)</f>
        <v/>
      </c>
      <c r="AM171" s="303">
        <f>IF(AJ171="","OK",IF(COUNTIF(Vocabulary!$O$5:$O$8,AJ171)=1,"OK","UNRECOGNISED_ADMIN_DISPOSITION"))</f>
        <v/>
      </c>
    </row>
    <row r="172">
      <c r="Q172">
        <f>IF(AE172="","",IF(AE172="ADMIN_DISPOSITION",AJ172,IF(OR(AE172="ADMIN_INCOMPLETE",AE172="ADMIN_INVALID",AE172="BURDEN_NOT_FEASIBLE",AE172="UNRECOGNISED_VALUE",AE172="UNRECOGNISED_ADMIN_DISPOSITION"),"Protocol refusal to evaluate",IF(AA172&gt;0,"Stage-A non-admissible - unpatchable for stated claim",IF(AB172&gt;0,"Stage-A non-admissible - patchable",IF(OR(J172="Yes",I172="Indeterminate",AC172&gt;0),"Indeterminate - insufficient evidence",IF(AND(AH172=6,AD172=0),"Stage-A admissible - scoped",IF(AND(AH172+AD172=6,AD172&gt;0),"Stage-A admissible - scoped, control-dependent","Protocol refusal to evaluate"))))))))</f>
        <v/>
      </c>
      <c r="S172">
        <f>IF(AND(Q172="",R172=""),"",IF(AND(Q172&lt;&gt;"",R172=""),"UNRECORDED",IF(AND(Q172="",R172&lt;&gt;""),"ORPHAN_RECORDED",IF(Q172=R172,"MATCH","MISMATCH"))))</f>
        <v/>
      </c>
      <c r="AA172">
        <f>COUNTIF(K172:P172,"Material defect - unpatchable for stated claim")</f>
        <v/>
      </c>
      <c r="AB172">
        <f>COUNTIF(K172:P172,"Material defect - patchable")</f>
        <v/>
      </c>
      <c r="AC172">
        <f>COUNTIF(K172:P172,"Indeterminate")+COUNTIF(K172:P172,"Not reviewed")</f>
        <v/>
      </c>
      <c r="AD172">
        <f>COUNTIF(K172:P172,"Adequate - control-dependent")</f>
        <v/>
      </c>
      <c r="AE172">
        <f>IF(COUNTA(A172:P172)+COUNTA(AJ172)=0,"",IF(AM172&lt;&gt;"OK","UNRECOGNISED_ADMIN_DISPOSITION",IF(AND(AJ172&lt;&gt;"",AJ172&lt;&gt;"None"),IF(OR(LEN(TRIM(A172))=0,LEN(TRIM(B172))=0,LEN(TRIM(C172))=0,LEN(TRIM(F172))=0),"ADMIN_INCOMPLETE","ADMIN_DISPOSITION"),IF(OR(LEN(TRIM(A172))=0,LEN(TRIM(B172))=0,LEN(TRIM(C172))=0,LEN(TRIM(D172))=0,LEN(TRIM(E172))=0,LEN(TRIM(F172))=0,LEN(TRIM(G172))=0,LEN(TRIM(H172))=0,LEN(TRIM(I172))=0,LEN(TRIM(J172))=0,LEN(TRIM(K172))=0,LEN(TRIM(L172))=0,LEN(TRIM(M172))=0,LEN(TRIM(N172))=0,LEN(TRIM(O172))=0,LEN(TRIM(P172))=0),"ADMIN_INCOMPLETE",IF(H172&lt;&gt;"Yes","ADMIN_INVALID",IF(I172="Not feasible","BURDEN_NOT_FEASIBLE",IF(AI172&lt;&gt;"OK","UNRECOGNISED_VALUE","CLEAR")))))))</f>
        <v/>
      </c>
      <c r="AF172">
        <f>IF(AND(Q172="",R172=""),"",IF(IF(Q172&lt;&gt;"",Q172,R172)="Stage-A admissible - scoped","stage_a_admissible_scoped",IF(IF(Q172&lt;&gt;"",Q172,R172)="Stage-A admissible - scoped, control-dependent","stage_a_admissible_scoped_control_dependent",IF(IF(Q172&lt;&gt;"",Q172,R172)="Stage-A non-admissible - patchable","stage_a_non_admissible_patchable",IF(IF(Q172&lt;&gt;"",Q172,R172)="Stage-A non-admissible - unpatchable for stated claim","stage_a_non_admissible_unpatchable_for_stated_claim",IF(IF(Q172&lt;&gt;"",Q172,R172)="Indeterminate - insufficient evidence","indeterminate_insufficient_evidence",IF(IF(Q172&lt;&gt;"",Q172,R172)="Protocol refusal to evaluate","protocol_refusal_to_evaluate",IF(IF(Q172&lt;&gt;"",Q172,R172)="Out of scope","out_of_scope",IF(IF(Q172&lt;&gt;"",Q172,R172)="Withdrawn","withdrawn",IF(IF(Q172&lt;&gt;"",Q172,R172)="Not reviewed","not_reviewed","unknown_status"))))))))))</f>
        <v/>
      </c>
      <c r="AG172">
        <f>IF(AND(AF172="",T172=""),"",IF(AND(AF172&lt;&gt;"",ISNUMBER(SEARCH("token="&amp;AF172&amp;";",T172)),ISNUMBER(SEARCH(AK172,T172)),ISNUMBER(SEARCH("CL basis="&amp;AL172&amp;";",T172))),"VALID","INVALID_OR_INCOMPLETE"))</f>
        <v/>
      </c>
      <c r="AH172">
        <f>COUNTIF(K172:P172,"Adequate for scope")</f>
        <v/>
      </c>
      <c r="AI172">
        <f>IF(COUNTA(K172:P172)=0,"",IF(AA172+AB172+AC172+AD172+AH172=6,"OK","UNRECOGNISED_VALUE"))</f>
        <v/>
      </c>
      <c r="AJ172" s="303" t="n"/>
      <c r="AK172" s="303">
        <f>IF(A172="","",Vocabulary!$B$5)</f>
        <v/>
      </c>
      <c r="AL172" s="303">
        <f>IF(A172="","",Vocabulary!$B$6)</f>
        <v/>
      </c>
      <c r="AM172" s="303">
        <f>IF(AJ172="","OK",IF(COUNTIF(Vocabulary!$O$5:$O$8,AJ172)=1,"OK","UNRECOGNISED_ADMIN_DISPOSITION"))</f>
        <v/>
      </c>
    </row>
    <row r="173">
      <c r="Q173">
        <f>IF(AE173="","",IF(AE173="ADMIN_DISPOSITION",AJ173,IF(OR(AE173="ADMIN_INCOMPLETE",AE173="ADMIN_INVALID",AE173="BURDEN_NOT_FEASIBLE",AE173="UNRECOGNISED_VALUE",AE173="UNRECOGNISED_ADMIN_DISPOSITION"),"Protocol refusal to evaluate",IF(AA173&gt;0,"Stage-A non-admissible - unpatchable for stated claim",IF(AB173&gt;0,"Stage-A non-admissible - patchable",IF(OR(J173="Yes",I173="Indeterminate",AC173&gt;0),"Indeterminate - insufficient evidence",IF(AND(AH173=6,AD173=0),"Stage-A admissible - scoped",IF(AND(AH173+AD173=6,AD173&gt;0),"Stage-A admissible - scoped, control-dependent","Protocol refusal to evaluate"))))))))</f>
        <v/>
      </c>
      <c r="S173">
        <f>IF(AND(Q173="",R173=""),"",IF(AND(Q173&lt;&gt;"",R173=""),"UNRECORDED",IF(AND(Q173="",R173&lt;&gt;""),"ORPHAN_RECORDED",IF(Q173=R173,"MATCH","MISMATCH"))))</f>
        <v/>
      </c>
      <c r="AA173">
        <f>COUNTIF(K173:P173,"Material defect - unpatchable for stated claim")</f>
        <v/>
      </c>
      <c r="AB173">
        <f>COUNTIF(K173:P173,"Material defect - patchable")</f>
        <v/>
      </c>
      <c r="AC173">
        <f>COUNTIF(K173:P173,"Indeterminate")+COUNTIF(K173:P173,"Not reviewed")</f>
        <v/>
      </c>
      <c r="AD173">
        <f>COUNTIF(K173:P173,"Adequate - control-dependent")</f>
        <v/>
      </c>
      <c r="AE173">
        <f>IF(COUNTA(A173:P173)+COUNTA(AJ173)=0,"",IF(AM173&lt;&gt;"OK","UNRECOGNISED_ADMIN_DISPOSITION",IF(AND(AJ173&lt;&gt;"",AJ173&lt;&gt;"None"),IF(OR(LEN(TRIM(A173))=0,LEN(TRIM(B173))=0,LEN(TRIM(C173))=0,LEN(TRIM(F173))=0),"ADMIN_INCOMPLETE","ADMIN_DISPOSITION"),IF(OR(LEN(TRIM(A173))=0,LEN(TRIM(B173))=0,LEN(TRIM(C173))=0,LEN(TRIM(D173))=0,LEN(TRIM(E173))=0,LEN(TRIM(F173))=0,LEN(TRIM(G173))=0,LEN(TRIM(H173))=0,LEN(TRIM(I173))=0,LEN(TRIM(J173))=0,LEN(TRIM(K173))=0,LEN(TRIM(L173))=0,LEN(TRIM(M173))=0,LEN(TRIM(N173))=0,LEN(TRIM(O173))=0,LEN(TRIM(P173))=0),"ADMIN_INCOMPLETE",IF(H173&lt;&gt;"Yes","ADMIN_INVALID",IF(I173="Not feasible","BURDEN_NOT_FEASIBLE",IF(AI173&lt;&gt;"OK","UNRECOGNISED_VALUE","CLEAR")))))))</f>
        <v/>
      </c>
      <c r="AF173">
        <f>IF(AND(Q173="",R173=""),"",IF(IF(Q173&lt;&gt;"",Q173,R173)="Stage-A admissible - scoped","stage_a_admissible_scoped",IF(IF(Q173&lt;&gt;"",Q173,R173)="Stage-A admissible - scoped, control-dependent","stage_a_admissible_scoped_control_dependent",IF(IF(Q173&lt;&gt;"",Q173,R173)="Stage-A non-admissible - patchable","stage_a_non_admissible_patchable",IF(IF(Q173&lt;&gt;"",Q173,R173)="Stage-A non-admissible - unpatchable for stated claim","stage_a_non_admissible_unpatchable_for_stated_claim",IF(IF(Q173&lt;&gt;"",Q173,R173)="Indeterminate - insufficient evidence","indeterminate_insufficient_evidence",IF(IF(Q173&lt;&gt;"",Q173,R173)="Protocol refusal to evaluate","protocol_refusal_to_evaluate",IF(IF(Q173&lt;&gt;"",Q173,R173)="Out of scope","out_of_scope",IF(IF(Q173&lt;&gt;"",Q173,R173)="Withdrawn","withdrawn",IF(IF(Q173&lt;&gt;"",Q173,R173)="Not reviewed","not_reviewed","unknown_status"))))))))))</f>
        <v/>
      </c>
      <c r="AG173">
        <f>IF(AND(AF173="",T173=""),"",IF(AND(AF173&lt;&gt;"",ISNUMBER(SEARCH("token="&amp;AF173&amp;";",T173)),ISNUMBER(SEARCH(AK173,T173)),ISNUMBER(SEARCH("CL basis="&amp;AL173&amp;";",T173))),"VALID","INVALID_OR_INCOMPLETE"))</f>
        <v/>
      </c>
      <c r="AH173">
        <f>COUNTIF(K173:P173,"Adequate for scope")</f>
        <v/>
      </c>
      <c r="AI173">
        <f>IF(COUNTA(K173:P173)=0,"",IF(AA173+AB173+AC173+AD173+AH173=6,"OK","UNRECOGNISED_VALUE"))</f>
        <v/>
      </c>
      <c r="AJ173" s="303" t="n"/>
      <c r="AK173" s="303">
        <f>IF(A173="","",Vocabulary!$B$5)</f>
        <v/>
      </c>
      <c r="AL173" s="303">
        <f>IF(A173="","",Vocabulary!$B$6)</f>
        <v/>
      </c>
      <c r="AM173" s="303">
        <f>IF(AJ173="","OK",IF(COUNTIF(Vocabulary!$O$5:$O$8,AJ173)=1,"OK","UNRECOGNISED_ADMIN_DISPOSITION"))</f>
        <v/>
      </c>
    </row>
    <row r="174">
      <c r="Q174">
        <f>IF(AE174="","",IF(AE174="ADMIN_DISPOSITION",AJ174,IF(OR(AE174="ADMIN_INCOMPLETE",AE174="ADMIN_INVALID",AE174="BURDEN_NOT_FEASIBLE",AE174="UNRECOGNISED_VALUE",AE174="UNRECOGNISED_ADMIN_DISPOSITION"),"Protocol refusal to evaluate",IF(AA174&gt;0,"Stage-A non-admissible - unpatchable for stated claim",IF(AB174&gt;0,"Stage-A non-admissible - patchable",IF(OR(J174="Yes",I174="Indeterminate",AC174&gt;0),"Indeterminate - insufficient evidence",IF(AND(AH174=6,AD174=0),"Stage-A admissible - scoped",IF(AND(AH174+AD174=6,AD174&gt;0),"Stage-A admissible - scoped, control-dependent","Protocol refusal to evaluate"))))))))</f>
        <v/>
      </c>
      <c r="S174">
        <f>IF(AND(Q174="",R174=""),"",IF(AND(Q174&lt;&gt;"",R174=""),"UNRECORDED",IF(AND(Q174="",R174&lt;&gt;""),"ORPHAN_RECORDED",IF(Q174=R174,"MATCH","MISMATCH"))))</f>
        <v/>
      </c>
      <c r="AA174">
        <f>COUNTIF(K174:P174,"Material defect - unpatchable for stated claim")</f>
        <v/>
      </c>
      <c r="AB174">
        <f>COUNTIF(K174:P174,"Material defect - patchable")</f>
        <v/>
      </c>
      <c r="AC174">
        <f>COUNTIF(K174:P174,"Indeterminate")+COUNTIF(K174:P174,"Not reviewed")</f>
        <v/>
      </c>
      <c r="AD174">
        <f>COUNTIF(K174:P174,"Adequate - control-dependent")</f>
        <v/>
      </c>
      <c r="AE174">
        <f>IF(COUNTA(A174:P174)+COUNTA(AJ174)=0,"",IF(AM174&lt;&gt;"OK","UNRECOGNISED_ADMIN_DISPOSITION",IF(AND(AJ174&lt;&gt;"",AJ174&lt;&gt;"None"),IF(OR(LEN(TRIM(A174))=0,LEN(TRIM(B174))=0,LEN(TRIM(C174))=0,LEN(TRIM(F174))=0),"ADMIN_INCOMPLETE","ADMIN_DISPOSITION"),IF(OR(LEN(TRIM(A174))=0,LEN(TRIM(B174))=0,LEN(TRIM(C174))=0,LEN(TRIM(D174))=0,LEN(TRIM(E174))=0,LEN(TRIM(F174))=0,LEN(TRIM(G174))=0,LEN(TRIM(H174))=0,LEN(TRIM(I174))=0,LEN(TRIM(J174))=0,LEN(TRIM(K174))=0,LEN(TRIM(L174))=0,LEN(TRIM(M174))=0,LEN(TRIM(N174))=0,LEN(TRIM(O174))=0,LEN(TRIM(P174))=0),"ADMIN_INCOMPLETE",IF(H174&lt;&gt;"Yes","ADMIN_INVALID",IF(I174="Not feasible","BURDEN_NOT_FEASIBLE",IF(AI174&lt;&gt;"OK","UNRECOGNISED_VALUE","CLEAR")))))))</f>
        <v/>
      </c>
      <c r="AF174">
        <f>IF(AND(Q174="",R174=""),"",IF(IF(Q174&lt;&gt;"",Q174,R174)="Stage-A admissible - scoped","stage_a_admissible_scoped",IF(IF(Q174&lt;&gt;"",Q174,R174)="Stage-A admissible - scoped, control-dependent","stage_a_admissible_scoped_control_dependent",IF(IF(Q174&lt;&gt;"",Q174,R174)="Stage-A non-admissible - patchable","stage_a_non_admissible_patchable",IF(IF(Q174&lt;&gt;"",Q174,R174)="Stage-A non-admissible - unpatchable for stated claim","stage_a_non_admissible_unpatchable_for_stated_claim",IF(IF(Q174&lt;&gt;"",Q174,R174)="Indeterminate - insufficient evidence","indeterminate_insufficient_evidence",IF(IF(Q174&lt;&gt;"",Q174,R174)="Protocol refusal to evaluate","protocol_refusal_to_evaluate",IF(IF(Q174&lt;&gt;"",Q174,R174)="Out of scope","out_of_scope",IF(IF(Q174&lt;&gt;"",Q174,R174)="Withdrawn","withdrawn",IF(IF(Q174&lt;&gt;"",Q174,R174)="Not reviewed","not_reviewed","unknown_status"))))))))))</f>
        <v/>
      </c>
      <c r="AG174">
        <f>IF(AND(AF174="",T174=""),"",IF(AND(AF174&lt;&gt;"",ISNUMBER(SEARCH("token="&amp;AF174&amp;";",T174)),ISNUMBER(SEARCH(AK174,T174)),ISNUMBER(SEARCH("CL basis="&amp;AL174&amp;";",T174))),"VALID","INVALID_OR_INCOMPLETE"))</f>
        <v/>
      </c>
      <c r="AH174">
        <f>COUNTIF(K174:P174,"Adequate for scope")</f>
        <v/>
      </c>
      <c r="AI174">
        <f>IF(COUNTA(K174:P174)=0,"",IF(AA174+AB174+AC174+AD174+AH174=6,"OK","UNRECOGNISED_VALUE"))</f>
        <v/>
      </c>
      <c r="AJ174" s="303" t="n"/>
      <c r="AK174" s="303">
        <f>IF(A174="","",Vocabulary!$B$5)</f>
        <v/>
      </c>
      <c r="AL174" s="303">
        <f>IF(A174="","",Vocabulary!$B$6)</f>
        <v/>
      </c>
      <c r="AM174" s="303">
        <f>IF(AJ174="","OK",IF(COUNTIF(Vocabulary!$O$5:$O$8,AJ174)=1,"OK","UNRECOGNISED_ADMIN_DISPOSITION"))</f>
        <v/>
      </c>
    </row>
    <row r="175">
      <c r="Q175">
        <f>IF(AE175="","",IF(AE175="ADMIN_DISPOSITION",AJ175,IF(OR(AE175="ADMIN_INCOMPLETE",AE175="ADMIN_INVALID",AE175="BURDEN_NOT_FEASIBLE",AE175="UNRECOGNISED_VALUE",AE175="UNRECOGNISED_ADMIN_DISPOSITION"),"Protocol refusal to evaluate",IF(AA175&gt;0,"Stage-A non-admissible - unpatchable for stated claim",IF(AB175&gt;0,"Stage-A non-admissible - patchable",IF(OR(J175="Yes",I175="Indeterminate",AC175&gt;0),"Indeterminate - insufficient evidence",IF(AND(AH175=6,AD175=0),"Stage-A admissible - scoped",IF(AND(AH175+AD175=6,AD175&gt;0),"Stage-A admissible - scoped, control-dependent","Protocol refusal to evaluate"))))))))</f>
        <v/>
      </c>
      <c r="S175">
        <f>IF(AND(Q175="",R175=""),"",IF(AND(Q175&lt;&gt;"",R175=""),"UNRECORDED",IF(AND(Q175="",R175&lt;&gt;""),"ORPHAN_RECORDED",IF(Q175=R175,"MATCH","MISMATCH"))))</f>
        <v/>
      </c>
      <c r="AA175">
        <f>COUNTIF(K175:P175,"Material defect - unpatchable for stated claim")</f>
        <v/>
      </c>
      <c r="AB175">
        <f>COUNTIF(K175:P175,"Material defect - patchable")</f>
        <v/>
      </c>
      <c r="AC175">
        <f>COUNTIF(K175:P175,"Indeterminate")+COUNTIF(K175:P175,"Not reviewed")</f>
        <v/>
      </c>
      <c r="AD175">
        <f>COUNTIF(K175:P175,"Adequate - control-dependent")</f>
        <v/>
      </c>
      <c r="AE175">
        <f>IF(COUNTA(A175:P175)+COUNTA(AJ175)=0,"",IF(AM175&lt;&gt;"OK","UNRECOGNISED_ADMIN_DISPOSITION",IF(AND(AJ175&lt;&gt;"",AJ175&lt;&gt;"None"),IF(OR(LEN(TRIM(A175))=0,LEN(TRIM(B175))=0,LEN(TRIM(C175))=0,LEN(TRIM(F175))=0),"ADMIN_INCOMPLETE","ADMIN_DISPOSITION"),IF(OR(LEN(TRIM(A175))=0,LEN(TRIM(B175))=0,LEN(TRIM(C175))=0,LEN(TRIM(D175))=0,LEN(TRIM(E175))=0,LEN(TRIM(F175))=0,LEN(TRIM(G175))=0,LEN(TRIM(H175))=0,LEN(TRIM(I175))=0,LEN(TRIM(J175))=0,LEN(TRIM(K175))=0,LEN(TRIM(L175))=0,LEN(TRIM(M175))=0,LEN(TRIM(N175))=0,LEN(TRIM(O175))=0,LEN(TRIM(P175))=0),"ADMIN_INCOMPLETE",IF(H175&lt;&gt;"Yes","ADMIN_INVALID",IF(I175="Not feasible","BURDEN_NOT_FEASIBLE",IF(AI175&lt;&gt;"OK","UNRECOGNISED_VALUE","CLEAR")))))))</f>
        <v/>
      </c>
      <c r="AF175">
        <f>IF(AND(Q175="",R175=""),"",IF(IF(Q175&lt;&gt;"",Q175,R175)="Stage-A admissible - scoped","stage_a_admissible_scoped",IF(IF(Q175&lt;&gt;"",Q175,R175)="Stage-A admissible - scoped, control-dependent","stage_a_admissible_scoped_control_dependent",IF(IF(Q175&lt;&gt;"",Q175,R175)="Stage-A non-admissible - patchable","stage_a_non_admissible_patchable",IF(IF(Q175&lt;&gt;"",Q175,R175)="Stage-A non-admissible - unpatchable for stated claim","stage_a_non_admissible_unpatchable_for_stated_claim",IF(IF(Q175&lt;&gt;"",Q175,R175)="Indeterminate - insufficient evidence","indeterminate_insufficient_evidence",IF(IF(Q175&lt;&gt;"",Q175,R175)="Protocol refusal to evaluate","protocol_refusal_to_evaluate",IF(IF(Q175&lt;&gt;"",Q175,R175)="Out of scope","out_of_scope",IF(IF(Q175&lt;&gt;"",Q175,R175)="Withdrawn","withdrawn",IF(IF(Q175&lt;&gt;"",Q175,R175)="Not reviewed","not_reviewed","unknown_status"))))))))))</f>
        <v/>
      </c>
      <c r="AG175">
        <f>IF(AND(AF175="",T175=""),"",IF(AND(AF175&lt;&gt;"",ISNUMBER(SEARCH("token="&amp;AF175&amp;";",T175)),ISNUMBER(SEARCH(AK175,T175)),ISNUMBER(SEARCH("CL basis="&amp;AL175&amp;";",T175))),"VALID","INVALID_OR_INCOMPLETE"))</f>
        <v/>
      </c>
      <c r="AH175">
        <f>COUNTIF(K175:P175,"Adequate for scope")</f>
        <v/>
      </c>
      <c r="AI175">
        <f>IF(COUNTA(K175:P175)=0,"",IF(AA175+AB175+AC175+AD175+AH175=6,"OK","UNRECOGNISED_VALUE"))</f>
        <v/>
      </c>
      <c r="AJ175" s="303" t="n"/>
      <c r="AK175" s="303">
        <f>IF(A175="","",Vocabulary!$B$5)</f>
        <v/>
      </c>
      <c r="AL175" s="303">
        <f>IF(A175="","",Vocabulary!$B$6)</f>
        <v/>
      </c>
      <c r="AM175" s="303">
        <f>IF(AJ175="","OK",IF(COUNTIF(Vocabulary!$O$5:$O$8,AJ175)=1,"OK","UNRECOGNISED_ADMIN_DISPOSITION"))</f>
        <v/>
      </c>
    </row>
    <row r="176">
      <c r="Q176">
        <f>IF(AE176="","",IF(AE176="ADMIN_DISPOSITION",AJ176,IF(OR(AE176="ADMIN_INCOMPLETE",AE176="ADMIN_INVALID",AE176="BURDEN_NOT_FEASIBLE",AE176="UNRECOGNISED_VALUE",AE176="UNRECOGNISED_ADMIN_DISPOSITION"),"Protocol refusal to evaluate",IF(AA176&gt;0,"Stage-A non-admissible - unpatchable for stated claim",IF(AB176&gt;0,"Stage-A non-admissible - patchable",IF(OR(J176="Yes",I176="Indeterminate",AC176&gt;0),"Indeterminate - insufficient evidence",IF(AND(AH176=6,AD176=0),"Stage-A admissible - scoped",IF(AND(AH176+AD176=6,AD176&gt;0),"Stage-A admissible - scoped, control-dependent","Protocol refusal to evaluate"))))))))</f>
        <v/>
      </c>
      <c r="S176">
        <f>IF(AND(Q176="",R176=""),"",IF(AND(Q176&lt;&gt;"",R176=""),"UNRECORDED",IF(AND(Q176="",R176&lt;&gt;""),"ORPHAN_RECORDED",IF(Q176=R176,"MATCH","MISMATCH"))))</f>
        <v/>
      </c>
      <c r="AA176">
        <f>COUNTIF(K176:P176,"Material defect - unpatchable for stated claim")</f>
        <v/>
      </c>
      <c r="AB176">
        <f>COUNTIF(K176:P176,"Material defect - patchable")</f>
        <v/>
      </c>
      <c r="AC176">
        <f>COUNTIF(K176:P176,"Indeterminate")+COUNTIF(K176:P176,"Not reviewed")</f>
        <v/>
      </c>
      <c r="AD176">
        <f>COUNTIF(K176:P176,"Adequate - control-dependent")</f>
        <v/>
      </c>
      <c r="AE176">
        <f>IF(COUNTA(A176:P176)+COUNTA(AJ176)=0,"",IF(AM176&lt;&gt;"OK","UNRECOGNISED_ADMIN_DISPOSITION",IF(AND(AJ176&lt;&gt;"",AJ176&lt;&gt;"None"),IF(OR(LEN(TRIM(A176))=0,LEN(TRIM(B176))=0,LEN(TRIM(C176))=0,LEN(TRIM(F176))=0),"ADMIN_INCOMPLETE","ADMIN_DISPOSITION"),IF(OR(LEN(TRIM(A176))=0,LEN(TRIM(B176))=0,LEN(TRIM(C176))=0,LEN(TRIM(D176))=0,LEN(TRIM(E176))=0,LEN(TRIM(F176))=0,LEN(TRIM(G176))=0,LEN(TRIM(H176))=0,LEN(TRIM(I176))=0,LEN(TRIM(J176))=0,LEN(TRIM(K176))=0,LEN(TRIM(L176))=0,LEN(TRIM(M176))=0,LEN(TRIM(N176))=0,LEN(TRIM(O176))=0,LEN(TRIM(P176))=0),"ADMIN_INCOMPLETE",IF(H176&lt;&gt;"Yes","ADMIN_INVALID",IF(I176="Not feasible","BURDEN_NOT_FEASIBLE",IF(AI176&lt;&gt;"OK","UNRECOGNISED_VALUE","CLEAR")))))))</f>
        <v/>
      </c>
      <c r="AF176">
        <f>IF(AND(Q176="",R176=""),"",IF(IF(Q176&lt;&gt;"",Q176,R176)="Stage-A admissible - scoped","stage_a_admissible_scoped",IF(IF(Q176&lt;&gt;"",Q176,R176)="Stage-A admissible - scoped, control-dependent","stage_a_admissible_scoped_control_dependent",IF(IF(Q176&lt;&gt;"",Q176,R176)="Stage-A non-admissible - patchable","stage_a_non_admissible_patchable",IF(IF(Q176&lt;&gt;"",Q176,R176)="Stage-A non-admissible - unpatchable for stated claim","stage_a_non_admissible_unpatchable_for_stated_claim",IF(IF(Q176&lt;&gt;"",Q176,R176)="Indeterminate - insufficient evidence","indeterminate_insufficient_evidence",IF(IF(Q176&lt;&gt;"",Q176,R176)="Protocol refusal to evaluate","protocol_refusal_to_evaluate",IF(IF(Q176&lt;&gt;"",Q176,R176)="Out of scope","out_of_scope",IF(IF(Q176&lt;&gt;"",Q176,R176)="Withdrawn","withdrawn",IF(IF(Q176&lt;&gt;"",Q176,R176)="Not reviewed","not_reviewed","unknown_status"))))))))))</f>
        <v/>
      </c>
      <c r="AG176">
        <f>IF(AND(AF176="",T176=""),"",IF(AND(AF176&lt;&gt;"",ISNUMBER(SEARCH("token="&amp;AF176&amp;";",T176)),ISNUMBER(SEARCH(AK176,T176)),ISNUMBER(SEARCH("CL basis="&amp;AL176&amp;";",T176))),"VALID","INVALID_OR_INCOMPLETE"))</f>
        <v/>
      </c>
      <c r="AH176">
        <f>COUNTIF(K176:P176,"Adequate for scope")</f>
        <v/>
      </c>
      <c r="AI176">
        <f>IF(COUNTA(K176:P176)=0,"",IF(AA176+AB176+AC176+AD176+AH176=6,"OK","UNRECOGNISED_VALUE"))</f>
        <v/>
      </c>
      <c r="AJ176" s="303" t="n"/>
      <c r="AK176" s="303">
        <f>IF(A176="","",Vocabulary!$B$5)</f>
        <v/>
      </c>
      <c r="AL176" s="303">
        <f>IF(A176="","",Vocabulary!$B$6)</f>
        <v/>
      </c>
      <c r="AM176" s="303">
        <f>IF(AJ176="","OK",IF(COUNTIF(Vocabulary!$O$5:$O$8,AJ176)=1,"OK","UNRECOGNISED_ADMIN_DISPOSITION"))</f>
        <v/>
      </c>
    </row>
    <row r="177">
      <c r="Q177">
        <f>IF(AE177="","",IF(AE177="ADMIN_DISPOSITION",AJ177,IF(OR(AE177="ADMIN_INCOMPLETE",AE177="ADMIN_INVALID",AE177="BURDEN_NOT_FEASIBLE",AE177="UNRECOGNISED_VALUE",AE177="UNRECOGNISED_ADMIN_DISPOSITION"),"Protocol refusal to evaluate",IF(AA177&gt;0,"Stage-A non-admissible - unpatchable for stated claim",IF(AB177&gt;0,"Stage-A non-admissible - patchable",IF(OR(J177="Yes",I177="Indeterminate",AC177&gt;0),"Indeterminate - insufficient evidence",IF(AND(AH177=6,AD177=0),"Stage-A admissible - scoped",IF(AND(AH177+AD177=6,AD177&gt;0),"Stage-A admissible - scoped, control-dependent","Protocol refusal to evaluate"))))))))</f>
        <v/>
      </c>
      <c r="S177">
        <f>IF(AND(Q177="",R177=""),"",IF(AND(Q177&lt;&gt;"",R177=""),"UNRECORDED",IF(AND(Q177="",R177&lt;&gt;""),"ORPHAN_RECORDED",IF(Q177=R177,"MATCH","MISMATCH"))))</f>
        <v/>
      </c>
      <c r="AA177">
        <f>COUNTIF(K177:P177,"Material defect - unpatchable for stated claim")</f>
        <v/>
      </c>
      <c r="AB177">
        <f>COUNTIF(K177:P177,"Material defect - patchable")</f>
        <v/>
      </c>
      <c r="AC177">
        <f>COUNTIF(K177:P177,"Indeterminate")+COUNTIF(K177:P177,"Not reviewed")</f>
        <v/>
      </c>
      <c r="AD177">
        <f>COUNTIF(K177:P177,"Adequate - control-dependent")</f>
        <v/>
      </c>
      <c r="AE177">
        <f>IF(COUNTA(A177:P177)+COUNTA(AJ177)=0,"",IF(AM177&lt;&gt;"OK","UNRECOGNISED_ADMIN_DISPOSITION",IF(AND(AJ177&lt;&gt;"",AJ177&lt;&gt;"None"),IF(OR(LEN(TRIM(A177))=0,LEN(TRIM(B177))=0,LEN(TRIM(C177))=0,LEN(TRIM(F177))=0),"ADMIN_INCOMPLETE","ADMIN_DISPOSITION"),IF(OR(LEN(TRIM(A177))=0,LEN(TRIM(B177))=0,LEN(TRIM(C177))=0,LEN(TRIM(D177))=0,LEN(TRIM(E177))=0,LEN(TRIM(F177))=0,LEN(TRIM(G177))=0,LEN(TRIM(H177))=0,LEN(TRIM(I177))=0,LEN(TRIM(J177))=0,LEN(TRIM(K177))=0,LEN(TRIM(L177))=0,LEN(TRIM(M177))=0,LEN(TRIM(N177))=0,LEN(TRIM(O177))=0,LEN(TRIM(P177))=0),"ADMIN_INCOMPLETE",IF(H177&lt;&gt;"Yes","ADMIN_INVALID",IF(I177="Not feasible","BURDEN_NOT_FEASIBLE",IF(AI177&lt;&gt;"OK","UNRECOGNISED_VALUE","CLEAR")))))))</f>
        <v/>
      </c>
      <c r="AF177">
        <f>IF(AND(Q177="",R177=""),"",IF(IF(Q177&lt;&gt;"",Q177,R177)="Stage-A admissible - scoped","stage_a_admissible_scoped",IF(IF(Q177&lt;&gt;"",Q177,R177)="Stage-A admissible - scoped, control-dependent","stage_a_admissible_scoped_control_dependent",IF(IF(Q177&lt;&gt;"",Q177,R177)="Stage-A non-admissible - patchable","stage_a_non_admissible_patchable",IF(IF(Q177&lt;&gt;"",Q177,R177)="Stage-A non-admissible - unpatchable for stated claim","stage_a_non_admissible_unpatchable_for_stated_claim",IF(IF(Q177&lt;&gt;"",Q177,R177)="Indeterminate - insufficient evidence","indeterminate_insufficient_evidence",IF(IF(Q177&lt;&gt;"",Q177,R177)="Protocol refusal to evaluate","protocol_refusal_to_evaluate",IF(IF(Q177&lt;&gt;"",Q177,R177)="Out of scope","out_of_scope",IF(IF(Q177&lt;&gt;"",Q177,R177)="Withdrawn","withdrawn",IF(IF(Q177&lt;&gt;"",Q177,R177)="Not reviewed","not_reviewed","unknown_status"))))))))))</f>
        <v/>
      </c>
      <c r="AG177">
        <f>IF(AND(AF177="",T177=""),"",IF(AND(AF177&lt;&gt;"",ISNUMBER(SEARCH("token="&amp;AF177&amp;";",T177)),ISNUMBER(SEARCH(AK177,T177)),ISNUMBER(SEARCH("CL basis="&amp;AL177&amp;";",T177))),"VALID","INVALID_OR_INCOMPLETE"))</f>
        <v/>
      </c>
      <c r="AH177">
        <f>COUNTIF(K177:P177,"Adequate for scope")</f>
        <v/>
      </c>
      <c r="AI177">
        <f>IF(COUNTA(K177:P177)=0,"",IF(AA177+AB177+AC177+AD177+AH177=6,"OK","UNRECOGNISED_VALUE"))</f>
        <v/>
      </c>
      <c r="AJ177" s="303" t="n"/>
      <c r="AK177" s="303">
        <f>IF(A177="","",Vocabulary!$B$5)</f>
        <v/>
      </c>
      <c r="AL177" s="303">
        <f>IF(A177="","",Vocabulary!$B$6)</f>
        <v/>
      </c>
      <c r="AM177" s="303">
        <f>IF(AJ177="","OK",IF(COUNTIF(Vocabulary!$O$5:$O$8,AJ177)=1,"OK","UNRECOGNISED_ADMIN_DISPOSITION"))</f>
        <v/>
      </c>
    </row>
    <row r="178">
      <c r="Q178">
        <f>IF(AE178="","",IF(AE178="ADMIN_DISPOSITION",AJ178,IF(OR(AE178="ADMIN_INCOMPLETE",AE178="ADMIN_INVALID",AE178="BURDEN_NOT_FEASIBLE",AE178="UNRECOGNISED_VALUE",AE178="UNRECOGNISED_ADMIN_DISPOSITION"),"Protocol refusal to evaluate",IF(AA178&gt;0,"Stage-A non-admissible - unpatchable for stated claim",IF(AB178&gt;0,"Stage-A non-admissible - patchable",IF(OR(J178="Yes",I178="Indeterminate",AC178&gt;0),"Indeterminate - insufficient evidence",IF(AND(AH178=6,AD178=0),"Stage-A admissible - scoped",IF(AND(AH178+AD178=6,AD178&gt;0),"Stage-A admissible - scoped, control-dependent","Protocol refusal to evaluate"))))))))</f>
        <v/>
      </c>
      <c r="S178">
        <f>IF(AND(Q178="",R178=""),"",IF(AND(Q178&lt;&gt;"",R178=""),"UNRECORDED",IF(AND(Q178="",R178&lt;&gt;""),"ORPHAN_RECORDED",IF(Q178=R178,"MATCH","MISMATCH"))))</f>
        <v/>
      </c>
      <c r="AA178">
        <f>COUNTIF(K178:P178,"Material defect - unpatchable for stated claim")</f>
        <v/>
      </c>
      <c r="AB178">
        <f>COUNTIF(K178:P178,"Material defect - patchable")</f>
        <v/>
      </c>
      <c r="AC178">
        <f>COUNTIF(K178:P178,"Indeterminate")+COUNTIF(K178:P178,"Not reviewed")</f>
        <v/>
      </c>
      <c r="AD178">
        <f>COUNTIF(K178:P178,"Adequate - control-dependent")</f>
        <v/>
      </c>
      <c r="AE178">
        <f>IF(COUNTA(A178:P178)+COUNTA(AJ178)=0,"",IF(AM178&lt;&gt;"OK","UNRECOGNISED_ADMIN_DISPOSITION",IF(AND(AJ178&lt;&gt;"",AJ178&lt;&gt;"None"),IF(OR(LEN(TRIM(A178))=0,LEN(TRIM(B178))=0,LEN(TRIM(C178))=0,LEN(TRIM(F178))=0),"ADMIN_INCOMPLETE","ADMIN_DISPOSITION"),IF(OR(LEN(TRIM(A178))=0,LEN(TRIM(B178))=0,LEN(TRIM(C178))=0,LEN(TRIM(D178))=0,LEN(TRIM(E178))=0,LEN(TRIM(F178))=0,LEN(TRIM(G178))=0,LEN(TRIM(H178))=0,LEN(TRIM(I178))=0,LEN(TRIM(J178))=0,LEN(TRIM(K178))=0,LEN(TRIM(L178))=0,LEN(TRIM(M178))=0,LEN(TRIM(N178))=0,LEN(TRIM(O178))=0,LEN(TRIM(P178))=0),"ADMIN_INCOMPLETE",IF(H178&lt;&gt;"Yes","ADMIN_INVALID",IF(I178="Not feasible","BURDEN_NOT_FEASIBLE",IF(AI178&lt;&gt;"OK","UNRECOGNISED_VALUE","CLEAR")))))))</f>
        <v/>
      </c>
      <c r="AF178">
        <f>IF(AND(Q178="",R178=""),"",IF(IF(Q178&lt;&gt;"",Q178,R178)="Stage-A admissible - scoped","stage_a_admissible_scoped",IF(IF(Q178&lt;&gt;"",Q178,R178)="Stage-A admissible - scoped, control-dependent","stage_a_admissible_scoped_control_dependent",IF(IF(Q178&lt;&gt;"",Q178,R178)="Stage-A non-admissible - patchable","stage_a_non_admissible_patchable",IF(IF(Q178&lt;&gt;"",Q178,R178)="Stage-A non-admissible - unpatchable for stated claim","stage_a_non_admissible_unpatchable_for_stated_claim",IF(IF(Q178&lt;&gt;"",Q178,R178)="Indeterminate - insufficient evidence","indeterminate_insufficient_evidence",IF(IF(Q178&lt;&gt;"",Q178,R178)="Protocol refusal to evaluate","protocol_refusal_to_evaluate",IF(IF(Q178&lt;&gt;"",Q178,R178)="Out of scope","out_of_scope",IF(IF(Q178&lt;&gt;"",Q178,R178)="Withdrawn","withdrawn",IF(IF(Q178&lt;&gt;"",Q178,R178)="Not reviewed","not_reviewed","unknown_status"))))))))))</f>
        <v/>
      </c>
      <c r="AG178">
        <f>IF(AND(AF178="",T178=""),"",IF(AND(AF178&lt;&gt;"",ISNUMBER(SEARCH("token="&amp;AF178&amp;";",T178)),ISNUMBER(SEARCH(AK178,T178)),ISNUMBER(SEARCH("CL basis="&amp;AL178&amp;";",T178))),"VALID","INVALID_OR_INCOMPLETE"))</f>
        <v/>
      </c>
      <c r="AH178">
        <f>COUNTIF(K178:P178,"Adequate for scope")</f>
        <v/>
      </c>
      <c r="AI178">
        <f>IF(COUNTA(K178:P178)=0,"",IF(AA178+AB178+AC178+AD178+AH178=6,"OK","UNRECOGNISED_VALUE"))</f>
        <v/>
      </c>
      <c r="AJ178" s="303" t="n"/>
      <c r="AK178" s="303">
        <f>IF(A178="","",Vocabulary!$B$5)</f>
        <v/>
      </c>
      <c r="AL178" s="303">
        <f>IF(A178="","",Vocabulary!$B$6)</f>
        <v/>
      </c>
      <c r="AM178" s="303">
        <f>IF(AJ178="","OK",IF(COUNTIF(Vocabulary!$O$5:$O$8,AJ178)=1,"OK","UNRECOGNISED_ADMIN_DISPOSITION"))</f>
        <v/>
      </c>
    </row>
    <row r="179">
      <c r="Q179">
        <f>IF(AE179="","",IF(AE179="ADMIN_DISPOSITION",AJ179,IF(OR(AE179="ADMIN_INCOMPLETE",AE179="ADMIN_INVALID",AE179="BURDEN_NOT_FEASIBLE",AE179="UNRECOGNISED_VALUE",AE179="UNRECOGNISED_ADMIN_DISPOSITION"),"Protocol refusal to evaluate",IF(AA179&gt;0,"Stage-A non-admissible - unpatchable for stated claim",IF(AB179&gt;0,"Stage-A non-admissible - patchable",IF(OR(J179="Yes",I179="Indeterminate",AC179&gt;0),"Indeterminate - insufficient evidence",IF(AND(AH179=6,AD179=0),"Stage-A admissible - scoped",IF(AND(AH179+AD179=6,AD179&gt;0),"Stage-A admissible - scoped, control-dependent","Protocol refusal to evaluate"))))))))</f>
        <v/>
      </c>
      <c r="S179">
        <f>IF(AND(Q179="",R179=""),"",IF(AND(Q179&lt;&gt;"",R179=""),"UNRECORDED",IF(AND(Q179="",R179&lt;&gt;""),"ORPHAN_RECORDED",IF(Q179=R179,"MATCH","MISMATCH"))))</f>
        <v/>
      </c>
      <c r="AA179">
        <f>COUNTIF(K179:P179,"Material defect - unpatchable for stated claim")</f>
        <v/>
      </c>
      <c r="AB179">
        <f>COUNTIF(K179:P179,"Material defect - patchable")</f>
        <v/>
      </c>
      <c r="AC179">
        <f>COUNTIF(K179:P179,"Indeterminate")+COUNTIF(K179:P179,"Not reviewed")</f>
        <v/>
      </c>
      <c r="AD179">
        <f>COUNTIF(K179:P179,"Adequate - control-dependent")</f>
        <v/>
      </c>
      <c r="AE179">
        <f>IF(COUNTA(A179:P179)+COUNTA(AJ179)=0,"",IF(AM179&lt;&gt;"OK","UNRECOGNISED_ADMIN_DISPOSITION",IF(AND(AJ179&lt;&gt;"",AJ179&lt;&gt;"None"),IF(OR(LEN(TRIM(A179))=0,LEN(TRIM(B179))=0,LEN(TRIM(C179))=0,LEN(TRIM(F179))=0),"ADMIN_INCOMPLETE","ADMIN_DISPOSITION"),IF(OR(LEN(TRIM(A179))=0,LEN(TRIM(B179))=0,LEN(TRIM(C179))=0,LEN(TRIM(D179))=0,LEN(TRIM(E179))=0,LEN(TRIM(F179))=0,LEN(TRIM(G179))=0,LEN(TRIM(H179))=0,LEN(TRIM(I179))=0,LEN(TRIM(J179))=0,LEN(TRIM(K179))=0,LEN(TRIM(L179))=0,LEN(TRIM(M179))=0,LEN(TRIM(N179))=0,LEN(TRIM(O179))=0,LEN(TRIM(P179))=0),"ADMIN_INCOMPLETE",IF(H179&lt;&gt;"Yes","ADMIN_INVALID",IF(I179="Not feasible","BURDEN_NOT_FEASIBLE",IF(AI179&lt;&gt;"OK","UNRECOGNISED_VALUE","CLEAR")))))))</f>
        <v/>
      </c>
      <c r="AF179">
        <f>IF(AND(Q179="",R179=""),"",IF(IF(Q179&lt;&gt;"",Q179,R179)="Stage-A admissible - scoped","stage_a_admissible_scoped",IF(IF(Q179&lt;&gt;"",Q179,R179)="Stage-A admissible - scoped, control-dependent","stage_a_admissible_scoped_control_dependent",IF(IF(Q179&lt;&gt;"",Q179,R179)="Stage-A non-admissible - patchable","stage_a_non_admissible_patchable",IF(IF(Q179&lt;&gt;"",Q179,R179)="Stage-A non-admissible - unpatchable for stated claim","stage_a_non_admissible_unpatchable_for_stated_claim",IF(IF(Q179&lt;&gt;"",Q179,R179)="Indeterminate - insufficient evidence","indeterminate_insufficient_evidence",IF(IF(Q179&lt;&gt;"",Q179,R179)="Protocol refusal to evaluate","protocol_refusal_to_evaluate",IF(IF(Q179&lt;&gt;"",Q179,R179)="Out of scope","out_of_scope",IF(IF(Q179&lt;&gt;"",Q179,R179)="Withdrawn","withdrawn",IF(IF(Q179&lt;&gt;"",Q179,R179)="Not reviewed","not_reviewed","unknown_status"))))))))))</f>
        <v/>
      </c>
      <c r="AG179">
        <f>IF(AND(AF179="",T179=""),"",IF(AND(AF179&lt;&gt;"",ISNUMBER(SEARCH("token="&amp;AF179&amp;";",T179)),ISNUMBER(SEARCH(AK179,T179)),ISNUMBER(SEARCH("CL basis="&amp;AL179&amp;";",T179))),"VALID","INVALID_OR_INCOMPLETE"))</f>
        <v/>
      </c>
      <c r="AH179">
        <f>COUNTIF(K179:P179,"Adequate for scope")</f>
        <v/>
      </c>
      <c r="AI179">
        <f>IF(COUNTA(K179:P179)=0,"",IF(AA179+AB179+AC179+AD179+AH179=6,"OK","UNRECOGNISED_VALUE"))</f>
        <v/>
      </c>
      <c r="AJ179" s="303" t="n"/>
      <c r="AK179" s="303">
        <f>IF(A179="","",Vocabulary!$B$5)</f>
        <v/>
      </c>
      <c r="AL179" s="303">
        <f>IF(A179="","",Vocabulary!$B$6)</f>
        <v/>
      </c>
      <c r="AM179" s="303">
        <f>IF(AJ179="","OK",IF(COUNTIF(Vocabulary!$O$5:$O$8,AJ179)=1,"OK","UNRECOGNISED_ADMIN_DISPOSITION"))</f>
        <v/>
      </c>
    </row>
    <row r="180">
      <c r="Q180">
        <f>IF(AE180="","",IF(AE180="ADMIN_DISPOSITION",AJ180,IF(OR(AE180="ADMIN_INCOMPLETE",AE180="ADMIN_INVALID",AE180="BURDEN_NOT_FEASIBLE",AE180="UNRECOGNISED_VALUE",AE180="UNRECOGNISED_ADMIN_DISPOSITION"),"Protocol refusal to evaluate",IF(AA180&gt;0,"Stage-A non-admissible - unpatchable for stated claim",IF(AB180&gt;0,"Stage-A non-admissible - patchable",IF(OR(J180="Yes",I180="Indeterminate",AC180&gt;0),"Indeterminate - insufficient evidence",IF(AND(AH180=6,AD180=0),"Stage-A admissible - scoped",IF(AND(AH180+AD180=6,AD180&gt;0),"Stage-A admissible - scoped, control-dependent","Protocol refusal to evaluate"))))))))</f>
        <v/>
      </c>
      <c r="S180">
        <f>IF(AND(Q180="",R180=""),"",IF(AND(Q180&lt;&gt;"",R180=""),"UNRECORDED",IF(AND(Q180="",R180&lt;&gt;""),"ORPHAN_RECORDED",IF(Q180=R180,"MATCH","MISMATCH"))))</f>
        <v/>
      </c>
      <c r="AA180">
        <f>COUNTIF(K180:P180,"Material defect - unpatchable for stated claim")</f>
        <v/>
      </c>
      <c r="AB180">
        <f>COUNTIF(K180:P180,"Material defect - patchable")</f>
        <v/>
      </c>
      <c r="AC180">
        <f>COUNTIF(K180:P180,"Indeterminate")+COUNTIF(K180:P180,"Not reviewed")</f>
        <v/>
      </c>
      <c r="AD180">
        <f>COUNTIF(K180:P180,"Adequate - control-dependent")</f>
        <v/>
      </c>
      <c r="AE180">
        <f>IF(COUNTA(A180:P180)+COUNTA(AJ180)=0,"",IF(AM180&lt;&gt;"OK","UNRECOGNISED_ADMIN_DISPOSITION",IF(AND(AJ180&lt;&gt;"",AJ180&lt;&gt;"None"),IF(OR(LEN(TRIM(A180))=0,LEN(TRIM(B180))=0,LEN(TRIM(C180))=0,LEN(TRIM(F180))=0),"ADMIN_INCOMPLETE","ADMIN_DISPOSITION"),IF(OR(LEN(TRIM(A180))=0,LEN(TRIM(B180))=0,LEN(TRIM(C180))=0,LEN(TRIM(D180))=0,LEN(TRIM(E180))=0,LEN(TRIM(F180))=0,LEN(TRIM(G180))=0,LEN(TRIM(H180))=0,LEN(TRIM(I180))=0,LEN(TRIM(J180))=0,LEN(TRIM(K180))=0,LEN(TRIM(L180))=0,LEN(TRIM(M180))=0,LEN(TRIM(N180))=0,LEN(TRIM(O180))=0,LEN(TRIM(P180))=0),"ADMIN_INCOMPLETE",IF(H180&lt;&gt;"Yes","ADMIN_INVALID",IF(I180="Not feasible","BURDEN_NOT_FEASIBLE",IF(AI180&lt;&gt;"OK","UNRECOGNISED_VALUE","CLEAR")))))))</f>
        <v/>
      </c>
      <c r="AF180">
        <f>IF(AND(Q180="",R180=""),"",IF(IF(Q180&lt;&gt;"",Q180,R180)="Stage-A admissible - scoped","stage_a_admissible_scoped",IF(IF(Q180&lt;&gt;"",Q180,R180)="Stage-A admissible - scoped, control-dependent","stage_a_admissible_scoped_control_dependent",IF(IF(Q180&lt;&gt;"",Q180,R180)="Stage-A non-admissible - patchable","stage_a_non_admissible_patchable",IF(IF(Q180&lt;&gt;"",Q180,R180)="Stage-A non-admissible - unpatchable for stated claim","stage_a_non_admissible_unpatchable_for_stated_claim",IF(IF(Q180&lt;&gt;"",Q180,R180)="Indeterminate - insufficient evidence","indeterminate_insufficient_evidence",IF(IF(Q180&lt;&gt;"",Q180,R180)="Protocol refusal to evaluate","protocol_refusal_to_evaluate",IF(IF(Q180&lt;&gt;"",Q180,R180)="Out of scope","out_of_scope",IF(IF(Q180&lt;&gt;"",Q180,R180)="Withdrawn","withdrawn",IF(IF(Q180&lt;&gt;"",Q180,R180)="Not reviewed","not_reviewed","unknown_status"))))))))))</f>
        <v/>
      </c>
      <c r="AG180">
        <f>IF(AND(AF180="",T180=""),"",IF(AND(AF180&lt;&gt;"",ISNUMBER(SEARCH("token="&amp;AF180&amp;";",T180)),ISNUMBER(SEARCH(AK180,T180)),ISNUMBER(SEARCH("CL basis="&amp;AL180&amp;";",T180))),"VALID","INVALID_OR_INCOMPLETE"))</f>
        <v/>
      </c>
      <c r="AH180">
        <f>COUNTIF(K180:P180,"Adequate for scope")</f>
        <v/>
      </c>
      <c r="AI180">
        <f>IF(COUNTA(K180:P180)=0,"",IF(AA180+AB180+AC180+AD180+AH180=6,"OK","UNRECOGNISED_VALUE"))</f>
        <v/>
      </c>
      <c r="AJ180" s="303" t="n"/>
      <c r="AK180" s="303">
        <f>IF(A180="","",Vocabulary!$B$5)</f>
        <v/>
      </c>
      <c r="AL180" s="303">
        <f>IF(A180="","",Vocabulary!$B$6)</f>
        <v/>
      </c>
      <c r="AM180" s="303">
        <f>IF(AJ180="","OK",IF(COUNTIF(Vocabulary!$O$5:$O$8,AJ180)=1,"OK","UNRECOGNISED_ADMIN_DISPOSITION"))</f>
        <v/>
      </c>
    </row>
    <row r="181">
      <c r="Q181">
        <f>IF(AE181="","",IF(AE181="ADMIN_DISPOSITION",AJ181,IF(OR(AE181="ADMIN_INCOMPLETE",AE181="ADMIN_INVALID",AE181="BURDEN_NOT_FEASIBLE",AE181="UNRECOGNISED_VALUE",AE181="UNRECOGNISED_ADMIN_DISPOSITION"),"Protocol refusal to evaluate",IF(AA181&gt;0,"Stage-A non-admissible - unpatchable for stated claim",IF(AB181&gt;0,"Stage-A non-admissible - patchable",IF(OR(J181="Yes",I181="Indeterminate",AC181&gt;0),"Indeterminate - insufficient evidence",IF(AND(AH181=6,AD181=0),"Stage-A admissible - scoped",IF(AND(AH181+AD181=6,AD181&gt;0),"Stage-A admissible - scoped, control-dependent","Protocol refusal to evaluate"))))))))</f>
        <v/>
      </c>
      <c r="S181">
        <f>IF(AND(Q181="",R181=""),"",IF(AND(Q181&lt;&gt;"",R181=""),"UNRECORDED",IF(AND(Q181="",R181&lt;&gt;""),"ORPHAN_RECORDED",IF(Q181=R181,"MATCH","MISMATCH"))))</f>
        <v/>
      </c>
      <c r="AA181">
        <f>COUNTIF(K181:P181,"Material defect - unpatchable for stated claim")</f>
        <v/>
      </c>
      <c r="AB181">
        <f>COUNTIF(K181:P181,"Material defect - patchable")</f>
        <v/>
      </c>
      <c r="AC181">
        <f>COUNTIF(K181:P181,"Indeterminate")+COUNTIF(K181:P181,"Not reviewed")</f>
        <v/>
      </c>
      <c r="AD181">
        <f>COUNTIF(K181:P181,"Adequate - control-dependent")</f>
        <v/>
      </c>
      <c r="AE181">
        <f>IF(COUNTA(A181:P181)+COUNTA(AJ181)=0,"",IF(AM181&lt;&gt;"OK","UNRECOGNISED_ADMIN_DISPOSITION",IF(AND(AJ181&lt;&gt;"",AJ181&lt;&gt;"None"),IF(OR(LEN(TRIM(A181))=0,LEN(TRIM(B181))=0,LEN(TRIM(C181))=0,LEN(TRIM(F181))=0),"ADMIN_INCOMPLETE","ADMIN_DISPOSITION"),IF(OR(LEN(TRIM(A181))=0,LEN(TRIM(B181))=0,LEN(TRIM(C181))=0,LEN(TRIM(D181))=0,LEN(TRIM(E181))=0,LEN(TRIM(F181))=0,LEN(TRIM(G181))=0,LEN(TRIM(H181))=0,LEN(TRIM(I181))=0,LEN(TRIM(J181))=0,LEN(TRIM(K181))=0,LEN(TRIM(L181))=0,LEN(TRIM(M181))=0,LEN(TRIM(N181))=0,LEN(TRIM(O181))=0,LEN(TRIM(P181))=0),"ADMIN_INCOMPLETE",IF(H181&lt;&gt;"Yes","ADMIN_INVALID",IF(I181="Not feasible","BURDEN_NOT_FEASIBLE",IF(AI181&lt;&gt;"OK","UNRECOGNISED_VALUE","CLEAR")))))))</f>
        <v/>
      </c>
      <c r="AF181">
        <f>IF(AND(Q181="",R181=""),"",IF(IF(Q181&lt;&gt;"",Q181,R181)="Stage-A admissible - scoped","stage_a_admissible_scoped",IF(IF(Q181&lt;&gt;"",Q181,R181)="Stage-A admissible - scoped, control-dependent","stage_a_admissible_scoped_control_dependent",IF(IF(Q181&lt;&gt;"",Q181,R181)="Stage-A non-admissible - patchable","stage_a_non_admissible_patchable",IF(IF(Q181&lt;&gt;"",Q181,R181)="Stage-A non-admissible - unpatchable for stated claim","stage_a_non_admissible_unpatchable_for_stated_claim",IF(IF(Q181&lt;&gt;"",Q181,R181)="Indeterminate - insufficient evidence","indeterminate_insufficient_evidence",IF(IF(Q181&lt;&gt;"",Q181,R181)="Protocol refusal to evaluate","protocol_refusal_to_evaluate",IF(IF(Q181&lt;&gt;"",Q181,R181)="Out of scope","out_of_scope",IF(IF(Q181&lt;&gt;"",Q181,R181)="Withdrawn","withdrawn",IF(IF(Q181&lt;&gt;"",Q181,R181)="Not reviewed","not_reviewed","unknown_status"))))))))))</f>
        <v/>
      </c>
      <c r="AG181">
        <f>IF(AND(AF181="",T181=""),"",IF(AND(AF181&lt;&gt;"",ISNUMBER(SEARCH("token="&amp;AF181&amp;";",T181)),ISNUMBER(SEARCH(AK181,T181)),ISNUMBER(SEARCH("CL basis="&amp;AL181&amp;";",T181))),"VALID","INVALID_OR_INCOMPLETE"))</f>
        <v/>
      </c>
      <c r="AH181">
        <f>COUNTIF(K181:P181,"Adequate for scope")</f>
        <v/>
      </c>
      <c r="AI181">
        <f>IF(COUNTA(K181:P181)=0,"",IF(AA181+AB181+AC181+AD181+AH181=6,"OK","UNRECOGNISED_VALUE"))</f>
        <v/>
      </c>
      <c r="AJ181" s="303" t="n"/>
      <c r="AK181" s="303">
        <f>IF(A181="","",Vocabulary!$B$5)</f>
        <v/>
      </c>
      <c r="AL181" s="303">
        <f>IF(A181="","",Vocabulary!$B$6)</f>
        <v/>
      </c>
      <c r="AM181" s="303">
        <f>IF(AJ181="","OK",IF(COUNTIF(Vocabulary!$O$5:$O$8,AJ181)=1,"OK","UNRECOGNISED_ADMIN_DISPOSITION"))</f>
        <v/>
      </c>
    </row>
    <row r="182">
      <c r="Q182">
        <f>IF(AE182="","",IF(AE182="ADMIN_DISPOSITION",AJ182,IF(OR(AE182="ADMIN_INCOMPLETE",AE182="ADMIN_INVALID",AE182="BURDEN_NOT_FEASIBLE",AE182="UNRECOGNISED_VALUE",AE182="UNRECOGNISED_ADMIN_DISPOSITION"),"Protocol refusal to evaluate",IF(AA182&gt;0,"Stage-A non-admissible - unpatchable for stated claim",IF(AB182&gt;0,"Stage-A non-admissible - patchable",IF(OR(J182="Yes",I182="Indeterminate",AC182&gt;0),"Indeterminate - insufficient evidence",IF(AND(AH182=6,AD182=0),"Stage-A admissible - scoped",IF(AND(AH182+AD182=6,AD182&gt;0),"Stage-A admissible - scoped, control-dependent","Protocol refusal to evaluate"))))))))</f>
        <v/>
      </c>
      <c r="S182">
        <f>IF(AND(Q182="",R182=""),"",IF(AND(Q182&lt;&gt;"",R182=""),"UNRECORDED",IF(AND(Q182="",R182&lt;&gt;""),"ORPHAN_RECORDED",IF(Q182=R182,"MATCH","MISMATCH"))))</f>
        <v/>
      </c>
      <c r="AA182">
        <f>COUNTIF(K182:P182,"Material defect - unpatchable for stated claim")</f>
        <v/>
      </c>
      <c r="AB182">
        <f>COUNTIF(K182:P182,"Material defect - patchable")</f>
        <v/>
      </c>
      <c r="AC182">
        <f>COUNTIF(K182:P182,"Indeterminate")+COUNTIF(K182:P182,"Not reviewed")</f>
        <v/>
      </c>
      <c r="AD182">
        <f>COUNTIF(K182:P182,"Adequate - control-dependent")</f>
        <v/>
      </c>
      <c r="AE182">
        <f>IF(COUNTA(A182:P182)+COUNTA(AJ182)=0,"",IF(AM182&lt;&gt;"OK","UNRECOGNISED_ADMIN_DISPOSITION",IF(AND(AJ182&lt;&gt;"",AJ182&lt;&gt;"None"),IF(OR(LEN(TRIM(A182))=0,LEN(TRIM(B182))=0,LEN(TRIM(C182))=0,LEN(TRIM(F182))=0),"ADMIN_INCOMPLETE","ADMIN_DISPOSITION"),IF(OR(LEN(TRIM(A182))=0,LEN(TRIM(B182))=0,LEN(TRIM(C182))=0,LEN(TRIM(D182))=0,LEN(TRIM(E182))=0,LEN(TRIM(F182))=0,LEN(TRIM(G182))=0,LEN(TRIM(H182))=0,LEN(TRIM(I182))=0,LEN(TRIM(J182))=0,LEN(TRIM(K182))=0,LEN(TRIM(L182))=0,LEN(TRIM(M182))=0,LEN(TRIM(N182))=0,LEN(TRIM(O182))=0,LEN(TRIM(P182))=0),"ADMIN_INCOMPLETE",IF(H182&lt;&gt;"Yes","ADMIN_INVALID",IF(I182="Not feasible","BURDEN_NOT_FEASIBLE",IF(AI182&lt;&gt;"OK","UNRECOGNISED_VALUE","CLEAR")))))))</f>
        <v/>
      </c>
      <c r="AF182">
        <f>IF(AND(Q182="",R182=""),"",IF(IF(Q182&lt;&gt;"",Q182,R182)="Stage-A admissible - scoped","stage_a_admissible_scoped",IF(IF(Q182&lt;&gt;"",Q182,R182)="Stage-A admissible - scoped, control-dependent","stage_a_admissible_scoped_control_dependent",IF(IF(Q182&lt;&gt;"",Q182,R182)="Stage-A non-admissible - patchable","stage_a_non_admissible_patchable",IF(IF(Q182&lt;&gt;"",Q182,R182)="Stage-A non-admissible - unpatchable for stated claim","stage_a_non_admissible_unpatchable_for_stated_claim",IF(IF(Q182&lt;&gt;"",Q182,R182)="Indeterminate - insufficient evidence","indeterminate_insufficient_evidence",IF(IF(Q182&lt;&gt;"",Q182,R182)="Protocol refusal to evaluate","protocol_refusal_to_evaluate",IF(IF(Q182&lt;&gt;"",Q182,R182)="Out of scope","out_of_scope",IF(IF(Q182&lt;&gt;"",Q182,R182)="Withdrawn","withdrawn",IF(IF(Q182&lt;&gt;"",Q182,R182)="Not reviewed","not_reviewed","unknown_status"))))))))))</f>
        <v/>
      </c>
      <c r="AG182">
        <f>IF(AND(AF182="",T182=""),"",IF(AND(AF182&lt;&gt;"",ISNUMBER(SEARCH("token="&amp;AF182&amp;";",T182)),ISNUMBER(SEARCH(AK182,T182)),ISNUMBER(SEARCH("CL basis="&amp;AL182&amp;";",T182))),"VALID","INVALID_OR_INCOMPLETE"))</f>
        <v/>
      </c>
      <c r="AH182">
        <f>COUNTIF(K182:P182,"Adequate for scope")</f>
        <v/>
      </c>
      <c r="AI182">
        <f>IF(COUNTA(K182:P182)=0,"",IF(AA182+AB182+AC182+AD182+AH182=6,"OK","UNRECOGNISED_VALUE"))</f>
        <v/>
      </c>
      <c r="AJ182" s="303" t="n"/>
      <c r="AK182" s="303">
        <f>IF(A182="","",Vocabulary!$B$5)</f>
        <v/>
      </c>
      <c r="AL182" s="303">
        <f>IF(A182="","",Vocabulary!$B$6)</f>
        <v/>
      </c>
      <c r="AM182" s="303">
        <f>IF(AJ182="","OK",IF(COUNTIF(Vocabulary!$O$5:$O$8,AJ182)=1,"OK","UNRECOGNISED_ADMIN_DISPOSITION"))</f>
        <v/>
      </c>
    </row>
    <row r="183">
      <c r="Q183">
        <f>IF(AE183="","",IF(AE183="ADMIN_DISPOSITION",AJ183,IF(OR(AE183="ADMIN_INCOMPLETE",AE183="ADMIN_INVALID",AE183="BURDEN_NOT_FEASIBLE",AE183="UNRECOGNISED_VALUE",AE183="UNRECOGNISED_ADMIN_DISPOSITION"),"Protocol refusal to evaluate",IF(AA183&gt;0,"Stage-A non-admissible - unpatchable for stated claim",IF(AB183&gt;0,"Stage-A non-admissible - patchable",IF(OR(J183="Yes",I183="Indeterminate",AC183&gt;0),"Indeterminate - insufficient evidence",IF(AND(AH183=6,AD183=0),"Stage-A admissible - scoped",IF(AND(AH183+AD183=6,AD183&gt;0),"Stage-A admissible - scoped, control-dependent","Protocol refusal to evaluate"))))))))</f>
        <v/>
      </c>
      <c r="S183">
        <f>IF(AND(Q183="",R183=""),"",IF(AND(Q183&lt;&gt;"",R183=""),"UNRECORDED",IF(AND(Q183="",R183&lt;&gt;""),"ORPHAN_RECORDED",IF(Q183=R183,"MATCH","MISMATCH"))))</f>
        <v/>
      </c>
      <c r="AA183">
        <f>COUNTIF(K183:P183,"Material defect - unpatchable for stated claim")</f>
        <v/>
      </c>
      <c r="AB183">
        <f>COUNTIF(K183:P183,"Material defect - patchable")</f>
        <v/>
      </c>
      <c r="AC183">
        <f>COUNTIF(K183:P183,"Indeterminate")+COUNTIF(K183:P183,"Not reviewed")</f>
        <v/>
      </c>
      <c r="AD183">
        <f>COUNTIF(K183:P183,"Adequate - control-dependent")</f>
        <v/>
      </c>
      <c r="AE183">
        <f>IF(COUNTA(A183:P183)+COUNTA(AJ183)=0,"",IF(AM183&lt;&gt;"OK","UNRECOGNISED_ADMIN_DISPOSITION",IF(AND(AJ183&lt;&gt;"",AJ183&lt;&gt;"None"),IF(OR(LEN(TRIM(A183))=0,LEN(TRIM(B183))=0,LEN(TRIM(C183))=0,LEN(TRIM(F183))=0),"ADMIN_INCOMPLETE","ADMIN_DISPOSITION"),IF(OR(LEN(TRIM(A183))=0,LEN(TRIM(B183))=0,LEN(TRIM(C183))=0,LEN(TRIM(D183))=0,LEN(TRIM(E183))=0,LEN(TRIM(F183))=0,LEN(TRIM(G183))=0,LEN(TRIM(H183))=0,LEN(TRIM(I183))=0,LEN(TRIM(J183))=0,LEN(TRIM(K183))=0,LEN(TRIM(L183))=0,LEN(TRIM(M183))=0,LEN(TRIM(N183))=0,LEN(TRIM(O183))=0,LEN(TRIM(P183))=0),"ADMIN_INCOMPLETE",IF(H183&lt;&gt;"Yes","ADMIN_INVALID",IF(I183="Not feasible","BURDEN_NOT_FEASIBLE",IF(AI183&lt;&gt;"OK","UNRECOGNISED_VALUE","CLEAR")))))))</f>
        <v/>
      </c>
      <c r="AF183">
        <f>IF(AND(Q183="",R183=""),"",IF(IF(Q183&lt;&gt;"",Q183,R183)="Stage-A admissible - scoped","stage_a_admissible_scoped",IF(IF(Q183&lt;&gt;"",Q183,R183)="Stage-A admissible - scoped, control-dependent","stage_a_admissible_scoped_control_dependent",IF(IF(Q183&lt;&gt;"",Q183,R183)="Stage-A non-admissible - patchable","stage_a_non_admissible_patchable",IF(IF(Q183&lt;&gt;"",Q183,R183)="Stage-A non-admissible - unpatchable for stated claim","stage_a_non_admissible_unpatchable_for_stated_claim",IF(IF(Q183&lt;&gt;"",Q183,R183)="Indeterminate - insufficient evidence","indeterminate_insufficient_evidence",IF(IF(Q183&lt;&gt;"",Q183,R183)="Protocol refusal to evaluate","protocol_refusal_to_evaluate",IF(IF(Q183&lt;&gt;"",Q183,R183)="Out of scope","out_of_scope",IF(IF(Q183&lt;&gt;"",Q183,R183)="Withdrawn","withdrawn",IF(IF(Q183&lt;&gt;"",Q183,R183)="Not reviewed","not_reviewed","unknown_status"))))))))))</f>
        <v/>
      </c>
      <c r="AG183">
        <f>IF(AND(AF183="",T183=""),"",IF(AND(AF183&lt;&gt;"",ISNUMBER(SEARCH("token="&amp;AF183&amp;";",T183)),ISNUMBER(SEARCH(AK183,T183)),ISNUMBER(SEARCH("CL basis="&amp;AL183&amp;";",T183))),"VALID","INVALID_OR_INCOMPLETE"))</f>
        <v/>
      </c>
      <c r="AH183">
        <f>COUNTIF(K183:P183,"Adequate for scope")</f>
        <v/>
      </c>
      <c r="AI183">
        <f>IF(COUNTA(K183:P183)=0,"",IF(AA183+AB183+AC183+AD183+AH183=6,"OK","UNRECOGNISED_VALUE"))</f>
        <v/>
      </c>
      <c r="AJ183" s="303" t="n"/>
      <c r="AK183" s="303">
        <f>IF(A183="","",Vocabulary!$B$5)</f>
        <v/>
      </c>
      <c r="AL183" s="303">
        <f>IF(A183="","",Vocabulary!$B$6)</f>
        <v/>
      </c>
      <c r="AM183" s="303">
        <f>IF(AJ183="","OK",IF(COUNTIF(Vocabulary!$O$5:$O$8,AJ183)=1,"OK","UNRECOGNISED_ADMIN_DISPOSITION"))</f>
        <v/>
      </c>
    </row>
    <row r="184">
      <c r="Q184">
        <f>IF(AE184="","",IF(AE184="ADMIN_DISPOSITION",AJ184,IF(OR(AE184="ADMIN_INCOMPLETE",AE184="ADMIN_INVALID",AE184="BURDEN_NOT_FEASIBLE",AE184="UNRECOGNISED_VALUE",AE184="UNRECOGNISED_ADMIN_DISPOSITION"),"Protocol refusal to evaluate",IF(AA184&gt;0,"Stage-A non-admissible - unpatchable for stated claim",IF(AB184&gt;0,"Stage-A non-admissible - patchable",IF(OR(J184="Yes",I184="Indeterminate",AC184&gt;0),"Indeterminate - insufficient evidence",IF(AND(AH184=6,AD184=0),"Stage-A admissible - scoped",IF(AND(AH184+AD184=6,AD184&gt;0),"Stage-A admissible - scoped, control-dependent","Protocol refusal to evaluate"))))))))</f>
        <v/>
      </c>
      <c r="S184">
        <f>IF(AND(Q184="",R184=""),"",IF(AND(Q184&lt;&gt;"",R184=""),"UNRECORDED",IF(AND(Q184="",R184&lt;&gt;""),"ORPHAN_RECORDED",IF(Q184=R184,"MATCH","MISMATCH"))))</f>
        <v/>
      </c>
      <c r="AA184">
        <f>COUNTIF(K184:P184,"Material defect - unpatchable for stated claim")</f>
        <v/>
      </c>
      <c r="AB184">
        <f>COUNTIF(K184:P184,"Material defect - patchable")</f>
        <v/>
      </c>
      <c r="AC184">
        <f>COUNTIF(K184:P184,"Indeterminate")+COUNTIF(K184:P184,"Not reviewed")</f>
        <v/>
      </c>
      <c r="AD184">
        <f>COUNTIF(K184:P184,"Adequate - control-dependent")</f>
        <v/>
      </c>
      <c r="AE184">
        <f>IF(COUNTA(A184:P184)+COUNTA(AJ184)=0,"",IF(AM184&lt;&gt;"OK","UNRECOGNISED_ADMIN_DISPOSITION",IF(AND(AJ184&lt;&gt;"",AJ184&lt;&gt;"None"),IF(OR(LEN(TRIM(A184))=0,LEN(TRIM(B184))=0,LEN(TRIM(C184))=0,LEN(TRIM(F184))=0),"ADMIN_INCOMPLETE","ADMIN_DISPOSITION"),IF(OR(LEN(TRIM(A184))=0,LEN(TRIM(B184))=0,LEN(TRIM(C184))=0,LEN(TRIM(D184))=0,LEN(TRIM(E184))=0,LEN(TRIM(F184))=0,LEN(TRIM(G184))=0,LEN(TRIM(H184))=0,LEN(TRIM(I184))=0,LEN(TRIM(J184))=0,LEN(TRIM(K184))=0,LEN(TRIM(L184))=0,LEN(TRIM(M184))=0,LEN(TRIM(N184))=0,LEN(TRIM(O184))=0,LEN(TRIM(P184))=0),"ADMIN_INCOMPLETE",IF(H184&lt;&gt;"Yes","ADMIN_INVALID",IF(I184="Not feasible","BURDEN_NOT_FEASIBLE",IF(AI184&lt;&gt;"OK","UNRECOGNISED_VALUE","CLEAR")))))))</f>
        <v/>
      </c>
      <c r="AF184">
        <f>IF(AND(Q184="",R184=""),"",IF(IF(Q184&lt;&gt;"",Q184,R184)="Stage-A admissible - scoped","stage_a_admissible_scoped",IF(IF(Q184&lt;&gt;"",Q184,R184)="Stage-A admissible - scoped, control-dependent","stage_a_admissible_scoped_control_dependent",IF(IF(Q184&lt;&gt;"",Q184,R184)="Stage-A non-admissible - patchable","stage_a_non_admissible_patchable",IF(IF(Q184&lt;&gt;"",Q184,R184)="Stage-A non-admissible - unpatchable for stated claim","stage_a_non_admissible_unpatchable_for_stated_claim",IF(IF(Q184&lt;&gt;"",Q184,R184)="Indeterminate - insufficient evidence","indeterminate_insufficient_evidence",IF(IF(Q184&lt;&gt;"",Q184,R184)="Protocol refusal to evaluate","protocol_refusal_to_evaluate",IF(IF(Q184&lt;&gt;"",Q184,R184)="Out of scope","out_of_scope",IF(IF(Q184&lt;&gt;"",Q184,R184)="Withdrawn","withdrawn",IF(IF(Q184&lt;&gt;"",Q184,R184)="Not reviewed","not_reviewed","unknown_status"))))))))))</f>
        <v/>
      </c>
      <c r="AG184">
        <f>IF(AND(AF184="",T184=""),"",IF(AND(AF184&lt;&gt;"",ISNUMBER(SEARCH("token="&amp;AF184&amp;";",T184)),ISNUMBER(SEARCH(AK184,T184)),ISNUMBER(SEARCH("CL basis="&amp;AL184&amp;";",T184))),"VALID","INVALID_OR_INCOMPLETE"))</f>
        <v/>
      </c>
      <c r="AH184">
        <f>COUNTIF(K184:P184,"Adequate for scope")</f>
        <v/>
      </c>
      <c r="AI184">
        <f>IF(COUNTA(K184:P184)=0,"",IF(AA184+AB184+AC184+AD184+AH184=6,"OK","UNRECOGNISED_VALUE"))</f>
        <v/>
      </c>
      <c r="AJ184" s="303" t="n"/>
      <c r="AK184" s="303">
        <f>IF(A184="","",Vocabulary!$B$5)</f>
        <v/>
      </c>
      <c r="AL184" s="303">
        <f>IF(A184="","",Vocabulary!$B$6)</f>
        <v/>
      </c>
      <c r="AM184" s="303">
        <f>IF(AJ184="","OK",IF(COUNTIF(Vocabulary!$O$5:$O$8,AJ184)=1,"OK","UNRECOGNISED_ADMIN_DISPOSITION"))</f>
        <v/>
      </c>
    </row>
    <row r="185">
      <c r="Q185">
        <f>IF(AE185="","",IF(AE185="ADMIN_DISPOSITION",AJ185,IF(OR(AE185="ADMIN_INCOMPLETE",AE185="ADMIN_INVALID",AE185="BURDEN_NOT_FEASIBLE",AE185="UNRECOGNISED_VALUE",AE185="UNRECOGNISED_ADMIN_DISPOSITION"),"Protocol refusal to evaluate",IF(AA185&gt;0,"Stage-A non-admissible - unpatchable for stated claim",IF(AB185&gt;0,"Stage-A non-admissible - patchable",IF(OR(J185="Yes",I185="Indeterminate",AC185&gt;0),"Indeterminate - insufficient evidence",IF(AND(AH185=6,AD185=0),"Stage-A admissible - scoped",IF(AND(AH185+AD185=6,AD185&gt;0),"Stage-A admissible - scoped, control-dependent","Protocol refusal to evaluate"))))))))</f>
        <v/>
      </c>
      <c r="S185">
        <f>IF(AND(Q185="",R185=""),"",IF(AND(Q185&lt;&gt;"",R185=""),"UNRECORDED",IF(AND(Q185="",R185&lt;&gt;""),"ORPHAN_RECORDED",IF(Q185=R185,"MATCH","MISMATCH"))))</f>
        <v/>
      </c>
      <c r="AA185">
        <f>COUNTIF(K185:P185,"Material defect - unpatchable for stated claim")</f>
        <v/>
      </c>
      <c r="AB185">
        <f>COUNTIF(K185:P185,"Material defect - patchable")</f>
        <v/>
      </c>
      <c r="AC185">
        <f>COUNTIF(K185:P185,"Indeterminate")+COUNTIF(K185:P185,"Not reviewed")</f>
        <v/>
      </c>
      <c r="AD185">
        <f>COUNTIF(K185:P185,"Adequate - control-dependent")</f>
        <v/>
      </c>
      <c r="AE185">
        <f>IF(COUNTA(A185:P185)+COUNTA(AJ185)=0,"",IF(AM185&lt;&gt;"OK","UNRECOGNISED_ADMIN_DISPOSITION",IF(AND(AJ185&lt;&gt;"",AJ185&lt;&gt;"None"),IF(OR(LEN(TRIM(A185))=0,LEN(TRIM(B185))=0,LEN(TRIM(C185))=0,LEN(TRIM(F185))=0),"ADMIN_INCOMPLETE","ADMIN_DISPOSITION"),IF(OR(LEN(TRIM(A185))=0,LEN(TRIM(B185))=0,LEN(TRIM(C185))=0,LEN(TRIM(D185))=0,LEN(TRIM(E185))=0,LEN(TRIM(F185))=0,LEN(TRIM(G185))=0,LEN(TRIM(H185))=0,LEN(TRIM(I185))=0,LEN(TRIM(J185))=0,LEN(TRIM(K185))=0,LEN(TRIM(L185))=0,LEN(TRIM(M185))=0,LEN(TRIM(N185))=0,LEN(TRIM(O185))=0,LEN(TRIM(P185))=0),"ADMIN_INCOMPLETE",IF(H185&lt;&gt;"Yes","ADMIN_INVALID",IF(I185="Not feasible","BURDEN_NOT_FEASIBLE",IF(AI185&lt;&gt;"OK","UNRECOGNISED_VALUE","CLEAR")))))))</f>
        <v/>
      </c>
      <c r="AF185">
        <f>IF(AND(Q185="",R185=""),"",IF(IF(Q185&lt;&gt;"",Q185,R185)="Stage-A admissible - scoped","stage_a_admissible_scoped",IF(IF(Q185&lt;&gt;"",Q185,R185)="Stage-A admissible - scoped, control-dependent","stage_a_admissible_scoped_control_dependent",IF(IF(Q185&lt;&gt;"",Q185,R185)="Stage-A non-admissible - patchable","stage_a_non_admissible_patchable",IF(IF(Q185&lt;&gt;"",Q185,R185)="Stage-A non-admissible - unpatchable for stated claim","stage_a_non_admissible_unpatchable_for_stated_claim",IF(IF(Q185&lt;&gt;"",Q185,R185)="Indeterminate - insufficient evidence","indeterminate_insufficient_evidence",IF(IF(Q185&lt;&gt;"",Q185,R185)="Protocol refusal to evaluate","protocol_refusal_to_evaluate",IF(IF(Q185&lt;&gt;"",Q185,R185)="Out of scope","out_of_scope",IF(IF(Q185&lt;&gt;"",Q185,R185)="Withdrawn","withdrawn",IF(IF(Q185&lt;&gt;"",Q185,R185)="Not reviewed","not_reviewed","unknown_status"))))))))))</f>
        <v/>
      </c>
      <c r="AG185">
        <f>IF(AND(AF185="",T185=""),"",IF(AND(AF185&lt;&gt;"",ISNUMBER(SEARCH("token="&amp;AF185&amp;";",T185)),ISNUMBER(SEARCH(AK185,T185)),ISNUMBER(SEARCH("CL basis="&amp;AL185&amp;";",T185))),"VALID","INVALID_OR_INCOMPLETE"))</f>
        <v/>
      </c>
      <c r="AH185">
        <f>COUNTIF(K185:P185,"Adequate for scope")</f>
        <v/>
      </c>
      <c r="AI185">
        <f>IF(COUNTA(K185:P185)=0,"",IF(AA185+AB185+AC185+AD185+AH185=6,"OK","UNRECOGNISED_VALUE"))</f>
        <v/>
      </c>
      <c r="AJ185" s="303" t="n"/>
      <c r="AK185" s="303">
        <f>IF(A185="","",Vocabulary!$B$5)</f>
        <v/>
      </c>
      <c r="AL185" s="303">
        <f>IF(A185="","",Vocabulary!$B$6)</f>
        <v/>
      </c>
      <c r="AM185" s="303">
        <f>IF(AJ185="","OK",IF(COUNTIF(Vocabulary!$O$5:$O$8,AJ185)=1,"OK","UNRECOGNISED_ADMIN_DISPOSITION"))</f>
        <v/>
      </c>
    </row>
    <row r="186">
      <c r="Q186">
        <f>IF(AE186="","",IF(AE186="ADMIN_DISPOSITION",AJ186,IF(OR(AE186="ADMIN_INCOMPLETE",AE186="ADMIN_INVALID",AE186="BURDEN_NOT_FEASIBLE",AE186="UNRECOGNISED_VALUE",AE186="UNRECOGNISED_ADMIN_DISPOSITION"),"Protocol refusal to evaluate",IF(AA186&gt;0,"Stage-A non-admissible - unpatchable for stated claim",IF(AB186&gt;0,"Stage-A non-admissible - patchable",IF(OR(J186="Yes",I186="Indeterminate",AC186&gt;0),"Indeterminate - insufficient evidence",IF(AND(AH186=6,AD186=0),"Stage-A admissible - scoped",IF(AND(AH186+AD186=6,AD186&gt;0),"Stage-A admissible - scoped, control-dependent","Protocol refusal to evaluate"))))))))</f>
        <v/>
      </c>
      <c r="S186">
        <f>IF(AND(Q186="",R186=""),"",IF(AND(Q186&lt;&gt;"",R186=""),"UNRECORDED",IF(AND(Q186="",R186&lt;&gt;""),"ORPHAN_RECORDED",IF(Q186=R186,"MATCH","MISMATCH"))))</f>
        <v/>
      </c>
      <c r="AA186">
        <f>COUNTIF(K186:P186,"Material defect - unpatchable for stated claim")</f>
        <v/>
      </c>
      <c r="AB186">
        <f>COUNTIF(K186:P186,"Material defect - patchable")</f>
        <v/>
      </c>
      <c r="AC186">
        <f>COUNTIF(K186:P186,"Indeterminate")+COUNTIF(K186:P186,"Not reviewed")</f>
        <v/>
      </c>
      <c r="AD186">
        <f>COUNTIF(K186:P186,"Adequate - control-dependent")</f>
        <v/>
      </c>
      <c r="AE186">
        <f>IF(COUNTA(A186:P186)+COUNTA(AJ186)=0,"",IF(AM186&lt;&gt;"OK","UNRECOGNISED_ADMIN_DISPOSITION",IF(AND(AJ186&lt;&gt;"",AJ186&lt;&gt;"None"),IF(OR(LEN(TRIM(A186))=0,LEN(TRIM(B186))=0,LEN(TRIM(C186))=0,LEN(TRIM(F186))=0),"ADMIN_INCOMPLETE","ADMIN_DISPOSITION"),IF(OR(LEN(TRIM(A186))=0,LEN(TRIM(B186))=0,LEN(TRIM(C186))=0,LEN(TRIM(D186))=0,LEN(TRIM(E186))=0,LEN(TRIM(F186))=0,LEN(TRIM(G186))=0,LEN(TRIM(H186))=0,LEN(TRIM(I186))=0,LEN(TRIM(J186))=0,LEN(TRIM(K186))=0,LEN(TRIM(L186))=0,LEN(TRIM(M186))=0,LEN(TRIM(N186))=0,LEN(TRIM(O186))=0,LEN(TRIM(P186))=0),"ADMIN_INCOMPLETE",IF(H186&lt;&gt;"Yes","ADMIN_INVALID",IF(I186="Not feasible","BURDEN_NOT_FEASIBLE",IF(AI186&lt;&gt;"OK","UNRECOGNISED_VALUE","CLEAR")))))))</f>
        <v/>
      </c>
      <c r="AF186">
        <f>IF(AND(Q186="",R186=""),"",IF(IF(Q186&lt;&gt;"",Q186,R186)="Stage-A admissible - scoped","stage_a_admissible_scoped",IF(IF(Q186&lt;&gt;"",Q186,R186)="Stage-A admissible - scoped, control-dependent","stage_a_admissible_scoped_control_dependent",IF(IF(Q186&lt;&gt;"",Q186,R186)="Stage-A non-admissible - patchable","stage_a_non_admissible_patchable",IF(IF(Q186&lt;&gt;"",Q186,R186)="Stage-A non-admissible - unpatchable for stated claim","stage_a_non_admissible_unpatchable_for_stated_claim",IF(IF(Q186&lt;&gt;"",Q186,R186)="Indeterminate - insufficient evidence","indeterminate_insufficient_evidence",IF(IF(Q186&lt;&gt;"",Q186,R186)="Protocol refusal to evaluate","protocol_refusal_to_evaluate",IF(IF(Q186&lt;&gt;"",Q186,R186)="Out of scope","out_of_scope",IF(IF(Q186&lt;&gt;"",Q186,R186)="Withdrawn","withdrawn",IF(IF(Q186&lt;&gt;"",Q186,R186)="Not reviewed","not_reviewed","unknown_status"))))))))))</f>
        <v/>
      </c>
      <c r="AG186">
        <f>IF(AND(AF186="",T186=""),"",IF(AND(AF186&lt;&gt;"",ISNUMBER(SEARCH("token="&amp;AF186&amp;";",T186)),ISNUMBER(SEARCH(AK186,T186)),ISNUMBER(SEARCH("CL basis="&amp;AL186&amp;";",T186))),"VALID","INVALID_OR_INCOMPLETE"))</f>
        <v/>
      </c>
      <c r="AH186">
        <f>COUNTIF(K186:P186,"Adequate for scope")</f>
        <v/>
      </c>
      <c r="AI186">
        <f>IF(COUNTA(K186:P186)=0,"",IF(AA186+AB186+AC186+AD186+AH186=6,"OK","UNRECOGNISED_VALUE"))</f>
        <v/>
      </c>
      <c r="AJ186" s="303" t="n"/>
      <c r="AK186" s="303">
        <f>IF(A186="","",Vocabulary!$B$5)</f>
        <v/>
      </c>
      <c r="AL186" s="303">
        <f>IF(A186="","",Vocabulary!$B$6)</f>
        <v/>
      </c>
      <c r="AM186" s="303">
        <f>IF(AJ186="","OK",IF(COUNTIF(Vocabulary!$O$5:$O$8,AJ186)=1,"OK","UNRECOGNISED_ADMIN_DISPOSITION"))</f>
        <v/>
      </c>
    </row>
    <row r="187">
      <c r="Q187">
        <f>IF(AE187="","",IF(AE187="ADMIN_DISPOSITION",AJ187,IF(OR(AE187="ADMIN_INCOMPLETE",AE187="ADMIN_INVALID",AE187="BURDEN_NOT_FEASIBLE",AE187="UNRECOGNISED_VALUE",AE187="UNRECOGNISED_ADMIN_DISPOSITION"),"Protocol refusal to evaluate",IF(AA187&gt;0,"Stage-A non-admissible - unpatchable for stated claim",IF(AB187&gt;0,"Stage-A non-admissible - patchable",IF(OR(J187="Yes",I187="Indeterminate",AC187&gt;0),"Indeterminate - insufficient evidence",IF(AND(AH187=6,AD187=0),"Stage-A admissible - scoped",IF(AND(AH187+AD187=6,AD187&gt;0),"Stage-A admissible - scoped, control-dependent","Protocol refusal to evaluate"))))))))</f>
        <v/>
      </c>
      <c r="S187">
        <f>IF(AND(Q187="",R187=""),"",IF(AND(Q187&lt;&gt;"",R187=""),"UNRECORDED",IF(AND(Q187="",R187&lt;&gt;""),"ORPHAN_RECORDED",IF(Q187=R187,"MATCH","MISMATCH"))))</f>
        <v/>
      </c>
      <c r="AA187">
        <f>COUNTIF(K187:P187,"Material defect - unpatchable for stated claim")</f>
        <v/>
      </c>
      <c r="AB187">
        <f>COUNTIF(K187:P187,"Material defect - patchable")</f>
        <v/>
      </c>
      <c r="AC187">
        <f>COUNTIF(K187:P187,"Indeterminate")+COUNTIF(K187:P187,"Not reviewed")</f>
        <v/>
      </c>
      <c r="AD187">
        <f>COUNTIF(K187:P187,"Adequate - control-dependent")</f>
        <v/>
      </c>
      <c r="AE187">
        <f>IF(COUNTA(A187:P187)+COUNTA(AJ187)=0,"",IF(AM187&lt;&gt;"OK","UNRECOGNISED_ADMIN_DISPOSITION",IF(AND(AJ187&lt;&gt;"",AJ187&lt;&gt;"None"),IF(OR(LEN(TRIM(A187))=0,LEN(TRIM(B187))=0,LEN(TRIM(C187))=0,LEN(TRIM(F187))=0),"ADMIN_INCOMPLETE","ADMIN_DISPOSITION"),IF(OR(LEN(TRIM(A187))=0,LEN(TRIM(B187))=0,LEN(TRIM(C187))=0,LEN(TRIM(D187))=0,LEN(TRIM(E187))=0,LEN(TRIM(F187))=0,LEN(TRIM(G187))=0,LEN(TRIM(H187))=0,LEN(TRIM(I187))=0,LEN(TRIM(J187))=0,LEN(TRIM(K187))=0,LEN(TRIM(L187))=0,LEN(TRIM(M187))=0,LEN(TRIM(N187))=0,LEN(TRIM(O187))=0,LEN(TRIM(P187))=0),"ADMIN_INCOMPLETE",IF(H187&lt;&gt;"Yes","ADMIN_INVALID",IF(I187="Not feasible","BURDEN_NOT_FEASIBLE",IF(AI187&lt;&gt;"OK","UNRECOGNISED_VALUE","CLEAR")))))))</f>
        <v/>
      </c>
      <c r="AF187">
        <f>IF(AND(Q187="",R187=""),"",IF(IF(Q187&lt;&gt;"",Q187,R187)="Stage-A admissible - scoped","stage_a_admissible_scoped",IF(IF(Q187&lt;&gt;"",Q187,R187)="Stage-A admissible - scoped, control-dependent","stage_a_admissible_scoped_control_dependent",IF(IF(Q187&lt;&gt;"",Q187,R187)="Stage-A non-admissible - patchable","stage_a_non_admissible_patchable",IF(IF(Q187&lt;&gt;"",Q187,R187)="Stage-A non-admissible - unpatchable for stated claim","stage_a_non_admissible_unpatchable_for_stated_claim",IF(IF(Q187&lt;&gt;"",Q187,R187)="Indeterminate - insufficient evidence","indeterminate_insufficient_evidence",IF(IF(Q187&lt;&gt;"",Q187,R187)="Protocol refusal to evaluate","protocol_refusal_to_evaluate",IF(IF(Q187&lt;&gt;"",Q187,R187)="Out of scope","out_of_scope",IF(IF(Q187&lt;&gt;"",Q187,R187)="Withdrawn","withdrawn",IF(IF(Q187&lt;&gt;"",Q187,R187)="Not reviewed","not_reviewed","unknown_status"))))))))))</f>
        <v/>
      </c>
      <c r="AG187">
        <f>IF(AND(AF187="",T187=""),"",IF(AND(AF187&lt;&gt;"",ISNUMBER(SEARCH("token="&amp;AF187&amp;";",T187)),ISNUMBER(SEARCH(AK187,T187)),ISNUMBER(SEARCH("CL basis="&amp;AL187&amp;";",T187))),"VALID","INVALID_OR_INCOMPLETE"))</f>
        <v/>
      </c>
      <c r="AH187">
        <f>COUNTIF(K187:P187,"Adequate for scope")</f>
        <v/>
      </c>
      <c r="AI187">
        <f>IF(COUNTA(K187:P187)=0,"",IF(AA187+AB187+AC187+AD187+AH187=6,"OK","UNRECOGNISED_VALUE"))</f>
        <v/>
      </c>
      <c r="AJ187" s="303" t="n"/>
      <c r="AK187" s="303">
        <f>IF(A187="","",Vocabulary!$B$5)</f>
        <v/>
      </c>
      <c r="AL187" s="303">
        <f>IF(A187="","",Vocabulary!$B$6)</f>
        <v/>
      </c>
      <c r="AM187" s="303">
        <f>IF(AJ187="","OK",IF(COUNTIF(Vocabulary!$O$5:$O$8,AJ187)=1,"OK","UNRECOGNISED_ADMIN_DISPOSITION"))</f>
        <v/>
      </c>
    </row>
    <row r="188">
      <c r="Q188">
        <f>IF(AE188="","",IF(AE188="ADMIN_DISPOSITION",AJ188,IF(OR(AE188="ADMIN_INCOMPLETE",AE188="ADMIN_INVALID",AE188="BURDEN_NOT_FEASIBLE",AE188="UNRECOGNISED_VALUE",AE188="UNRECOGNISED_ADMIN_DISPOSITION"),"Protocol refusal to evaluate",IF(AA188&gt;0,"Stage-A non-admissible - unpatchable for stated claim",IF(AB188&gt;0,"Stage-A non-admissible - patchable",IF(OR(J188="Yes",I188="Indeterminate",AC188&gt;0),"Indeterminate - insufficient evidence",IF(AND(AH188=6,AD188=0),"Stage-A admissible - scoped",IF(AND(AH188+AD188=6,AD188&gt;0),"Stage-A admissible - scoped, control-dependent","Protocol refusal to evaluate"))))))))</f>
        <v/>
      </c>
      <c r="S188">
        <f>IF(AND(Q188="",R188=""),"",IF(AND(Q188&lt;&gt;"",R188=""),"UNRECORDED",IF(AND(Q188="",R188&lt;&gt;""),"ORPHAN_RECORDED",IF(Q188=R188,"MATCH","MISMATCH"))))</f>
        <v/>
      </c>
      <c r="AA188">
        <f>COUNTIF(K188:P188,"Material defect - unpatchable for stated claim")</f>
        <v/>
      </c>
      <c r="AB188">
        <f>COUNTIF(K188:P188,"Material defect - patchable")</f>
        <v/>
      </c>
      <c r="AC188">
        <f>COUNTIF(K188:P188,"Indeterminate")+COUNTIF(K188:P188,"Not reviewed")</f>
        <v/>
      </c>
      <c r="AD188">
        <f>COUNTIF(K188:P188,"Adequate - control-dependent")</f>
        <v/>
      </c>
      <c r="AE188">
        <f>IF(COUNTA(A188:P188)+COUNTA(AJ188)=0,"",IF(AM188&lt;&gt;"OK","UNRECOGNISED_ADMIN_DISPOSITION",IF(AND(AJ188&lt;&gt;"",AJ188&lt;&gt;"None"),IF(OR(LEN(TRIM(A188))=0,LEN(TRIM(B188))=0,LEN(TRIM(C188))=0,LEN(TRIM(F188))=0),"ADMIN_INCOMPLETE","ADMIN_DISPOSITION"),IF(OR(LEN(TRIM(A188))=0,LEN(TRIM(B188))=0,LEN(TRIM(C188))=0,LEN(TRIM(D188))=0,LEN(TRIM(E188))=0,LEN(TRIM(F188))=0,LEN(TRIM(G188))=0,LEN(TRIM(H188))=0,LEN(TRIM(I188))=0,LEN(TRIM(J188))=0,LEN(TRIM(K188))=0,LEN(TRIM(L188))=0,LEN(TRIM(M188))=0,LEN(TRIM(N188))=0,LEN(TRIM(O188))=0,LEN(TRIM(P188))=0),"ADMIN_INCOMPLETE",IF(H188&lt;&gt;"Yes","ADMIN_INVALID",IF(I188="Not feasible","BURDEN_NOT_FEASIBLE",IF(AI188&lt;&gt;"OK","UNRECOGNISED_VALUE","CLEAR")))))))</f>
        <v/>
      </c>
      <c r="AF188">
        <f>IF(AND(Q188="",R188=""),"",IF(IF(Q188&lt;&gt;"",Q188,R188)="Stage-A admissible - scoped","stage_a_admissible_scoped",IF(IF(Q188&lt;&gt;"",Q188,R188)="Stage-A admissible - scoped, control-dependent","stage_a_admissible_scoped_control_dependent",IF(IF(Q188&lt;&gt;"",Q188,R188)="Stage-A non-admissible - patchable","stage_a_non_admissible_patchable",IF(IF(Q188&lt;&gt;"",Q188,R188)="Stage-A non-admissible - unpatchable for stated claim","stage_a_non_admissible_unpatchable_for_stated_claim",IF(IF(Q188&lt;&gt;"",Q188,R188)="Indeterminate - insufficient evidence","indeterminate_insufficient_evidence",IF(IF(Q188&lt;&gt;"",Q188,R188)="Protocol refusal to evaluate","protocol_refusal_to_evaluate",IF(IF(Q188&lt;&gt;"",Q188,R188)="Out of scope","out_of_scope",IF(IF(Q188&lt;&gt;"",Q188,R188)="Withdrawn","withdrawn",IF(IF(Q188&lt;&gt;"",Q188,R188)="Not reviewed","not_reviewed","unknown_status"))))))))))</f>
        <v/>
      </c>
      <c r="AG188">
        <f>IF(AND(AF188="",T188=""),"",IF(AND(AF188&lt;&gt;"",ISNUMBER(SEARCH("token="&amp;AF188&amp;";",T188)),ISNUMBER(SEARCH(AK188,T188)),ISNUMBER(SEARCH("CL basis="&amp;AL188&amp;";",T188))),"VALID","INVALID_OR_INCOMPLETE"))</f>
        <v/>
      </c>
      <c r="AH188">
        <f>COUNTIF(K188:P188,"Adequate for scope")</f>
        <v/>
      </c>
      <c r="AI188">
        <f>IF(COUNTA(K188:P188)=0,"",IF(AA188+AB188+AC188+AD188+AH188=6,"OK","UNRECOGNISED_VALUE"))</f>
        <v/>
      </c>
      <c r="AJ188" s="303" t="n"/>
      <c r="AK188" s="303">
        <f>IF(A188="","",Vocabulary!$B$5)</f>
        <v/>
      </c>
      <c r="AL188" s="303">
        <f>IF(A188="","",Vocabulary!$B$6)</f>
        <v/>
      </c>
      <c r="AM188" s="303">
        <f>IF(AJ188="","OK",IF(COUNTIF(Vocabulary!$O$5:$O$8,AJ188)=1,"OK","UNRECOGNISED_ADMIN_DISPOSITION"))</f>
        <v/>
      </c>
    </row>
    <row r="189">
      <c r="Q189">
        <f>IF(AE189="","",IF(AE189="ADMIN_DISPOSITION",AJ189,IF(OR(AE189="ADMIN_INCOMPLETE",AE189="ADMIN_INVALID",AE189="BURDEN_NOT_FEASIBLE",AE189="UNRECOGNISED_VALUE",AE189="UNRECOGNISED_ADMIN_DISPOSITION"),"Protocol refusal to evaluate",IF(AA189&gt;0,"Stage-A non-admissible - unpatchable for stated claim",IF(AB189&gt;0,"Stage-A non-admissible - patchable",IF(OR(J189="Yes",I189="Indeterminate",AC189&gt;0),"Indeterminate - insufficient evidence",IF(AND(AH189=6,AD189=0),"Stage-A admissible - scoped",IF(AND(AH189+AD189=6,AD189&gt;0),"Stage-A admissible - scoped, control-dependent","Protocol refusal to evaluate"))))))))</f>
        <v/>
      </c>
      <c r="S189">
        <f>IF(AND(Q189="",R189=""),"",IF(AND(Q189&lt;&gt;"",R189=""),"UNRECORDED",IF(AND(Q189="",R189&lt;&gt;""),"ORPHAN_RECORDED",IF(Q189=R189,"MATCH","MISMATCH"))))</f>
        <v/>
      </c>
      <c r="AA189">
        <f>COUNTIF(K189:P189,"Material defect - unpatchable for stated claim")</f>
        <v/>
      </c>
      <c r="AB189">
        <f>COUNTIF(K189:P189,"Material defect - patchable")</f>
        <v/>
      </c>
      <c r="AC189">
        <f>COUNTIF(K189:P189,"Indeterminate")+COUNTIF(K189:P189,"Not reviewed")</f>
        <v/>
      </c>
      <c r="AD189">
        <f>COUNTIF(K189:P189,"Adequate - control-dependent")</f>
        <v/>
      </c>
      <c r="AE189">
        <f>IF(COUNTA(A189:P189)+COUNTA(AJ189)=0,"",IF(AM189&lt;&gt;"OK","UNRECOGNISED_ADMIN_DISPOSITION",IF(AND(AJ189&lt;&gt;"",AJ189&lt;&gt;"None"),IF(OR(LEN(TRIM(A189))=0,LEN(TRIM(B189))=0,LEN(TRIM(C189))=0,LEN(TRIM(F189))=0),"ADMIN_INCOMPLETE","ADMIN_DISPOSITION"),IF(OR(LEN(TRIM(A189))=0,LEN(TRIM(B189))=0,LEN(TRIM(C189))=0,LEN(TRIM(D189))=0,LEN(TRIM(E189))=0,LEN(TRIM(F189))=0,LEN(TRIM(G189))=0,LEN(TRIM(H189))=0,LEN(TRIM(I189))=0,LEN(TRIM(J189))=0,LEN(TRIM(K189))=0,LEN(TRIM(L189))=0,LEN(TRIM(M189))=0,LEN(TRIM(N189))=0,LEN(TRIM(O189))=0,LEN(TRIM(P189))=0),"ADMIN_INCOMPLETE",IF(H189&lt;&gt;"Yes","ADMIN_INVALID",IF(I189="Not feasible","BURDEN_NOT_FEASIBLE",IF(AI189&lt;&gt;"OK","UNRECOGNISED_VALUE","CLEAR")))))))</f>
        <v/>
      </c>
      <c r="AF189">
        <f>IF(AND(Q189="",R189=""),"",IF(IF(Q189&lt;&gt;"",Q189,R189)="Stage-A admissible - scoped","stage_a_admissible_scoped",IF(IF(Q189&lt;&gt;"",Q189,R189)="Stage-A admissible - scoped, control-dependent","stage_a_admissible_scoped_control_dependent",IF(IF(Q189&lt;&gt;"",Q189,R189)="Stage-A non-admissible - patchable","stage_a_non_admissible_patchable",IF(IF(Q189&lt;&gt;"",Q189,R189)="Stage-A non-admissible - unpatchable for stated claim","stage_a_non_admissible_unpatchable_for_stated_claim",IF(IF(Q189&lt;&gt;"",Q189,R189)="Indeterminate - insufficient evidence","indeterminate_insufficient_evidence",IF(IF(Q189&lt;&gt;"",Q189,R189)="Protocol refusal to evaluate","protocol_refusal_to_evaluate",IF(IF(Q189&lt;&gt;"",Q189,R189)="Out of scope","out_of_scope",IF(IF(Q189&lt;&gt;"",Q189,R189)="Withdrawn","withdrawn",IF(IF(Q189&lt;&gt;"",Q189,R189)="Not reviewed","not_reviewed","unknown_status"))))))))))</f>
        <v/>
      </c>
      <c r="AG189">
        <f>IF(AND(AF189="",T189=""),"",IF(AND(AF189&lt;&gt;"",ISNUMBER(SEARCH("token="&amp;AF189&amp;";",T189)),ISNUMBER(SEARCH(AK189,T189)),ISNUMBER(SEARCH("CL basis="&amp;AL189&amp;";",T189))),"VALID","INVALID_OR_INCOMPLETE"))</f>
        <v/>
      </c>
      <c r="AH189">
        <f>COUNTIF(K189:P189,"Adequate for scope")</f>
        <v/>
      </c>
      <c r="AI189">
        <f>IF(COUNTA(K189:P189)=0,"",IF(AA189+AB189+AC189+AD189+AH189=6,"OK","UNRECOGNISED_VALUE"))</f>
        <v/>
      </c>
      <c r="AJ189" s="303" t="n"/>
      <c r="AK189" s="303">
        <f>IF(A189="","",Vocabulary!$B$5)</f>
        <v/>
      </c>
      <c r="AL189" s="303">
        <f>IF(A189="","",Vocabulary!$B$6)</f>
        <v/>
      </c>
      <c r="AM189" s="303">
        <f>IF(AJ189="","OK",IF(COUNTIF(Vocabulary!$O$5:$O$8,AJ189)=1,"OK","UNRECOGNISED_ADMIN_DISPOSITION"))</f>
        <v/>
      </c>
    </row>
    <row r="190">
      <c r="Q190">
        <f>IF(AE190="","",IF(AE190="ADMIN_DISPOSITION",AJ190,IF(OR(AE190="ADMIN_INCOMPLETE",AE190="ADMIN_INVALID",AE190="BURDEN_NOT_FEASIBLE",AE190="UNRECOGNISED_VALUE",AE190="UNRECOGNISED_ADMIN_DISPOSITION"),"Protocol refusal to evaluate",IF(AA190&gt;0,"Stage-A non-admissible - unpatchable for stated claim",IF(AB190&gt;0,"Stage-A non-admissible - patchable",IF(OR(J190="Yes",I190="Indeterminate",AC190&gt;0),"Indeterminate - insufficient evidence",IF(AND(AH190=6,AD190=0),"Stage-A admissible - scoped",IF(AND(AH190+AD190=6,AD190&gt;0),"Stage-A admissible - scoped, control-dependent","Protocol refusal to evaluate"))))))))</f>
        <v/>
      </c>
      <c r="S190">
        <f>IF(AND(Q190="",R190=""),"",IF(AND(Q190&lt;&gt;"",R190=""),"UNRECORDED",IF(AND(Q190="",R190&lt;&gt;""),"ORPHAN_RECORDED",IF(Q190=R190,"MATCH","MISMATCH"))))</f>
        <v/>
      </c>
      <c r="AA190">
        <f>COUNTIF(K190:P190,"Material defect - unpatchable for stated claim")</f>
        <v/>
      </c>
      <c r="AB190">
        <f>COUNTIF(K190:P190,"Material defect - patchable")</f>
        <v/>
      </c>
      <c r="AC190">
        <f>COUNTIF(K190:P190,"Indeterminate")+COUNTIF(K190:P190,"Not reviewed")</f>
        <v/>
      </c>
      <c r="AD190">
        <f>COUNTIF(K190:P190,"Adequate - control-dependent")</f>
        <v/>
      </c>
      <c r="AE190">
        <f>IF(COUNTA(A190:P190)+COUNTA(AJ190)=0,"",IF(AM190&lt;&gt;"OK","UNRECOGNISED_ADMIN_DISPOSITION",IF(AND(AJ190&lt;&gt;"",AJ190&lt;&gt;"None"),IF(OR(LEN(TRIM(A190))=0,LEN(TRIM(B190))=0,LEN(TRIM(C190))=0,LEN(TRIM(F190))=0),"ADMIN_INCOMPLETE","ADMIN_DISPOSITION"),IF(OR(LEN(TRIM(A190))=0,LEN(TRIM(B190))=0,LEN(TRIM(C190))=0,LEN(TRIM(D190))=0,LEN(TRIM(E190))=0,LEN(TRIM(F190))=0,LEN(TRIM(G190))=0,LEN(TRIM(H190))=0,LEN(TRIM(I190))=0,LEN(TRIM(J190))=0,LEN(TRIM(K190))=0,LEN(TRIM(L190))=0,LEN(TRIM(M190))=0,LEN(TRIM(N190))=0,LEN(TRIM(O190))=0,LEN(TRIM(P190))=0),"ADMIN_INCOMPLETE",IF(H190&lt;&gt;"Yes","ADMIN_INVALID",IF(I190="Not feasible","BURDEN_NOT_FEASIBLE",IF(AI190&lt;&gt;"OK","UNRECOGNISED_VALUE","CLEAR")))))))</f>
        <v/>
      </c>
      <c r="AF190">
        <f>IF(AND(Q190="",R190=""),"",IF(IF(Q190&lt;&gt;"",Q190,R190)="Stage-A admissible - scoped","stage_a_admissible_scoped",IF(IF(Q190&lt;&gt;"",Q190,R190)="Stage-A admissible - scoped, control-dependent","stage_a_admissible_scoped_control_dependent",IF(IF(Q190&lt;&gt;"",Q190,R190)="Stage-A non-admissible - patchable","stage_a_non_admissible_patchable",IF(IF(Q190&lt;&gt;"",Q190,R190)="Stage-A non-admissible - unpatchable for stated claim","stage_a_non_admissible_unpatchable_for_stated_claim",IF(IF(Q190&lt;&gt;"",Q190,R190)="Indeterminate - insufficient evidence","indeterminate_insufficient_evidence",IF(IF(Q190&lt;&gt;"",Q190,R190)="Protocol refusal to evaluate","protocol_refusal_to_evaluate",IF(IF(Q190&lt;&gt;"",Q190,R190)="Out of scope","out_of_scope",IF(IF(Q190&lt;&gt;"",Q190,R190)="Withdrawn","withdrawn",IF(IF(Q190&lt;&gt;"",Q190,R190)="Not reviewed","not_reviewed","unknown_status"))))))))))</f>
        <v/>
      </c>
      <c r="AG190">
        <f>IF(AND(AF190="",T190=""),"",IF(AND(AF190&lt;&gt;"",ISNUMBER(SEARCH("token="&amp;AF190&amp;";",T190)),ISNUMBER(SEARCH(AK190,T190)),ISNUMBER(SEARCH("CL basis="&amp;AL190&amp;";",T190))),"VALID","INVALID_OR_INCOMPLETE"))</f>
        <v/>
      </c>
      <c r="AH190">
        <f>COUNTIF(K190:P190,"Adequate for scope")</f>
        <v/>
      </c>
      <c r="AI190">
        <f>IF(COUNTA(K190:P190)=0,"",IF(AA190+AB190+AC190+AD190+AH190=6,"OK","UNRECOGNISED_VALUE"))</f>
        <v/>
      </c>
      <c r="AJ190" s="303" t="n"/>
      <c r="AK190" s="303">
        <f>IF(A190="","",Vocabulary!$B$5)</f>
        <v/>
      </c>
      <c r="AL190" s="303">
        <f>IF(A190="","",Vocabulary!$B$6)</f>
        <v/>
      </c>
      <c r="AM190" s="303">
        <f>IF(AJ190="","OK",IF(COUNTIF(Vocabulary!$O$5:$O$8,AJ190)=1,"OK","UNRECOGNISED_ADMIN_DISPOSITION"))</f>
        <v/>
      </c>
    </row>
    <row r="191">
      <c r="Q191">
        <f>IF(AE191="","",IF(AE191="ADMIN_DISPOSITION",AJ191,IF(OR(AE191="ADMIN_INCOMPLETE",AE191="ADMIN_INVALID",AE191="BURDEN_NOT_FEASIBLE",AE191="UNRECOGNISED_VALUE",AE191="UNRECOGNISED_ADMIN_DISPOSITION"),"Protocol refusal to evaluate",IF(AA191&gt;0,"Stage-A non-admissible - unpatchable for stated claim",IF(AB191&gt;0,"Stage-A non-admissible - patchable",IF(OR(J191="Yes",I191="Indeterminate",AC191&gt;0),"Indeterminate - insufficient evidence",IF(AND(AH191=6,AD191=0),"Stage-A admissible - scoped",IF(AND(AH191+AD191=6,AD191&gt;0),"Stage-A admissible - scoped, control-dependent","Protocol refusal to evaluate"))))))))</f>
        <v/>
      </c>
      <c r="S191">
        <f>IF(AND(Q191="",R191=""),"",IF(AND(Q191&lt;&gt;"",R191=""),"UNRECORDED",IF(AND(Q191="",R191&lt;&gt;""),"ORPHAN_RECORDED",IF(Q191=R191,"MATCH","MISMATCH"))))</f>
        <v/>
      </c>
      <c r="AA191">
        <f>COUNTIF(K191:P191,"Material defect - unpatchable for stated claim")</f>
        <v/>
      </c>
      <c r="AB191">
        <f>COUNTIF(K191:P191,"Material defect - patchable")</f>
        <v/>
      </c>
      <c r="AC191">
        <f>COUNTIF(K191:P191,"Indeterminate")+COUNTIF(K191:P191,"Not reviewed")</f>
        <v/>
      </c>
      <c r="AD191">
        <f>COUNTIF(K191:P191,"Adequate - control-dependent")</f>
        <v/>
      </c>
      <c r="AE191">
        <f>IF(COUNTA(A191:P191)+COUNTA(AJ191)=0,"",IF(AM191&lt;&gt;"OK","UNRECOGNISED_ADMIN_DISPOSITION",IF(AND(AJ191&lt;&gt;"",AJ191&lt;&gt;"None"),IF(OR(LEN(TRIM(A191))=0,LEN(TRIM(B191))=0,LEN(TRIM(C191))=0,LEN(TRIM(F191))=0),"ADMIN_INCOMPLETE","ADMIN_DISPOSITION"),IF(OR(LEN(TRIM(A191))=0,LEN(TRIM(B191))=0,LEN(TRIM(C191))=0,LEN(TRIM(D191))=0,LEN(TRIM(E191))=0,LEN(TRIM(F191))=0,LEN(TRIM(G191))=0,LEN(TRIM(H191))=0,LEN(TRIM(I191))=0,LEN(TRIM(J191))=0,LEN(TRIM(K191))=0,LEN(TRIM(L191))=0,LEN(TRIM(M191))=0,LEN(TRIM(N191))=0,LEN(TRIM(O191))=0,LEN(TRIM(P191))=0),"ADMIN_INCOMPLETE",IF(H191&lt;&gt;"Yes","ADMIN_INVALID",IF(I191="Not feasible","BURDEN_NOT_FEASIBLE",IF(AI191&lt;&gt;"OK","UNRECOGNISED_VALUE","CLEAR")))))))</f>
        <v/>
      </c>
      <c r="AF191">
        <f>IF(AND(Q191="",R191=""),"",IF(IF(Q191&lt;&gt;"",Q191,R191)="Stage-A admissible - scoped","stage_a_admissible_scoped",IF(IF(Q191&lt;&gt;"",Q191,R191)="Stage-A admissible - scoped, control-dependent","stage_a_admissible_scoped_control_dependent",IF(IF(Q191&lt;&gt;"",Q191,R191)="Stage-A non-admissible - patchable","stage_a_non_admissible_patchable",IF(IF(Q191&lt;&gt;"",Q191,R191)="Stage-A non-admissible - unpatchable for stated claim","stage_a_non_admissible_unpatchable_for_stated_claim",IF(IF(Q191&lt;&gt;"",Q191,R191)="Indeterminate - insufficient evidence","indeterminate_insufficient_evidence",IF(IF(Q191&lt;&gt;"",Q191,R191)="Protocol refusal to evaluate","protocol_refusal_to_evaluate",IF(IF(Q191&lt;&gt;"",Q191,R191)="Out of scope","out_of_scope",IF(IF(Q191&lt;&gt;"",Q191,R191)="Withdrawn","withdrawn",IF(IF(Q191&lt;&gt;"",Q191,R191)="Not reviewed","not_reviewed","unknown_status"))))))))))</f>
        <v/>
      </c>
      <c r="AG191">
        <f>IF(AND(AF191="",T191=""),"",IF(AND(AF191&lt;&gt;"",ISNUMBER(SEARCH("token="&amp;AF191&amp;";",T191)),ISNUMBER(SEARCH(AK191,T191)),ISNUMBER(SEARCH("CL basis="&amp;AL191&amp;";",T191))),"VALID","INVALID_OR_INCOMPLETE"))</f>
        <v/>
      </c>
      <c r="AH191">
        <f>COUNTIF(K191:P191,"Adequate for scope")</f>
        <v/>
      </c>
      <c r="AI191">
        <f>IF(COUNTA(K191:P191)=0,"",IF(AA191+AB191+AC191+AD191+AH191=6,"OK","UNRECOGNISED_VALUE"))</f>
        <v/>
      </c>
      <c r="AJ191" s="303" t="n"/>
      <c r="AK191" s="303">
        <f>IF(A191="","",Vocabulary!$B$5)</f>
        <v/>
      </c>
      <c r="AL191" s="303">
        <f>IF(A191="","",Vocabulary!$B$6)</f>
        <v/>
      </c>
      <c r="AM191" s="303">
        <f>IF(AJ191="","OK",IF(COUNTIF(Vocabulary!$O$5:$O$8,AJ191)=1,"OK","UNRECOGNISED_ADMIN_DISPOSITION"))</f>
        <v/>
      </c>
    </row>
    <row r="192">
      <c r="Q192">
        <f>IF(AE192="","",IF(AE192="ADMIN_DISPOSITION",AJ192,IF(OR(AE192="ADMIN_INCOMPLETE",AE192="ADMIN_INVALID",AE192="BURDEN_NOT_FEASIBLE",AE192="UNRECOGNISED_VALUE",AE192="UNRECOGNISED_ADMIN_DISPOSITION"),"Protocol refusal to evaluate",IF(AA192&gt;0,"Stage-A non-admissible - unpatchable for stated claim",IF(AB192&gt;0,"Stage-A non-admissible - patchable",IF(OR(J192="Yes",I192="Indeterminate",AC192&gt;0),"Indeterminate - insufficient evidence",IF(AND(AH192=6,AD192=0),"Stage-A admissible - scoped",IF(AND(AH192+AD192=6,AD192&gt;0),"Stage-A admissible - scoped, control-dependent","Protocol refusal to evaluate"))))))))</f>
        <v/>
      </c>
      <c r="S192">
        <f>IF(AND(Q192="",R192=""),"",IF(AND(Q192&lt;&gt;"",R192=""),"UNRECORDED",IF(AND(Q192="",R192&lt;&gt;""),"ORPHAN_RECORDED",IF(Q192=R192,"MATCH","MISMATCH"))))</f>
        <v/>
      </c>
      <c r="AA192">
        <f>COUNTIF(K192:P192,"Material defect - unpatchable for stated claim")</f>
        <v/>
      </c>
      <c r="AB192">
        <f>COUNTIF(K192:P192,"Material defect - patchable")</f>
        <v/>
      </c>
      <c r="AC192">
        <f>COUNTIF(K192:P192,"Indeterminate")+COUNTIF(K192:P192,"Not reviewed")</f>
        <v/>
      </c>
      <c r="AD192">
        <f>COUNTIF(K192:P192,"Adequate - control-dependent")</f>
        <v/>
      </c>
      <c r="AE192">
        <f>IF(COUNTA(A192:P192)+COUNTA(AJ192)=0,"",IF(AM192&lt;&gt;"OK","UNRECOGNISED_ADMIN_DISPOSITION",IF(AND(AJ192&lt;&gt;"",AJ192&lt;&gt;"None"),IF(OR(LEN(TRIM(A192))=0,LEN(TRIM(B192))=0,LEN(TRIM(C192))=0,LEN(TRIM(F192))=0),"ADMIN_INCOMPLETE","ADMIN_DISPOSITION"),IF(OR(LEN(TRIM(A192))=0,LEN(TRIM(B192))=0,LEN(TRIM(C192))=0,LEN(TRIM(D192))=0,LEN(TRIM(E192))=0,LEN(TRIM(F192))=0,LEN(TRIM(G192))=0,LEN(TRIM(H192))=0,LEN(TRIM(I192))=0,LEN(TRIM(J192))=0,LEN(TRIM(K192))=0,LEN(TRIM(L192))=0,LEN(TRIM(M192))=0,LEN(TRIM(N192))=0,LEN(TRIM(O192))=0,LEN(TRIM(P192))=0),"ADMIN_INCOMPLETE",IF(H192&lt;&gt;"Yes","ADMIN_INVALID",IF(I192="Not feasible","BURDEN_NOT_FEASIBLE",IF(AI192&lt;&gt;"OK","UNRECOGNISED_VALUE","CLEAR")))))))</f>
        <v/>
      </c>
      <c r="AF192">
        <f>IF(AND(Q192="",R192=""),"",IF(IF(Q192&lt;&gt;"",Q192,R192)="Stage-A admissible - scoped","stage_a_admissible_scoped",IF(IF(Q192&lt;&gt;"",Q192,R192)="Stage-A admissible - scoped, control-dependent","stage_a_admissible_scoped_control_dependent",IF(IF(Q192&lt;&gt;"",Q192,R192)="Stage-A non-admissible - patchable","stage_a_non_admissible_patchable",IF(IF(Q192&lt;&gt;"",Q192,R192)="Stage-A non-admissible - unpatchable for stated claim","stage_a_non_admissible_unpatchable_for_stated_claim",IF(IF(Q192&lt;&gt;"",Q192,R192)="Indeterminate - insufficient evidence","indeterminate_insufficient_evidence",IF(IF(Q192&lt;&gt;"",Q192,R192)="Protocol refusal to evaluate","protocol_refusal_to_evaluate",IF(IF(Q192&lt;&gt;"",Q192,R192)="Out of scope","out_of_scope",IF(IF(Q192&lt;&gt;"",Q192,R192)="Withdrawn","withdrawn",IF(IF(Q192&lt;&gt;"",Q192,R192)="Not reviewed","not_reviewed","unknown_status"))))))))))</f>
        <v/>
      </c>
      <c r="AG192">
        <f>IF(AND(AF192="",T192=""),"",IF(AND(AF192&lt;&gt;"",ISNUMBER(SEARCH("token="&amp;AF192&amp;";",T192)),ISNUMBER(SEARCH(AK192,T192)),ISNUMBER(SEARCH("CL basis="&amp;AL192&amp;";",T192))),"VALID","INVALID_OR_INCOMPLETE"))</f>
        <v/>
      </c>
      <c r="AH192">
        <f>COUNTIF(K192:P192,"Adequate for scope")</f>
        <v/>
      </c>
      <c r="AI192">
        <f>IF(COUNTA(K192:P192)=0,"",IF(AA192+AB192+AC192+AD192+AH192=6,"OK","UNRECOGNISED_VALUE"))</f>
        <v/>
      </c>
      <c r="AJ192" s="303" t="n"/>
      <c r="AK192" s="303">
        <f>IF(A192="","",Vocabulary!$B$5)</f>
        <v/>
      </c>
      <c r="AL192" s="303">
        <f>IF(A192="","",Vocabulary!$B$6)</f>
        <v/>
      </c>
      <c r="AM192" s="303">
        <f>IF(AJ192="","OK",IF(COUNTIF(Vocabulary!$O$5:$O$8,AJ192)=1,"OK","UNRECOGNISED_ADMIN_DISPOSITION"))</f>
        <v/>
      </c>
    </row>
    <row r="193">
      <c r="Q193">
        <f>IF(AE193="","",IF(AE193="ADMIN_DISPOSITION",AJ193,IF(OR(AE193="ADMIN_INCOMPLETE",AE193="ADMIN_INVALID",AE193="BURDEN_NOT_FEASIBLE",AE193="UNRECOGNISED_VALUE",AE193="UNRECOGNISED_ADMIN_DISPOSITION"),"Protocol refusal to evaluate",IF(AA193&gt;0,"Stage-A non-admissible - unpatchable for stated claim",IF(AB193&gt;0,"Stage-A non-admissible - patchable",IF(OR(J193="Yes",I193="Indeterminate",AC193&gt;0),"Indeterminate - insufficient evidence",IF(AND(AH193=6,AD193=0),"Stage-A admissible - scoped",IF(AND(AH193+AD193=6,AD193&gt;0),"Stage-A admissible - scoped, control-dependent","Protocol refusal to evaluate"))))))))</f>
        <v/>
      </c>
      <c r="S193">
        <f>IF(AND(Q193="",R193=""),"",IF(AND(Q193&lt;&gt;"",R193=""),"UNRECORDED",IF(AND(Q193="",R193&lt;&gt;""),"ORPHAN_RECORDED",IF(Q193=R193,"MATCH","MISMATCH"))))</f>
        <v/>
      </c>
      <c r="AA193">
        <f>COUNTIF(K193:P193,"Material defect - unpatchable for stated claim")</f>
        <v/>
      </c>
      <c r="AB193">
        <f>COUNTIF(K193:P193,"Material defect - patchable")</f>
        <v/>
      </c>
      <c r="AC193">
        <f>COUNTIF(K193:P193,"Indeterminate")+COUNTIF(K193:P193,"Not reviewed")</f>
        <v/>
      </c>
      <c r="AD193">
        <f>COUNTIF(K193:P193,"Adequate - control-dependent")</f>
        <v/>
      </c>
      <c r="AE193">
        <f>IF(COUNTA(A193:P193)+COUNTA(AJ193)=0,"",IF(AM193&lt;&gt;"OK","UNRECOGNISED_ADMIN_DISPOSITION",IF(AND(AJ193&lt;&gt;"",AJ193&lt;&gt;"None"),IF(OR(LEN(TRIM(A193))=0,LEN(TRIM(B193))=0,LEN(TRIM(C193))=0,LEN(TRIM(F193))=0),"ADMIN_INCOMPLETE","ADMIN_DISPOSITION"),IF(OR(LEN(TRIM(A193))=0,LEN(TRIM(B193))=0,LEN(TRIM(C193))=0,LEN(TRIM(D193))=0,LEN(TRIM(E193))=0,LEN(TRIM(F193))=0,LEN(TRIM(G193))=0,LEN(TRIM(H193))=0,LEN(TRIM(I193))=0,LEN(TRIM(J193))=0,LEN(TRIM(K193))=0,LEN(TRIM(L193))=0,LEN(TRIM(M193))=0,LEN(TRIM(N193))=0,LEN(TRIM(O193))=0,LEN(TRIM(P193))=0),"ADMIN_INCOMPLETE",IF(H193&lt;&gt;"Yes","ADMIN_INVALID",IF(I193="Not feasible","BURDEN_NOT_FEASIBLE",IF(AI193&lt;&gt;"OK","UNRECOGNISED_VALUE","CLEAR")))))))</f>
        <v/>
      </c>
      <c r="AF193">
        <f>IF(AND(Q193="",R193=""),"",IF(IF(Q193&lt;&gt;"",Q193,R193)="Stage-A admissible - scoped","stage_a_admissible_scoped",IF(IF(Q193&lt;&gt;"",Q193,R193)="Stage-A admissible - scoped, control-dependent","stage_a_admissible_scoped_control_dependent",IF(IF(Q193&lt;&gt;"",Q193,R193)="Stage-A non-admissible - patchable","stage_a_non_admissible_patchable",IF(IF(Q193&lt;&gt;"",Q193,R193)="Stage-A non-admissible - unpatchable for stated claim","stage_a_non_admissible_unpatchable_for_stated_claim",IF(IF(Q193&lt;&gt;"",Q193,R193)="Indeterminate - insufficient evidence","indeterminate_insufficient_evidence",IF(IF(Q193&lt;&gt;"",Q193,R193)="Protocol refusal to evaluate","protocol_refusal_to_evaluate",IF(IF(Q193&lt;&gt;"",Q193,R193)="Out of scope","out_of_scope",IF(IF(Q193&lt;&gt;"",Q193,R193)="Withdrawn","withdrawn",IF(IF(Q193&lt;&gt;"",Q193,R193)="Not reviewed","not_reviewed","unknown_status"))))))))))</f>
        <v/>
      </c>
      <c r="AG193">
        <f>IF(AND(AF193="",T193=""),"",IF(AND(AF193&lt;&gt;"",ISNUMBER(SEARCH("token="&amp;AF193&amp;";",T193)),ISNUMBER(SEARCH(AK193,T193)),ISNUMBER(SEARCH("CL basis="&amp;AL193&amp;";",T193))),"VALID","INVALID_OR_INCOMPLETE"))</f>
        <v/>
      </c>
      <c r="AH193">
        <f>COUNTIF(K193:P193,"Adequate for scope")</f>
        <v/>
      </c>
      <c r="AI193">
        <f>IF(COUNTA(K193:P193)=0,"",IF(AA193+AB193+AC193+AD193+AH193=6,"OK","UNRECOGNISED_VALUE"))</f>
        <v/>
      </c>
      <c r="AJ193" s="303" t="n"/>
      <c r="AK193" s="303">
        <f>IF(A193="","",Vocabulary!$B$5)</f>
        <v/>
      </c>
      <c r="AL193" s="303">
        <f>IF(A193="","",Vocabulary!$B$6)</f>
        <v/>
      </c>
      <c r="AM193" s="303">
        <f>IF(AJ193="","OK",IF(COUNTIF(Vocabulary!$O$5:$O$8,AJ193)=1,"OK","UNRECOGNISED_ADMIN_DISPOSITION"))</f>
        <v/>
      </c>
    </row>
    <row r="194">
      <c r="Q194">
        <f>IF(AE194="","",IF(AE194="ADMIN_DISPOSITION",AJ194,IF(OR(AE194="ADMIN_INCOMPLETE",AE194="ADMIN_INVALID",AE194="BURDEN_NOT_FEASIBLE",AE194="UNRECOGNISED_VALUE",AE194="UNRECOGNISED_ADMIN_DISPOSITION"),"Protocol refusal to evaluate",IF(AA194&gt;0,"Stage-A non-admissible - unpatchable for stated claim",IF(AB194&gt;0,"Stage-A non-admissible - patchable",IF(OR(J194="Yes",I194="Indeterminate",AC194&gt;0),"Indeterminate - insufficient evidence",IF(AND(AH194=6,AD194=0),"Stage-A admissible - scoped",IF(AND(AH194+AD194=6,AD194&gt;0),"Stage-A admissible - scoped, control-dependent","Protocol refusal to evaluate"))))))))</f>
        <v/>
      </c>
      <c r="S194">
        <f>IF(AND(Q194="",R194=""),"",IF(AND(Q194&lt;&gt;"",R194=""),"UNRECORDED",IF(AND(Q194="",R194&lt;&gt;""),"ORPHAN_RECORDED",IF(Q194=R194,"MATCH","MISMATCH"))))</f>
        <v/>
      </c>
      <c r="AA194">
        <f>COUNTIF(K194:P194,"Material defect - unpatchable for stated claim")</f>
        <v/>
      </c>
      <c r="AB194">
        <f>COUNTIF(K194:P194,"Material defect - patchable")</f>
        <v/>
      </c>
      <c r="AC194">
        <f>COUNTIF(K194:P194,"Indeterminate")+COUNTIF(K194:P194,"Not reviewed")</f>
        <v/>
      </c>
      <c r="AD194">
        <f>COUNTIF(K194:P194,"Adequate - control-dependent")</f>
        <v/>
      </c>
      <c r="AE194">
        <f>IF(COUNTA(A194:P194)+COUNTA(AJ194)=0,"",IF(AM194&lt;&gt;"OK","UNRECOGNISED_ADMIN_DISPOSITION",IF(AND(AJ194&lt;&gt;"",AJ194&lt;&gt;"None"),IF(OR(LEN(TRIM(A194))=0,LEN(TRIM(B194))=0,LEN(TRIM(C194))=0,LEN(TRIM(F194))=0),"ADMIN_INCOMPLETE","ADMIN_DISPOSITION"),IF(OR(LEN(TRIM(A194))=0,LEN(TRIM(B194))=0,LEN(TRIM(C194))=0,LEN(TRIM(D194))=0,LEN(TRIM(E194))=0,LEN(TRIM(F194))=0,LEN(TRIM(G194))=0,LEN(TRIM(H194))=0,LEN(TRIM(I194))=0,LEN(TRIM(J194))=0,LEN(TRIM(K194))=0,LEN(TRIM(L194))=0,LEN(TRIM(M194))=0,LEN(TRIM(N194))=0,LEN(TRIM(O194))=0,LEN(TRIM(P194))=0),"ADMIN_INCOMPLETE",IF(H194&lt;&gt;"Yes","ADMIN_INVALID",IF(I194="Not feasible","BURDEN_NOT_FEASIBLE",IF(AI194&lt;&gt;"OK","UNRECOGNISED_VALUE","CLEAR")))))))</f>
        <v/>
      </c>
      <c r="AF194">
        <f>IF(AND(Q194="",R194=""),"",IF(IF(Q194&lt;&gt;"",Q194,R194)="Stage-A admissible - scoped","stage_a_admissible_scoped",IF(IF(Q194&lt;&gt;"",Q194,R194)="Stage-A admissible - scoped, control-dependent","stage_a_admissible_scoped_control_dependent",IF(IF(Q194&lt;&gt;"",Q194,R194)="Stage-A non-admissible - patchable","stage_a_non_admissible_patchable",IF(IF(Q194&lt;&gt;"",Q194,R194)="Stage-A non-admissible - unpatchable for stated claim","stage_a_non_admissible_unpatchable_for_stated_claim",IF(IF(Q194&lt;&gt;"",Q194,R194)="Indeterminate - insufficient evidence","indeterminate_insufficient_evidence",IF(IF(Q194&lt;&gt;"",Q194,R194)="Protocol refusal to evaluate","protocol_refusal_to_evaluate",IF(IF(Q194&lt;&gt;"",Q194,R194)="Out of scope","out_of_scope",IF(IF(Q194&lt;&gt;"",Q194,R194)="Withdrawn","withdrawn",IF(IF(Q194&lt;&gt;"",Q194,R194)="Not reviewed","not_reviewed","unknown_status"))))))))))</f>
        <v/>
      </c>
      <c r="AG194">
        <f>IF(AND(AF194="",T194=""),"",IF(AND(AF194&lt;&gt;"",ISNUMBER(SEARCH("token="&amp;AF194&amp;";",T194)),ISNUMBER(SEARCH(AK194,T194)),ISNUMBER(SEARCH("CL basis="&amp;AL194&amp;";",T194))),"VALID","INVALID_OR_INCOMPLETE"))</f>
        <v/>
      </c>
      <c r="AH194">
        <f>COUNTIF(K194:P194,"Adequate for scope")</f>
        <v/>
      </c>
      <c r="AI194">
        <f>IF(COUNTA(K194:P194)=0,"",IF(AA194+AB194+AC194+AD194+AH194=6,"OK","UNRECOGNISED_VALUE"))</f>
        <v/>
      </c>
      <c r="AJ194" s="303" t="n"/>
      <c r="AK194" s="303">
        <f>IF(A194="","",Vocabulary!$B$5)</f>
        <v/>
      </c>
      <c r="AL194" s="303">
        <f>IF(A194="","",Vocabulary!$B$6)</f>
        <v/>
      </c>
      <c r="AM194" s="303">
        <f>IF(AJ194="","OK",IF(COUNTIF(Vocabulary!$O$5:$O$8,AJ194)=1,"OK","UNRECOGNISED_ADMIN_DISPOSITION"))</f>
        <v/>
      </c>
    </row>
    <row r="195">
      <c r="Q195">
        <f>IF(AE195="","",IF(AE195="ADMIN_DISPOSITION",AJ195,IF(OR(AE195="ADMIN_INCOMPLETE",AE195="ADMIN_INVALID",AE195="BURDEN_NOT_FEASIBLE",AE195="UNRECOGNISED_VALUE",AE195="UNRECOGNISED_ADMIN_DISPOSITION"),"Protocol refusal to evaluate",IF(AA195&gt;0,"Stage-A non-admissible - unpatchable for stated claim",IF(AB195&gt;0,"Stage-A non-admissible - patchable",IF(OR(J195="Yes",I195="Indeterminate",AC195&gt;0),"Indeterminate - insufficient evidence",IF(AND(AH195=6,AD195=0),"Stage-A admissible - scoped",IF(AND(AH195+AD195=6,AD195&gt;0),"Stage-A admissible - scoped, control-dependent","Protocol refusal to evaluate"))))))))</f>
        <v/>
      </c>
      <c r="S195">
        <f>IF(AND(Q195="",R195=""),"",IF(AND(Q195&lt;&gt;"",R195=""),"UNRECORDED",IF(AND(Q195="",R195&lt;&gt;""),"ORPHAN_RECORDED",IF(Q195=R195,"MATCH","MISMATCH"))))</f>
        <v/>
      </c>
      <c r="AA195">
        <f>COUNTIF(K195:P195,"Material defect - unpatchable for stated claim")</f>
        <v/>
      </c>
      <c r="AB195">
        <f>COUNTIF(K195:P195,"Material defect - patchable")</f>
        <v/>
      </c>
      <c r="AC195">
        <f>COUNTIF(K195:P195,"Indeterminate")+COUNTIF(K195:P195,"Not reviewed")</f>
        <v/>
      </c>
      <c r="AD195">
        <f>COUNTIF(K195:P195,"Adequate - control-dependent")</f>
        <v/>
      </c>
      <c r="AE195">
        <f>IF(COUNTA(A195:P195)+COUNTA(AJ195)=0,"",IF(AM195&lt;&gt;"OK","UNRECOGNISED_ADMIN_DISPOSITION",IF(AND(AJ195&lt;&gt;"",AJ195&lt;&gt;"None"),IF(OR(LEN(TRIM(A195))=0,LEN(TRIM(B195))=0,LEN(TRIM(C195))=0,LEN(TRIM(F195))=0),"ADMIN_INCOMPLETE","ADMIN_DISPOSITION"),IF(OR(LEN(TRIM(A195))=0,LEN(TRIM(B195))=0,LEN(TRIM(C195))=0,LEN(TRIM(D195))=0,LEN(TRIM(E195))=0,LEN(TRIM(F195))=0,LEN(TRIM(G195))=0,LEN(TRIM(H195))=0,LEN(TRIM(I195))=0,LEN(TRIM(J195))=0,LEN(TRIM(K195))=0,LEN(TRIM(L195))=0,LEN(TRIM(M195))=0,LEN(TRIM(N195))=0,LEN(TRIM(O195))=0,LEN(TRIM(P195))=0),"ADMIN_INCOMPLETE",IF(H195&lt;&gt;"Yes","ADMIN_INVALID",IF(I195="Not feasible","BURDEN_NOT_FEASIBLE",IF(AI195&lt;&gt;"OK","UNRECOGNISED_VALUE","CLEAR")))))))</f>
        <v/>
      </c>
      <c r="AF195">
        <f>IF(AND(Q195="",R195=""),"",IF(IF(Q195&lt;&gt;"",Q195,R195)="Stage-A admissible - scoped","stage_a_admissible_scoped",IF(IF(Q195&lt;&gt;"",Q195,R195)="Stage-A admissible - scoped, control-dependent","stage_a_admissible_scoped_control_dependent",IF(IF(Q195&lt;&gt;"",Q195,R195)="Stage-A non-admissible - patchable","stage_a_non_admissible_patchable",IF(IF(Q195&lt;&gt;"",Q195,R195)="Stage-A non-admissible - unpatchable for stated claim","stage_a_non_admissible_unpatchable_for_stated_claim",IF(IF(Q195&lt;&gt;"",Q195,R195)="Indeterminate - insufficient evidence","indeterminate_insufficient_evidence",IF(IF(Q195&lt;&gt;"",Q195,R195)="Protocol refusal to evaluate","protocol_refusal_to_evaluate",IF(IF(Q195&lt;&gt;"",Q195,R195)="Out of scope","out_of_scope",IF(IF(Q195&lt;&gt;"",Q195,R195)="Withdrawn","withdrawn",IF(IF(Q195&lt;&gt;"",Q195,R195)="Not reviewed","not_reviewed","unknown_status"))))))))))</f>
        <v/>
      </c>
      <c r="AG195">
        <f>IF(AND(AF195="",T195=""),"",IF(AND(AF195&lt;&gt;"",ISNUMBER(SEARCH("token="&amp;AF195&amp;";",T195)),ISNUMBER(SEARCH(AK195,T195)),ISNUMBER(SEARCH("CL basis="&amp;AL195&amp;";",T195))),"VALID","INVALID_OR_INCOMPLETE"))</f>
        <v/>
      </c>
      <c r="AH195">
        <f>COUNTIF(K195:P195,"Adequate for scope")</f>
        <v/>
      </c>
      <c r="AI195">
        <f>IF(COUNTA(K195:P195)=0,"",IF(AA195+AB195+AC195+AD195+AH195=6,"OK","UNRECOGNISED_VALUE"))</f>
        <v/>
      </c>
      <c r="AJ195" s="303" t="n"/>
      <c r="AK195" s="303">
        <f>IF(A195="","",Vocabulary!$B$5)</f>
        <v/>
      </c>
      <c r="AL195" s="303">
        <f>IF(A195="","",Vocabulary!$B$6)</f>
        <v/>
      </c>
      <c r="AM195" s="303">
        <f>IF(AJ195="","OK",IF(COUNTIF(Vocabulary!$O$5:$O$8,AJ195)=1,"OK","UNRECOGNISED_ADMIN_DISPOSITION"))</f>
        <v/>
      </c>
    </row>
    <row r="196">
      <c r="Q196">
        <f>IF(AE196="","",IF(AE196="ADMIN_DISPOSITION",AJ196,IF(OR(AE196="ADMIN_INCOMPLETE",AE196="ADMIN_INVALID",AE196="BURDEN_NOT_FEASIBLE",AE196="UNRECOGNISED_VALUE",AE196="UNRECOGNISED_ADMIN_DISPOSITION"),"Protocol refusal to evaluate",IF(AA196&gt;0,"Stage-A non-admissible - unpatchable for stated claim",IF(AB196&gt;0,"Stage-A non-admissible - patchable",IF(OR(J196="Yes",I196="Indeterminate",AC196&gt;0),"Indeterminate - insufficient evidence",IF(AND(AH196=6,AD196=0),"Stage-A admissible - scoped",IF(AND(AH196+AD196=6,AD196&gt;0),"Stage-A admissible - scoped, control-dependent","Protocol refusal to evaluate"))))))))</f>
        <v/>
      </c>
      <c r="S196">
        <f>IF(AND(Q196="",R196=""),"",IF(AND(Q196&lt;&gt;"",R196=""),"UNRECORDED",IF(AND(Q196="",R196&lt;&gt;""),"ORPHAN_RECORDED",IF(Q196=R196,"MATCH","MISMATCH"))))</f>
        <v/>
      </c>
      <c r="AA196">
        <f>COUNTIF(K196:P196,"Material defect - unpatchable for stated claim")</f>
        <v/>
      </c>
      <c r="AB196">
        <f>COUNTIF(K196:P196,"Material defect - patchable")</f>
        <v/>
      </c>
      <c r="AC196">
        <f>COUNTIF(K196:P196,"Indeterminate")+COUNTIF(K196:P196,"Not reviewed")</f>
        <v/>
      </c>
      <c r="AD196">
        <f>COUNTIF(K196:P196,"Adequate - control-dependent")</f>
        <v/>
      </c>
      <c r="AE196">
        <f>IF(COUNTA(A196:P196)+COUNTA(AJ196)=0,"",IF(AM196&lt;&gt;"OK","UNRECOGNISED_ADMIN_DISPOSITION",IF(AND(AJ196&lt;&gt;"",AJ196&lt;&gt;"None"),IF(OR(LEN(TRIM(A196))=0,LEN(TRIM(B196))=0,LEN(TRIM(C196))=0,LEN(TRIM(F196))=0),"ADMIN_INCOMPLETE","ADMIN_DISPOSITION"),IF(OR(LEN(TRIM(A196))=0,LEN(TRIM(B196))=0,LEN(TRIM(C196))=0,LEN(TRIM(D196))=0,LEN(TRIM(E196))=0,LEN(TRIM(F196))=0,LEN(TRIM(G196))=0,LEN(TRIM(H196))=0,LEN(TRIM(I196))=0,LEN(TRIM(J196))=0,LEN(TRIM(K196))=0,LEN(TRIM(L196))=0,LEN(TRIM(M196))=0,LEN(TRIM(N196))=0,LEN(TRIM(O196))=0,LEN(TRIM(P196))=0),"ADMIN_INCOMPLETE",IF(H196&lt;&gt;"Yes","ADMIN_INVALID",IF(I196="Not feasible","BURDEN_NOT_FEASIBLE",IF(AI196&lt;&gt;"OK","UNRECOGNISED_VALUE","CLEAR")))))))</f>
        <v/>
      </c>
      <c r="AF196">
        <f>IF(AND(Q196="",R196=""),"",IF(IF(Q196&lt;&gt;"",Q196,R196)="Stage-A admissible - scoped","stage_a_admissible_scoped",IF(IF(Q196&lt;&gt;"",Q196,R196)="Stage-A admissible - scoped, control-dependent","stage_a_admissible_scoped_control_dependent",IF(IF(Q196&lt;&gt;"",Q196,R196)="Stage-A non-admissible - patchable","stage_a_non_admissible_patchable",IF(IF(Q196&lt;&gt;"",Q196,R196)="Stage-A non-admissible - unpatchable for stated claim","stage_a_non_admissible_unpatchable_for_stated_claim",IF(IF(Q196&lt;&gt;"",Q196,R196)="Indeterminate - insufficient evidence","indeterminate_insufficient_evidence",IF(IF(Q196&lt;&gt;"",Q196,R196)="Protocol refusal to evaluate","protocol_refusal_to_evaluate",IF(IF(Q196&lt;&gt;"",Q196,R196)="Out of scope","out_of_scope",IF(IF(Q196&lt;&gt;"",Q196,R196)="Withdrawn","withdrawn",IF(IF(Q196&lt;&gt;"",Q196,R196)="Not reviewed","not_reviewed","unknown_status"))))))))))</f>
        <v/>
      </c>
      <c r="AG196">
        <f>IF(AND(AF196="",T196=""),"",IF(AND(AF196&lt;&gt;"",ISNUMBER(SEARCH("token="&amp;AF196&amp;";",T196)),ISNUMBER(SEARCH(AK196,T196)),ISNUMBER(SEARCH("CL basis="&amp;AL196&amp;";",T196))),"VALID","INVALID_OR_INCOMPLETE"))</f>
        <v/>
      </c>
      <c r="AH196">
        <f>COUNTIF(K196:P196,"Adequate for scope")</f>
        <v/>
      </c>
      <c r="AI196">
        <f>IF(COUNTA(K196:P196)=0,"",IF(AA196+AB196+AC196+AD196+AH196=6,"OK","UNRECOGNISED_VALUE"))</f>
        <v/>
      </c>
      <c r="AJ196" s="303" t="n"/>
      <c r="AK196" s="303">
        <f>IF(A196="","",Vocabulary!$B$5)</f>
        <v/>
      </c>
      <c r="AL196" s="303">
        <f>IF(A196="","",Vocabulary!$B$6)</f>
        <v/>
      </c>
      <c r="AM196" s="303">
        <f>IF(AJ196="","OK",IF(COUNTIF(Vocabulary!$O$5:$O$8,AJ196)=1,"OK","UNRECOGNISED_ADMIN_DISPOSITION"))</f>
        <v/>
      </c>
    </row>
    <row r="197">
      <c r="Q197">
        <f>IF(AE197="","",IF(AE197="ADMIN_DISPOSITION",AJ197,IF(OR(AE197="ADMIN_INCOMPLETE",AE197="ADMIN_INVALID",AE197="BURDEN_NOT_FEASIBLE",AE197="UNRECOGNISED_VALUE",AE197="UNRECOGNISED_ADMIN_DISPOSITION"),"Protocol refusal to evaluate",IF(AA197&gt;0,"Stage-A non-admissible - unpatchable for stated claim",IF(AB197&gt;0,"Stage-A non-admissible - patchable",IF(OR(J197="Yes",I197="Indeterminate",AC197&gt;0),"Indeterminate - insufficient evidence",IF(AND(AH197=6,AD197=0),"Stage-A admissible - scoped",IF(AND(AH197+AD197=6,AD197&gt;0),"Stage-A admissible - scoped, control-dependent","Protocol refusal to evaluate"))))))))</f>
        <v/>
      </c>
      <c r="S197">
        <f>IF(AND(Q197="",R197=""),"",IF(AND(Q197&lt;&gt;"",R197=""),"UNRECORDED",IF(AND(Q197="",R197&lt;&gt;""),"ORPHAN_RECORDED",IF(Q197=R197,"MATCH","MISMATCH"))))</f>
        <v/>
      </c>
      <c r="AA197">
        <f>COUNTIF(K197:P197,"Material defect - unpatchable for stated claim")</f>
        <v/>
      </c>
      <c r="AB197">
        <f>COUNTIF(K197:P197,"Material defect - patchable")</f>
        <v/>
      </c>
      <c r="AC197">
        <f>COUNTIF(K197:P197,"Indeterminate")+COUNTIF(K197:P197,"Not reviewed")</f>
        <v/>
      </c>
      <c r="AD197">
        <f>COUNTIF(K197:P197,"Adequate - control-dependent")</f>
        <v/>
      </c>
      <c r="AE197">
        <f>IF(COUNTA(A197:P197)+COUNTA(AJ197)=0,"",IF(AM197&lt;&gt;"OK","UNRECOGNISED_ADMIN_DISPOSITION",IF(AND(AJ197&lt;&gt;"",AJ197&lt;&gt;"None"),IF(OR(LEN(TRIM(A197))=0,LEN(TRIM(B197))=0,LEN(TRIM(C197))=0,LEN(TRIM(F197))=0),"ADMIN_INCOMPLETE","ADMIN_DISPOSITION"),IF(OR(LEN(TRIM(A197))=0,LEN(TRIM(B197))=0,LEN(TRIM(C197))=0,LEN(TRIM(D197))=0,LEN(TRIM(E197))=0,LEN(TRIM(F197))=0,LEN(TRIM(G197))=0,LEN(TRIM(H197))=0,LEN(TRIM(I197))=0,LEN(TRIM(J197))=0,LEN(TRIM(K197))=0,LEN(TRIM(L197))=0,LEN(TRIM(M197))=0,LEN(TRIM(N197))=0,LEN(TRIM(O197))=0,LEN(TRIM(P197))=0),"ADMIN_INCOMPLETE",IF(H197&lt;&gt;"Yes","ADMIN_INVALID",IF(I197="Not feasible","BURDEN_NOT_FEASIBLE",IF(AI197&lt;&gt;"OK","UNRECOGNISED_VALUE","CLEAR")))))))</f>
        <v/>
      </c>
      <c r="AF197">
        <f>IF(AND(Q197="",R197=""),"",IF(IF(Q197&lt;&gt;"",Q197,R197)="Stage-A admissible - scoped","stage_a_admissible_scoped",IF(IF(Q197&lt;&gt;"",Q197,R197)="Stage-A admissible - scoped, control-dependent","stage_a_admissible_scoped_control_dependent",IF(IF(Q197&lt;&gt;"",Q197,R197)="Stage-A non-admissible - patchable","stage_a_non_admissible_patchable",IF(IF(Q197&lt;&gt;"",Q197,R197)="Stage-A non-admissible - unpatchable for stated claim","stage_a_non_admissible_unpatchable_for_stated_claim",IF(IF(Q197&lt;&gt;"",Q197,R197)="Indeterminate - insufficient evidence","indeterminate_insufficient_evidence",IF(IF(Q197&lt;&gt;"",Q197,R197)="Protocol refusal to evaluate","protocol_refusal_to_evaluate",IF(IF(Q197&lt;&gt;"",Q197,R197)="Out of scope","out_of_scope",IF(IF(Q197&lt;&gt;"",Q197,R197)="Withdrawn","withdrawn",IF(IF(Q197&lt;&gt;"",Q197,R197)="Not reviewed","not_reviewed","unknown_status"))))))))))</f>
        <v/>
      </c>
      <c r="AG197">
        <f>IF(AND(AF197="",T197=""),"",IF(AND(AF197&lt;&gt;"",ISNUMBER(SEARCH("token="&amp;AF197&amp;";",T197)),ISNUMBER(SEARCH(AK197,T197)),ISNUMBER(SEARCH("CL basis="&amp;AL197&amp;";",T197))),"VALID","INVALID_OR_INCOMPLETE"))</f>
        <v/>
      </c>
      <c r="AH197">
        <f>COUNTIF(K197:P197,"Adequate for scope")</f>
        <v/>
      </c>
      <c r="AI197">
        <f>IF(COUNTA(K197:P197)=0,"",IF(AA197+AB197+AC197+AD197+AH197=6,"OK","UNRECOGNISED_VALUE"))</f>
        <v/>
      </c>
      <c r="AJ197" s="303" t="n"/>
      <c r="AK197" s="303">
        <f>IF(A197="","",Vocabulary!$B$5)</f>
        <v/>
      </c>
      <c r="AL197" s="303">
        <f>IF(A197="","",Vocabulary!$B$6)</f>
        <v/>
      </c>
      <c r="AM197" s="303">
        <f>IF(AJ197="","OK",IF(COUNTIF(Vocabulary!$O$5:$O$8,AJ197)=1,"OK","UNRECOGNISED_ADMIN_DISPOSITION"))</f>
        <v/>
      </c>
    </row>
    <row r="198">
      <c r="Q198">
        <f>IF(AE198="","",IF(AE198="ADMIN_DISPOSITION",AJ198,IF(OR(AE198="ADMIN_INCOMPLETE",AE198="ADMIN_INVALID",AE198="BURDEN_NOT_FEASIBLE",AE198="UNRECOGNISED_VALUE",AE198="UNRECOGNISED_ADMIN_DISPOSITION"),"Protocol refusal to evaluate",IF(AA198&gt;0,"Stage-A non-admissible - unpatchable for stated claim",IF(AB198&gt;0,"Stage-A non-admissible - patchable",IF(OR(J198="Yes",I198="Indeterminate",AC198&gt;0),"Indeterminate - insufficient evidence",IF(AND(AH198=6,AD198=0),"Stage-A admissible - scoped",IF(AND(AH198+AD198=6,AD198&gt;0),"Stage-A admissible - scoped, control-dependent","Protocol refusal to evaluate"))))))))</f>
        <v/>
      </c>
      <c r="S198">
        <f>IF(AND(Q198="",R198=""),"",IF(AND(Q198&lt;&gt;"",R198=""),"UNRECORDED",IF(AND(Q198="",R198&lt;&gt;""),"ORPHAN_RECORDED",IF(Q198=R198,"MATCH","MISMATCH"))))</f>
        <v/>
      </c>
      <c r="AA198">
        <f>COUNTIF(K198:P198,"Material defect - unpatchable for stated claim")</f>
        <v/>
      </c>
      <c r="AB198">
        <f>COUNTIF(K198:P198,"Material defect - patchable")</f>
        <v/>
      </c>
      <c r="AC198">
        <f>COUNTIF(K198:P198,"Indeterminate")+COUNTIF(K198:P198,"Not reviewed")</f>
        <v/>
      </c>
      <c r="AD198">
        <f>COUNTIF(K198:P198,"Adequate - control-dependent")</f>
        <v/>
      </c>
      <c r="AE198">
        <f>IF(COUNTA(A198:P198)+COUNTA(AJ198)=0,"",IF(AM198&lt;&gt;"OK","UNRECOGNISED_ADMIN_DISPOSITION",IF(AND(AJ198&lt;&gt;"",AJ198&lt;&gt;"None"),IF(OR(LEN(TRIM(A198))=0,LEN(TRIM(B198))=0,LEN(TRIM(C198))=0,LEN(TRIM(F198))=0),"ADMIN_INCOMPLETE","ADMIN_DISPOSITION"),IF(OR(LEN(TRIM(A198))=0,LEN(TRIM(B198))=0,LEN(TRIM(C198))=0,LEN(TRIM(D198))=0,LEN(TRIM(E198))=0,LEN(TRIM(F198))=0,LEN(TRIM(G198))=0,LEN(TRIM(H198))=0,LEN(TRIM(I198))=0,LEN(TRIM(J198))=0,LEN(TRIM(K198))=0,LEN(TRIM(L198))=0,LEN(TRIM(M198))=0,LEN(TRIM(N198))=0,LEN(TRIM(O198))=0,LEN(TRIM(P198))=0),"ADMIN_INCOMPLETE",IF(H198&lt;&gt;"Yes","ADMIN_INVALID",IF(I198="Not feasible","BURDEN_NOT_FEASIBLE",IF(AI198&lt;&gt;"OK","UNRECOGNISED_VALUE","CLEAR")))))))</f>
        <v/>
      </c>
      <c r="AF198">
        <f>IF(AND(Q198="",R198=""),"",IF(IF(Q198&lt;&gt;"",Q198,R198)="Stage-A admissible - scoped","stage_a_admissible_scoped",IF(IF(Q198&lt;&gt;"",Q198,R198)="Stage-A admissible - scoped, control-dependent","stage_a_admissible_scoped_control_dependent",IF(IF(Q198&lt;&gt;"",Q198,R198)="Stage-A non-admissible - patchable","stage_a_non_admissible_patchable",IF(IF(Q198&lt;&gt;"",Q198,R198)="Stage-A non-admissible - unpatchable for stated claim","stage_a_non_admissible_unpatchable_for_stated_claim",IF(IF(Q198&lt;&gt;"",Q198,R198)="Indeterminate - insufficient evidence","indeterminate_insufficient_evidence",IF(IF(Q198&lt;&gt;"",Q198,R198)="Protocol refusal to evaluate","protocol_refusal_to_evaluate",IF(IF(Q198&lt;&gt;"",Q198,R198)="Out of scope","out_of_scope",IF(IF(Q198&lt;&gt;"",Q198,R198)="Withdrawn","withdrawn",IF(IF(Q198&lt;&gt;"",Q198,R198)="Not reviewed","not_reviewed","unknown_status"))))))))))</f>
        <v/>
      </c>
      <c r="AG198">
        <f>IF(AND(AF198="",T198=""),"",IF(AND(AF198&lt;&gt;"",ISNUMBER(SEARCH("token="&amp;AF198&amp;";",T198)),ISNUMBER(SEARCH(AK198,T198)),ISNUMBER(SEARCH("CL basis="&amp;AL198&amp;";",T198))),"VALID","INVALID_OR_INCOMPLETE"))</f>
        <v/>
      </c>
      <c r="AH198">
        <f>COUNTIF(K198:P198,"Adequate for scope")</f>
        <v/>
      </c>
      <c r="AI198">
        <f>IF(COUNTA(K198:P198)=0,"",IF(AA198+AB198+AC198+AD198+AH198=6,"OK","UNRECOGNISED_VALUE"))</f>
        <v/>
      </c>
      <c r="AJ198" s="303" t="n"/>
      <c r="AK198" s="303">
        <f>IF(A198="","",Vocabulary!$B$5)</f>
        <v/>
      </c>
      <c r="AL198" s="303">
        <f>IF(A198="","",Vocabulary!$B$6)</f>
        <v/>
      </c>
      <c r="AM198" s="303">
        <f>IF(AJ198="","OK",IF(COUNTIF(Vocabulary!$O$5:$O$8,AJ198)=1,"OK","UNRECOGNISED_ADMIN_DISPOSITION"))</f>
        <v/>
      </c>
    </row>
    <row r="199">
      <c r="Q199">
        <f>IF(AE199="","",IF(AE199="ADMIN_DISPOSITION",AJ199,IF(OR(AE199="ADMIN_INCOMPLETE",AE199="ADMIN_INVALID",AE199="BURDEN_NOT_FEASIBLE",AE199="UNRECOGNISED_VALUE",AE199="UNRECOGNISED_ADMIN_DISPOSITION"),"Protocol refusal to evaluate",IF(AA199&gt;0,"Stage-A non-admissible - unpatchable for stated claim",IF(AB199&gt;0,"Stage-A non-admissible - patchable",IF(OR(J199="Yes",I199="Indeterminate",AC199&gt;0),"Indeterminate - insufficient evidence",IF(AND(AH199=6,AD199=0),"Stage-A admissible - scoped",IF(AND(AH199+AD199=6,AD199&gt;0),"Stage-A admissible - scoped, control-dependent","Protocol refusal to evaluate"))))))))</f>
        <v/>
      </c>
      <c r="S199">
        <f>IF(AND(Q199="",R199=""),"",IF(AND(Q199&lt;&gt;"",R199=""),"UNRECORDED",IF(AND(Q199="",R199&lt;&gt;""),"ORPHAN_RECORDED",IF(Q199=R199,"MATCH","MISMATCH"))))</f>
        <v/>
      </c>
      <c r="AA199">
        <f>COUNTIF(K199:P199,"Material defect - unpatchable for stated claim")</f>
        <v/>
      </c>
      <c r="AB199">
        <f>COUNTIF(K199:P199,"Material defect - patchable")</f>
        <v/>
      </c>
      <c r="AC199">
        <f>COUNTIF(K199:P199,"Indeterminate")+COUNTIF(K199:P199,"Not reviewed")</f>
        <v/>
      </c>
      <c r="AD199">
        <f>COUNTIF(K199:P199,"Adequate - control-dependent")</f>
        <v/>
      </c>
      <c r="AE199">
        <f>IF(COUNTA(A199:P199)+COUNTA(AJ199)=0,"",IF(AM199&lt;&gt;"OK","UNRECOGNISED_ADMIN_DISPOSITION",IF(AND(AJ199&lt;&gt;"",AJ199&lt;&gt;"None"),IF(OR(LEN(TRIM(A199))=0,LEN(TRIM(B199))=0,LEN(TRIM(C199))=0,LEN(TRIM(F199))=0),"ADMIN_INCOMPLETE","ADMIN_DISPOSITION"),IF(OR(LEN(TRIM(A199))=0,LEN(TRIM(B199))=0,LEN(TRIM(C199))=0,LEN(TRIM(D199))=0,LEN(TRIM(E199))=0,LEN(TRIM(F199))=0,LEN(TRIM(G199))=0,LEN(TRIM(H199))=0,LEN(TRIM(I199))=0,LEN(TRIM(J199))=0,LEN(TRIM(K199))=0,LEN(TRIM(L199))=0,LEN(TRIM(M199))=0,LEN(TRIM(N199))=0,LEN(TRIM(O199))=0,LEN(TRIM(P199))=0),"ADMIN_INCOMPLETE",IF(H199&lt;&gt;"Yes","ADMIN_INVALID",IF(I199="Not feasible","BURDEN_NOT_FEASIBLE",IF(AI199&lt;&gt;"OK","UNRECOGNISED_VALUE","CLEAR")))))))</f>
        <v/>
      </c>
      <c r="AF199">
        <f>IF(AND(Q199="",R199=""),"",IF(IF(Q199&lt;&gt;"",Q199,R199)="Stage-A admissible - scoped","stage_a_admissible_scoped",IF(IF(Q199&lt;&gt;"",Q199,R199)="Stage-A admissible - scoped, control-dependent","stage_a_admissible_scoped_control_dependent",IF(IF(Q199&lt;&gt;"",Q199,R199)="Stage-A non-admissible - patchable","stage_a_non_admissible_patchable",IF(IF(Q199&lt;&gt;"",Q199,R199)="Stage-A non-admissible - unpatchable for stated claim","stage_a_non_admissible_unpatchable_for_stated_claim",IF(IF(Q199&lt;&gt;"",Q199,R199)="Indeterminate - insufficient evidence","indeterminate_insufficient_evidence",IF(IF(Q199&lt;&gt;"",Q199,R199)="Protocol refusal to evaluate","protocol_refusal_to_evaluate",IF(IF(Q199&lt;&gt;"",Q199,R199)="Out of scope","out_of_scope",IF(IF(Q199&lt;&gt;"",Q199,R199)="Withdrawn","withdrawn",IF(IF(Q199&lt;&gt;"",Q199,R199)="Not reviewed","not_reviewed","unknown_status"))))))))))</f>
        <v/>
      </c>
      <c r="AG199">
        <f>IF(AND(AF199="",T199=""),"",IF(AND(AF199&lt;&gt;"",ISNUMBER(SEARCH("token="&amp;AF199&amp;";",T199)),ISNUMBER(SEARCH(AK199,T199)),ISNUMBER(SEARCH("CL basis="&amp;AL199&amp;";",T199))),"VALID","INVALID_OR_INCOMPLETE"))</f>
        <v/>
      </c>
      <c r="AH199">
        <f>COUNTIF(K199:P199,"Adequate for scope")</f>
        <v/>
      </c>
      <c r="AI199">
        <f>IF(COUNTA(K199:P199)=0,"",IF(AA199+AB199+AC199+AD199+AH199=6,"OK","UNRECOGNISED_VALUE"))</f>
        <v/>
      </c>
      <c r="AJ199" s="303" t="n"/>
      <c r="AK199" s="303">
        <f>IF(A199="","",Vocabulary!$B$5)</f>
        <v/>
      </c>
      <c r="AL199" s="303">
        <f>IF(A199="","",Vocabulary!$B$6)</f>
        <v/>
      </c>
      <c r="AM199" s="303">
        <f>IF(AJ199="","OK",IF(COUNTIF(Vocabulary!$O$5:$O$8,AJ199)=1,"OK","UNRECOGNISED_ADMIN_DISPOSITION"))</f>
        <v/>
      </c>
    </row>
    <row r="200">
      <c r="Q200">
        <f>IF(AE200="","",IF(AE200="ADMIN_DISPOSITION",AJ200,IF(OR(AE200="ADMIN_INCOMPLETE",AE200="ADMIN_INVALID",AE200="BURDEN_NOT_FEASIBLE",AE200="UNRECOGNISED_VALUE",AE200="UNRECOGNISED_ADMIN_DISPOSITION"),"Protocol refusal to evaluate",IF(AA200&gt;0,"Stage-A non-admissible - unpatchable for stated claim",IF(AB200&gt;0,"Stage-A non-admissible - patchable",IF(OR(J200="Yes",I200="Indeterminate",AC200&gt;0),"Indeterminate - insufficient evidence",IF(AND(AH200=6,AD200=0),"Stage-A admissible - scoped",IF(AND(AH200+AD200=6,AD200&gt;0),"Stage-A admissible - scoped, control-dependent","Protocol refusal to evaluate"))))))))</f>
        <v/>
      </c>
      <c r="S200">
        <f>IF(AND(Q200="",R200=""),"",IF(AND(Q200&lt;&gt;"",R200=""),"UNRECORDED",IF(AND(Q200="",R200&lt;&gt;""),"ORPHAN_RECORDED",IF(Q200=R200,"MATCH","MISMATCH"))))</f>
        <v/>
      </c>
      <c r="AA200">
        <f>COUNTIF(K200:P200,"Material defect - unpatchable for stated claim")</f>
        <v/>
      </c>
      <c r="AB200">
        <f>COUNTIF(K200:P200,"Material defect - patchable")</f>
        <v/>
      </c>
      <c r="AC200">
        <f>COUNTIF(K200:P200,"Indeterminate")+COUNTIF(K200:P200,"Not reviewed")</f>
        <v/>
      </c>
      <c r="AD200">
        <f>COUNTIF(K200:P200,"Adequate - control-dependent")</f>
        <v/>
      </c>
      <c r="AE200">
        <f>IF(COUNTA(A200:P200)+COUNTA(AJ200)=0,"",IF(AM200&lt;&gt;"OK","UNRECOGNISED_ADMIN_DISPOSITION",IF(AND(AJ200&lt;&gt;"",AJ200&lt;&gt;"None"),IF(OR(LEN(TRIM(A200))=0,LEN(TRIM(B200))=0,LEN(TRIM(C200))=0,LEN(TRIM(F200))=0),"ADMIN_INCOMPLETE","ADMIN_DISPOSITION"),IF(OR(LEN(TRIM(A200))=0,LEN(TRIM(B200))=0,LEN(TRIM(C200))=0,LEN(TRIM(D200))=0,LEN(TRIM(E200))=0,LEN(TRIM(F200))=0,LEN(TRIM(G200))=0,LEN(TRIM(H200))=0,LEN(TRIM(I200))=0,LEN(TRIM(J200))=0,LEN(TRIM(K200))=0,LEN(TRIM(L200))=0,LEN(TRIM(M200))=0,LEN(TRIM(N200))=0,LEN(TRIM(O200))=0,LEN(TRIM(P200))=0),"ADMIN_INCOMPLETE",IF(H200&lt;&gt;"Yes","ADMIN_INVALID",IF(I200="Not feasible","BURDEN_NOT_FEASIBLE",IF(AI200&lt;&gt;"OK","UNRECOGNISED_VALUE","CLEAR")))))))</f>
        <v/>
      </c>
      <c r="AF200">
        <f>IF(AND(Q200="",R200=""),"",IF(IF(Q200&lt;&gt;"",Q200,R200)="Stage-A admissible - scoped","stage_a_admissible_scoped",IF(IF(Q200&lt;&gt;"",Q200,R200)="Stage-A admissible - scoped, control-dependent","stage_a_admissible_scoped_control_dependent",IF(IF(Q200&lt;&gt;"",Q200,R200)="Stage-A non-admissible - patchable","stage_a_non_admissible_patchable",IF(IF(Q200&lt;&gt;"",Q200,R200)="Stage-A non-admissible - unpatchable for stated claim","stage_a_non_admissible_unpatchable_for_stated_claim",IF(IF(Q200&lt;&gt;"",Q200,R200)="Indeterminate - insufficient evidence","indeterminate_insufficient_evidence",IF(IF(Q200&lt;&gt;"",Q200,R200)="Protocol refusal to evaluate","protocol_refusal_to_evaluate",IF(IF(Q200&lt;&gt;"",Q200,R200)="Out of scope","out_of_scope",IF(IF(Q200&lt;&gt;"",Q200,R200)="Withdrawn","withdrawn",IF(IF(Q200&lt;&gt;"",Q200,R200)="Not reviewed","not_reviewed","unknown_status"))))))))))</f>
        <v/>
      </c>
      <c r="AG200">
        <f>IF(AND(AF200="",T200=""),"",IF(AND(AF200&lt;&gt;"",ISNUMBER(SEARCH("token="&amp;AF200&amp;";",T200)),ISNUMBER(SEARCH(AK200,T200)),ISNUMBER(SEARCH("CL basis="&amp;AL200&amp;";",T200))),"VALID","INVALID_OR_INCOMPLETE"))</f>
        <v/>
      </c>
      <c r="AH200">
        <f>COUNTIF(K200:P200,"Adequate for scope")</f>
        <v/>
      </c>
      <c r="AI200">
        <f>IF(COUNTA(K200:P200)=0,"",IF(AA200+AB200+AC200+AD200+AH200=6,"OK","UNRECOGNISED_VALUE"))</f>
        <v/>
      </c>
      <c r="AJ200" s="303" t="n"/>
      <c r="AK200" s="303">
        <f>IF(A200="","",Vocabulary!$B$5)</f>
        <v/>
      </c>
      <c r="AL200" s="303">
        <f>IF(A200="","",Vocabulary!$B$6)</f>
        <v/>
      </c>
      <c r="AM200" s="303">
        <f>IF(AJ200="","OK",IF(COUNTIF(Vocabulary!$O$5:$O$8,AJ200)=1,"OK","UNRECOGNISED_ADMIN_DISPOSITION"))</f>
        <v/>
      </c>
    </row>
    <row r="201">
      <c r="Q201">
        <f>IF(AE201="","",IF(AE201="ADMIN_DISPOSITION",AJ201,IF(OR(AE201="ADMIN_INCOMPLETE",AE201="ADMIN_INVALID",AE201="BURDEN_NOT_FEASIBLE",AE201="UNRECOGNISED_VALUE",AE201="UNRECOGNISED_ADMIN_DISPOSITION"),"Protocol refusal to evaluate",IF(AA201&gt;0,"Stage-A non-admissible - unpatchable for stated claim",IF(AB201&gt;0,"Stage-A non-admissible - patchable",IF(OR(J201="Yes",I201="Indeterminate",AC201&gt;0),"Indeterminate - insufficient evidence",IF(AND(AH201=6,AD201=0),"Stage-A admissible - scoped",IF(AND(AH201+AD201=6,AD201&gt;0),"Stage-A admissible - scoped, control-dependent","Protocol refusal to evaluate"))))))))</f>
        <v/>
      </c>
      <c r="S201">
        <f>IF(AND(Q201="",R201=""),"",IF(AND(Q201&lt;&gt;"",R201=""),"UNRECORDED",IF(AND(Q201="",R201&lt;&gt;""),"ORPHAN_RECORDED",IF(Q201=R201,"MATCH","MISMATCH"))))</f>
        <v/>
      </c>
      <c r="AA201">
        <f>COUNTIF(K201:P201,"Material defect - unpatchable for stated claim")</f>
        <v/>
      </c>
      <c r="AB201">
        <f>COUNTIF(K201:P201,"Material defect - patchable")</f>
        <v/>
      </c>
      <c r="AC201">
        <f>COUNTIF(K201:P201,"Indeterminate")+COUNTIF(K201:P201,"Not reviewed")</f>
        <v/>
      </c>
      <c r="AD201">
        <f>COUNTIF(K201:P201,"Adequate - control-dependent")</f>
        <v/>
      </c>
      <c r="AE201">
        <f>IF(COUNTA(A201:P201)+COUNTA(AJ201)=0,"",IF(AM201&lt;&gt;"OK","UNRECOGNISED_ADMIN_DISPOSITION",IF(AND(AJ201&lt;&gt;"",AJ201&lt;&gt;"None"),IF(OR(LEN(TRIM(A201))=0,LEN(TRIM(B201))=0,LEN(TRIM(C201))=0,LEN(TRIM(F201))=0),"ADMIN_INCOMPLETE","ADMIN_DISPOSITION"),IF(OR(LEN(TRIM(A201))=0,LEN(TRIM(B201))=0,LEN(TRIM(C201))=0,LEN(TRIM(D201))=0,LEN(TRIM(E201))=0,LEN(TRIM(F201))=0,LEN(TRIM(G201))=0,LEN(TRIM(H201))=0,LEN(TRIM(I201))=0,LEN(TRIM(J201))=0,LEN(TRIM(K201))=0,LEN(TRIM(L201))=0,LEN(TRIM(M201))=0,LEN(TRIM(N201))=0,LEN(TRIM(O201))=0,LEN(TRIM(P201))=0),"ADMIN_INCOMPLETE",IF(H201&lt;&gt;"Yes","ADMIN_INVALID",IF(I201="Not feasible","BURDEN_NOT_FEASIBLE",IF(AI201&lt;&gt;"OK","UNRECOGNISED_VALUE","CLEAR")))))))</f>
        <v/>
      </c>
      <c r="AF201">
        <f>IF(AND(Q201="",R201=""),"",IF(IF(Q201&lt;&gt;"",Q201,R201)="Stage-A admissible - scoped","stage_a_admissible_scoped",IF(IF(Q201&lt;&gt;"",Q201,R201)="Stage-A admissible - scoped, control-dependent","stage_a_admissible_scoped_control_dependent",IF(IF(Q201&lt;&gt;"",Q201,R201)="Stage-A non-admissible - patchable","stage_a_non_admissible_patchable",IF(IF(Q201&lt;&gt;"",Q201,R201)="Stage-A non-admissible - unpatchable for stated claim","stage_a_non_admissible_unpatchable_for_stated_claim",IF(IF(Q201&lt;&gt;"",Q201,R201)="Indeterminate - insufficient evidence","indeterminate_insufficient_evidence",IF(IF(Q201&lt;&gt;"",Q201,R201)="Protocol refusal to evaluate","protocol_refusal_to_evaluate",IF(IF(Q201&lt;&gt;"",Q201,R201)="Out of scope","out_of_scope",IF(IF(Q201&lt;&gt;"",Q201,R201)="Withdrawn","withdrawn",IF(IF(Q201&lt;&gt;"",Q201,R201)="Not reviewed","not_reviewed","unknown_status"))))))))))</f>
        <v/>
      </c>
      <c r="AG201">
        <f>IF(AND(AF201="",T201=""),"",IF(AND(AF201&lt;&gt;"",ISNUMBER(SEARCH("token="&amp;AF201&amp;";",T201)),ISNUMBER(SEARCH(AK201,T201)),ISNUMBER(SEARCH("CL basis="&amp;AL201&amp;";",T201))),"VALID","INVALID_OR_INCOMPLETE"))</f>
        <v/>
      </c>
      <c r="AH201">
        <f>COUNTIF(K201:P201,"Adequate for scope")</f>
        <v/>
      </c>
      <c r="AI201">
        <f>IF(COUNTA(K201:P201)=0,"",IF(AA201+AB201+AC201+AD201+AH201=6,"OK","UNRECOGNISED_VALUE"))</f>
        <v/>
      </c>
      <c r="AJ201" s="303" t="n"/>
      <c r="AK201" s="303">
        <f>IF(A201="","",Vocabulary!$B$5)</f>
        <v/>
      </c>
      <c r="AL201" s="303">
        <f>IF(A201="","",Vocabulary!$B$6)</f>
        <v/>
      </c>
      <c r="AM201" s="303">
        <f>IF(AJ201="","OK",IF(COUNTIF(Vocabulary!$O$5:$O$8,AJ201)=1,"OK","UNRECOGNISED_ADMIN_DISPOSITION"))</f>
        <v/>
      </c>
    </row>
    <row r="202">
      <c r="Q202">
        <f>IF(AE202="","",IF(AE202="ADMIN_DISPOSITION",AJ202,IF(OR(AE202="ADMIN_INCOMPLETE",AE202="ADMIN_INVALID",AE202="BURDEN_NOT_FEASIBLE",AE202="UNRECOGNISED_VALUE",AE202="UNRECOGNISED_ADMIN_DISPOSITION"),"Protocol refusal to evaluate",IF(AA202&gt;0,"Stage-A non-admissible - unpatchable for stated claim",IF(AB202&gt;0,"Stage-A non-admissible - patchable",IF(OR(J202="Yes",I202="Indeterminate",AC202&gt;0),"Indeterminate - insufficient evidence",IF(AND(AH202=6,AD202=0),"Stage-A admissible - scoped",IF(AND(AH202+AD202=6,AD202&gt;0),"Stage-A admissible - scoped, control-dependent","Protocol refusal to evaluate"))))))))</f>
        <v/>
      </c>
      <c r="S202">
        <f>IF(AND(Q202="",R202=""),"",IF(AND(Q202&lt;&gt;"",R202=""),"UNRECORDED",IF(AND(Q202="",R202&lt;&gt;""),"ORPHAN_RECORDED",IF(Q202=R202,"MATCH","MISMATCH"))))</f>
        <v/>
      </c>
      <c r="AA202">
        <f>COUNTIF(K202:P202,"Material defect - unpatchable for stated claim")</f>
        <v/>
      </c>
      <c r="AB202">
        <f>COUNTIF(K202:P202,"Material defect - patchable")</f>
        <v/>
      </c>
      <c r="AC202">
        <f>COUNTIF(K202:P202,"Indeterminate")+COUNTIF(K202:P202,"Not reviewed")</f>
        <v/>
      </c>
      <c r="AD202">
        <f>COUNTIF(K202:P202,"Adequate - control-dependent")</f>
        <v/>
      </c>
      <c r="AE202">
        <f>IF(COUNTA(A202:P202)+COUNTA(AJ202)=0,"",IF(AM202&lt;&gt;"OK","UNRECOGNISED_ADMIN_DISPOSITION",IF(AND(AJ202&lt;&gt;"",AJ202&lt;&gt;"None"),IF(OR(LEN(TRIM(A202))=0,LEN(TRIM(B202))=0,LEN(TRIM(C202))=0,LEN(TRIM(F202))=0),"ADMIN_INCOMPLETE","ADMIN_DISPOSITION"),IF(OR(LEN(TRIM(A202))=0,LEN(TRIM(B202))=0,LEN(TRIM(C202))=0,LEN(TRIM(D202))=0,LEN(TRIM(E202))=0,LEN(TRIM(F202))=0,LEN(TRIM(G202))=0,LEN(TRIM(H202))=0,LEN(TRIM(I202))=0,LEN(TRIM(J202))=0,LEN(TRIM(K202))=0,LEN(TRIM(L202))=0,LEN(TRIM(M202))=0,LEN(TRIM(N202))=0,LEN(TRIM(O202))=0,LEN(TRIM(P202))=0),"ADMIN_INCOMPLETE",IF(H202&lt;&gt;"Yes","ADMIN_INVALID",IF(I202="Not feasible","BURDEN_NOT_FEASIBLE",IF(AI202&lt;&gt;"OK","UNRECOGNISED_VALUE","CLEAR")))))))</f>
        <v/>
      </c>
      <c r="AF202">
        <f>IF(AND(Q202="",R202=""),"",IF(IF(Q202&lt;&gt;"",Q202,R202)="Stage-A admissible - scoped","stage_a_admissible_scoped",IF(IF(Q202&lt;&gt;"",Q202,R202)="Stage-A admissible - scoped, control-dependent","stage_a_admissible_scoped_control_dependent",IF(IF(Q202&lt;&gt;"",Q202,R202)="Stage-A non-admissible - patchable","stage_a_non_admissible_patchable",IF(IF(Q202&lt;&gt;"",Q202,R202)="Stage-A non-admissible - unpatchable for stated claim","stage_a_non_admissible_unpatchable_for_stated_claim",IF(IF(Q202&lt;&gt;"",Q202,R202)="Indeterminate - insufficient evidence","indeterminate_insufficient_evidence",IF(IF(Q202&lt;&gt;"",Q202,R202)="Protocol refusal to evaluate","protocol_refusal_to_evaluate",IF(IF(Q202&lt;&gt;"",Q202,R202)="Out of scope","out_of_scope",IF(IF(Q202&lt;&gt;"",Q202,R202)="Withdrawn","withdrawn",IF(IF(Q202&lt;&gt;"",Q202,R202)="Not reviewed","not_reviewed","unknown_status"))))))))))</f>
        <v/>
      </c>
      <c r="AG202">
        <f>IF(AND(AF202="",T202=""),"",IF(AND(AF202&lt;&gt;"",ISNUMBER(SEARCH("token="&amp;AF202&amp;";",T202)),ISNUMBER(SEARCH(AK202,T202)),ISNUMBER(SEARCH("CL basis="&amp;AL202&amp;";",T202))),"VALID","INVALID_OR_INCOMPLETE"))</f>
        <v/>
      </c>
      <c r="AH202">
        <f>COUNTIF(K202:P202,"Adequate for scope")</f>
        <v/>
      </c>
      <c r="AI202">
        <f>IF(COUNTA(K202:P202)=0,"",IF(AA202+AB202+AC202+AD202+AH202=6,"OK","UNRECOGNISED_VALUE"))</f>
        <v/>
      </c>
      <c r="AJ202" s="303" t="n"/>
      <c r="AK202" s="303">
        <f>IF(A202="","",Vocabulary!$B$5)</f>
        <v/>
      </c>
      <c r="AL202" s="303">
        <f>IF(A202="","",Vocabulary!$B$6)</f>
        <v/>
      </c>
      <c r="AM202" s="303">
        <f>IF(AJ202="","OK",IF(COUNTIF(Vocabulary!$O$5:$O$8,AJ202)=1,"OK","UNRECOGNISED_ADMIN_DISPOSITION"))</f>
        <v/>
      </c>
    </row>
    <row r="203">
      <c r="Q203">
        <f>IF(AE203="","",IF(AE203="ADMIN_DISPOSITION",AJ203,IF(OR(AE203="ADMIN_INCOMPLETE",AE203="ADMIN_INVALID",AE203="BURDEN_NOT_FEASIBLE",AE203="UNRECOGNISED_VALUE",AE203="UNRECOGNISED_ADMIN_DISPOSITION"),"Protocol refusal to evaluate",IF(AA203&gt;0,"Stage-A non-admissible - unpatchable for stated claim",IF(AB203&gt;0,"Stage-A non-admissible - patchable",IF(OR(J203="Yes",I203="Indeterminate",AC203&gt;0),"Indeterminate - insufficient evidence",IF(AND(AH203=6,AD203=0),"Stage-A admissible - scoped",IF(AND(AH203+AD203=6,AD203&gt;0),"Stage-A admissible - scoped, control-dependent","Protocol refusal to evaluate"))))))))</f>
        <v/>
      </c>
      <c r="S203">
        <f>IF(AND(Q203="",R203=""),"",IF(AND(Q203&lt;&gt;"",R203=""),"UNRECORDED",IF(AND(Q203="",R203&lt;&gt;""),"ORPHAN_RECORDED",IF(Q203=R203,"MATCH","MISMATCH"))))</f>
        <v/>
      </c>
      <c r="AA203">
        <f>COUNTIF(K203:P203,"Material defect - unpatchable for stated claim")</f>
        <v/>
      </c>
      <c r="AB203">
        <f>COUNTIF(K203:P203,"Material defect - patchable")</f>
        <v/>
      </c>
      <c r="AC203">
        <f>COUNTIF(K203:P203,"Indeterminate")+COUNTIF(K203:P203,"Not reviewed")</f>
        <v/>
      </c>
      <c r="AD203">
        <f>COUNTIF(K203:P203,"Adequate - control-dependent")</f>
        <v/>
      </c>
      <c r="AE203">
        <f>IF(COUNTA(A203:P203)+COUNTA(AJ203)=0,"",IF(AM203&lt;&gt;"OK","UNRECOGNISED_ADMIN_DISPOSITION",IF(AND(AJ203&lt;&gt;"",AJ203&lt;&gt;"None"),IF(OR(LEN(TRIM(A203))=0,LEN(TRIM(B203))=0,LEN(TRIM(C203))=0,LEN(TRIM(F203))=0),"ADMIN_INCOMPLETE","ADMIN_DISPOSITION"),IF(OR(LEN(TRIM(A203))=0,LEN(TRIM(B203))=0,LEN(TRIM(C203))=0,LEN(TRIM(D203))=0,LEN(TRIM(E203))=0,LEN(TRIM(F203))=0,LEN(TRIM(G203))=0,LEN(TRIM(H203))=0,LEN(TRIM(I203))=0,LEN(TRIM(J203))=0,LEN(TRIM(K203))=0,LEN(TRIM(L203))=0,LEN(TRIM(M203))=0,LEN(TRIM(N203))=0,LEN(TRIM(O203))=0,LEN(TRIM(P203))=0),"ADMIN_INCOMPLETE",IF(H203&lt;&gt;"Yes","ADMIN_INVALID",IF(I203="Not feasible","BURDEN_NOT_FEASIBLE",IF(AI203&lt;&gt;"OK","UNRECOGNISED_VALUE","CLEAR")))))))</f>
        <v/>
      </c>
      <c r="AF203">
        <f>IF(AND(Q203="",R203=""),"",IF(IF(Q203&lt;&gt;"",Q203,R203)="Stage-A admissible - scoped","stage_a_admissible_scoped",IF(IF(Q203&lt;&gt;"",Q203,R203)="Stage-A admissible - scoped, control-dependent","stage_a_admissible_scoped_control_dependent",IF(IF(Q203&lt;&gt;"",Q203,R203)="Stage-A non-admissible - patchable","stage_a_non_admissible_patchable",IF(IF(Q203&lt;&gt;"",Q203,R203)="Stage-A non-admissible - unpatchable for stated claim","stage_a_non_admissible_unpatchable_for_stated_claim",IF(IF(Q203&lt;&gt;"",Q203,R203)="Indeterminate - insufficient evidence","indeterminate_insufficient_evidence",IF(IF(Q203&lt;&gt;"",Q203,R203)="Protocol refusal to evaluate","protocol_refusal_to_evaluate",IF(IF(Q203&lt;&gt;"",Q203,R203)="Out of scope","out_of_scope",IF(IF(Q203&lt;&gt;"",Q203,R203)="Withdrawn","withdrawn",IF(IF(Q203&lt;&gt;"",Q203,R203)="Not reviewed","not_reviewed","unknown_status"))))))))))</f>
        <v/>
      </c>
      <c r="AG203">
        <f>IF(AND(AF203="",T203=""),"",IF(AND(AF203&lt;&gt;"",ISNUMBER(SEARCH("token="&amp;AF203&amp;";",T203)),ISNUMBER(SEARCH(AK203,T203)),ISNUMBER(SEARCH("CL basis="&amp;AL203&amp;";",T203))),"VALID","INVALID_OR_INCOMPLETE"))</f>
        <v/>
      </c>
      <c r="AH203">
        <f>COUNTIF(K203:P203,"Adequate for scope")</f>
        <v/>
      </c>
      <c r="AI203">
        <f>IF(COUNTA(K203:P203)=0,"",IF(AA203+AB203+AC203+AD203+AH203=6,"OK","UNRECOGNISED_VALUE"))</f>
        <v/>
      </c>
      <c r="AJ203" s="303" t="n"/>
      <c r="AK203" s="303">
        <f>IF(A203="","",Vocabulary!$B$5)</f>
        <v/>
      </c>
      <c r="AL203" s="303">
        <f>IF(A203="","",Vocabulary!$B$6)</f>
        <v/>
      </c>
      <c r="AM203" s="303">
        <f>IF(AJ203="","OK",IF(COUNTIF(Vocabulary!$O$5:$O$8,AJ203)=1,"OK","UNRECOGNISED_ADMIN_DISPOSITION"))</f>
        <v/>
      </c>
    </row>
    <row r="204">
      <c r="Q204">
        <f>IF(AE204="","",IF(AE204="ADMIN_DISPOSITION",AJ204,IF(OR(AE204="ADMIN_INCOMPLETE",AE204="ADMIN_INVALID",AE204="BURDEN_NOT_FEASIBLE",AE204="UNRECOGNISED_VALUE",AE204="UNRECOGNISED_ADMIN_DISPOSITION"),"Protocol refusal to evaluate",IF(AA204&gt;0,"Stage-A non-admissible - unpatchable for stated claim",IF(AB204&gt;0,"Stage-A non-admissible - patchable",IF(OR(J204="Yes",I204="Indeterminate",AC204&gt;0),"Indeterminate - insufficient evidence",IF(AND(AH204=6,AD204=0),"Stage-A admissible - scoped",IF(AND(AH204+AD204=6,AD204&gt;0),"Stage-A admissible - scoped, control-dependent","Protocol refusal to evaluate"))))))))</f>
        <v/>
      </c>
      <c r="S204">
        <f>IF(AND(Q204="",R204=""),"",IF(AND(Q204&lt;&gt;"",R204=""),"UNRECORDED",IF(AND(Q204="",R204&lt;&gt;""),"ORPHAN_RECORDED",IF(Q204=R204,"MATCH","MISMATCH"))))</f>
        <v/>
      </c>
      <c r="AA204">
        <f>COUNTIF(K204:P204,"Material defect - unpatchable for stated claim")</f>
        <v/>
      </c>
      <c r="AB204">
        <f>COUNTIF(K204:P204,"Material defect - patchable")</f>
        <v/>
      </c>
      <c r="AC204">
        <f>COUNTIF(K204:P204,"Indeterminate")+COUNTIF(K204:P204,"Not reviewed")</f>
        <v/>
      </c>
      <c r="AD204">
        <f>COUNTIF(K204:P204,"Adequate - control-dependent")</f>
        <v/>
      </c>
      <c r="AE204">
        <f>IF(COUNTA(A204:P204)+COUNTA(AJ204)=0,"",IF(AM204&lt;&gt;"OK","UNRECOGNISED_ADMIN_DISPOSITION",IF(AND(AJ204&lt;&gt;"",AJ204&lt;&gt;"None"),IF(OR(LEN(TRIM(A204))=0,LEN(TRIM(B204))=0,LEN(TRIM(C204))=0,LEN(TRIM(F204))=0),"ADMIN_INCOMPLETE","ADMIN_DISPOSITION"),IF(OR(LEN(TRIM(A204))=0,LEN(TRIM(B204))=0,LEN(TRIM(C204))=0,LEN(TRIM(D204))=0,LEN(TRIM(E204))=0,LEN(TRIM(F204))=0,LEN(TRIM(G204))=0,LEN(TRIM(H204))=0,LEN(TRIM(I204))=0,LEN(TRIM(J204))=0,LEN(TRIM(K204))=0,LEN(TRIM(L204))=0,LEN(TRIM(M204))=0,LEN(TRIM(N204))=0,LEN(TRIM(O204))=0,LEN(TRIM(P204))=0),"ADMIN_INCOMPLETE",IF(H204&lt;&gt;"Yes","ADMIN_INVALID",IF(I204="Not feasible","BURDEN_NOT_FEASIBLE",IF(AI204&lt;&gt;"OK","UNRECOGNISED_VALUE","CLEAR")))))))</f>
        <v/>
      </c>
      <c r="AF204">
        <f>IF(AND(Q204="",R204=""),"",IF(IF(Q204&lt;&gt;"",Q204,R204)="Stage-A admissible - scoped","stage_a_admissible_scoped",IF(IF(Q204&lt;&gt;"",Q204,R204)="Stage-A admissible - scoped, control-dependent","stage_a_admissible_scoped_control_dependent",IF(IF(Q204&lt;&gt;"",Q204,R204)="Stage-A non-admissible - patchable","stage_a_non_admissible_patchable",IF(IF(Q204&lt;&gt;"",Q204,R204)="Stage-A non-admissible - unpatchable for stated claim","stage_a_non_admissible_unpatchable_for_stated_claim",IF(IF(Q204&lt;&gt;"",Q204,R204)="Indeterminate - insufficient evidence","indeterminate_insufficient_evidence",IF(IF(Q204&lt;&gt;"",Q204,R204)="Protocol refusal to evaluate","protocol_refusal_to_evaluate",IF(IF(Q204&lt;&gt;"",Q204,R204)="Out of scope","out_of_scope",IF(IF(Q204&lt;&gt;"",Q204,R204)="Withdrawn","withdrawn",IF(IF(Q204&lt;&gt;"",Q204,R204)="Not reviewed","not_reviewed","unknown_status"))))))))))</f>
        <v/>
      </c>
      <c r="AG204">
        <f>IF(AND(AF204="",T204=""),"",IF(AND(AF204&lt;&gt;"",ISNUMBER(SEARCH("token="&amp;AF204&amp;";",T204)),ISNUMBER(SEARCH(AK204,T204)),ISNUMBER(SEARCH("CL basis="&amp;AL204&amp;";",T204))),"VALID","INVALID_OR_INCOMPLETE"))</f>
        <v/>
      </c>
      <c r="AH204">
        <f>COUNTIF(K204:P204,"Adequate for scope")</f>
        <v/>
      </c>
      <c r="AI204">
        <f>IF(COUNTA(K204:P204)=0,"",IF(AA204+AB204+AC204+AD204+AH204=6,"OK","UNRECOGNISED_VALUE"))</f>
        <v/>
      </c>
      <c r="AJ204" s="303" t="n"/>
      <c r="AK204" s="303">
        <f>IF(A204="","",Vocabulary!$B$5)</f>
        <v/>
      </c>
      <c r="AL204" s="303">
        <f>IF(A204="","",Vocabulary!$B$6)</f>
        <v/>
      </c>
      <c r="AM204" s="303">
        <f>IF(AJ204="","OK",IF(COUNTIF(Vocabulary!$O$5:$O$8,AJ204)=1,"OK","UNRECOGNISED_ADMIN_DISPOSITION"))</f>
        <v/>
      </c>
    </row>
    <row r="205">
      <c r="Q205">
        <f>IF(AE205="","",IF(AE205="ADMIN_DISPOSITION",AJ205,IF(OR(AE205="ADMIN_INCOMPLETE",AE205="ADMIN_INVALID",AE205="BURDEN_NOT_FEASIBLE",AE205="UNRECOGNISED_VALUE",AE205="UNRECOGNISED_ADMIN_DISPOSITION"),"Protocol refusal to evaluate",IF(AA205&gt;0,"Stage-A non-admissible - unpatchable for stated claim",IF(AB205&gt;0,"Stage-A non-admissible - patchable",IF(OR(J205="Yes",I205="Indeterminate",AC205&gt;0),"Indeterminate - insufficient evidence",IF(AND(AH205=6,AD205=0),"Stage-A admissible - scoped",IF(AND(AH205+AD205=6,AD205&gt;0),"Stage-A admissible - scoped, control-dependent","Protocol refusal to evaluate"))))))))</f>
        <v/>
      </c>
      <c r="S205">
        <f>IF(AND(Q205="",R205=""),"",IF(AND(Q205&lt;&gt;"",R205=""),"UNRECORDED",IF(AND(Q205="",R205&lt;&gt;""),"ORPHAN_RECORDED",IF(Q205=R205,"MATCH","MISMATCH"))))</f>
        <v/>
      </c>
      <c r="AA205">
        <f>COUNTIF(K205:P205,"Material defect - unpatchable for stated claim")</f>
        <v/>
      </c>
      <c r="AB205">
        <f>COUNTIF(K205:P205,"Material defect - patchable")</f>
        <v/>
      </c>
      <c r="AC205">
        <f>COUNTIF(K205:P205,"Indeterminate")+COUNTIF(K205:P205,"Not reviewed")</f>
        <v/>
      </c>
      <c r="AD205">
        <f>COUNTIF(K205:P205,"Adequate - control-dependent")</f>
        <v/>
      </c>
      <c r="AE205">
        <f>IF(COUNTA(A205:P205)+COUNTA(AJ205)=0,"",IF(AM205&lt;&gt;"OK","UNRECOGNISED_ADMIN_DISPOSITION",IF(AND(AJ205&lt;&gt;"",AJ205&lt;&gt;"None"),IF(OR(LEN(TRIM(A205))=0,LEN(TRIM(B205))=0,LEN(TRIM(C205))=0,LEN(TRIM(F205))=0),"ADMIN_INCOMPLETE","ADMIN_DISPOSITION"),IF(OR(LEN(TRIM(A205))=0,LEN(TRIM(B205))=0,LEN(TRIM(C205))=0,LEN(TRIM(D205))=0,LEN(TRIM(E205))=0,LEN(TRIM(F205))=0,LEN(TRIM(G205))=0,LEN(TRIM(H205))=0,LEN(TRIM(I205))=0,LEN(TRIM(J205))=0,LEN(TRIM(K205))=0,LEN(TRIM(L205))=0,LEN(TRIM(M205))=0,LEN(TRIM(N205))=0,LEN(TRIM(O205))=0,LEN(TRIM(P205))=0),"ADMIN_INCOMPLETE",IF(H205&lt;&gt;"Yes","ADMIN_INVALID",IF(I205="Not feasible","BURDEN_NOT_FEASIBLE",IF(AI205&lt;&gt;"OK","UNRECOGNISED_VALUE","CLEAR")))))))</f>
        <v/>
      </c>
      <c r="AF205">
        <f>IF(AND(Q205="",R205=""),"",IF(IF(Q205&lt;&gt;"",Q205,R205)="Stage-A admissible - scoped","stage_a_admissible_scoped",IF(IF(Q205&lt;&gt;"",Q205,R205)="Stage-A admissible - scoped, control-dependent","stage_a_admissible_scoped_control_dependent",IF(IF(Q205&lt;&gt;"",Q205,R205)="Stage-A non-admissible - patchable","stage_a_non_admissible_patchable",IF(IF(Q205&lt;&gt;"",Q205,R205)="Stage-A non-admissible - unpatchable for stated claim","stage_a_non_admissible_unpatchable_for_stated_claim",IF(IF(Q205&lt;&gt;"",Q205,R205)="Indeterminate - insufficient evidence","indeterminate_insufficient_evidence",IF(IF(Q205&lt;&gt;"",Q205,R205)="Protocol refusal to evaluate","protocol_refusal_to_evaluate",IF(IF(Q205&lt;&gt;"",Q205,R205)="Out of scope","out_of_scope",IF(IF(Q205&lt;&gt;"",Q205,R205)="Withdrawn","withdrawn",IF(IF(Q205&lt;&gt;"",Q205,R205)="Not reviewed","not_reviewed","unknown_status"))))))))))</f>
        <v/>
      </c>
      <c r="AG205">
        <f>IF(AND(AF205="",T205=""),"",IF(AND(AF205&lt;&gt;"",ISNUMBER(SEARCH("token="&amp;AF205&amp;";",T205)),ISNUMBER(SEARCH(AK205,T205)),ISNUMBER(SEARCH("CL basis="&amp;AL205&amp;";",T205))),"VALID","INVALID_OR_INCOMPLETE"))</f>
        <v/>
      </c>
      <c r="AH205">
        <f>COUNTIF(K205:P205,"Adequate for scope")</f>
        <v/>
      </c>
      <c r="AI205">
        <f>IF(COUNTA(K205:P205)=0,"",IF(AA205+AB205+AC205+AD205+AH205=6,"OK","UNRECOGNISED_VALUE"))</f>
        <v/>
      </c>
      <c r="AJ205" s="303" t="n"/>
      <c r="AK205" s="303">
        <f>IF(A205="","",Vocabulary!$B$5)</f>
        <v/>
      </c>
      <c r="AL205" s="303">
        <f>IF(A205="","",Vocabulary!$B$6)</f>
        <v/>
      </c>
      <c r="AM205" s="303">
        <f>IF(AJ205="","OK",IF(COUNTIF(Vocabulary!$O$5:$O$8,AJ205)=1,"OK","UNRECOGNISED_ADMIN_DISPOSITION"))</f>
        <v/>
      </c>
    </row>
    <row r="206">
      <c r="Q206">
        <f>IF(AE206="","",IF(AE206="ADMIN_DISPOSITION",AJ206,IF(OR(AE206="ADMIN_INCOMPLETE",AE206="ADMIN_INVALID",AE206="BURDEN_NOT_FEASIBLE",AE206="UNRECOGNISED_VALUE",AE206="UNRECOGNISED_ADMIN_DISPOSITION"),"Protocol refusal to evaluate",IF(AA206&gt;0,"Stage-A non-admissible - unpatchable for stated claim",IF(AB206&gt;0,"Stage-A non-admissible - patchable",IF(OR(J206="Yes",I206="Indeterminate",AC206&gt;0),"Indeterminate - insufficient evidence",IF(AND(AH206=6,AD206=0),"Stage-A admissible - scoped",IF(AND(AH206+AD206=6,AD206&gt;0),"Stage-A admissible - scoped, control-dependent","Protocol refusal to evaluate"))))))))</f>
        <v/>
      </c>
      <c r="S206">
        <f>IF(AND(Q206="",R206=""),"",IF(AND(Q206&lt;&gt;"",R206=""),"UNRECORDED",IF(AND(Q206="",R206&lt;&gt;""),"ORPHAN_RECORDED",IF(Q206=R206,"MATCH","MISMATCH"))))</f>
        <v/>
      </c>
      <c r="AA206">
        <f>COUNTIF(K206:P206,"Material defect - unpatchable for stated claim")</f>
        <v/>
      </c>
      <c r="AB206">
        <f>COUNTIF(K206:P206,"Material defect - patchable")</f>
        <v/>
      </c>
      <c r="AC206">
        <f>COUNTIF(K206:P206,"Indeterminate")+COUNTIF(K206:P206,"Not reviewed")</f>
        <v/>
      </c>
      <c r="AD206">
        <f>COUNTIF(K206:P206,"Adequate - control-dependent")</f>
        <v/>
      </c>
      <c r="AE206">
        <f>IF(COUNTA(A206:P206)+COUNTA(AJ206)=0,"",IF(AM206&lt;&gt;"OK","UNRECOGNISED_ADMIN_DISPOSITION",IF(AND(AJ206&lt;&gt;"",AJ206&lt;&gt;"None"),IF(OR(LEN(TRIM(A206))=0,LEN(TRIM(B206))=0,LEN(TRIM(C206))=0,LEN(TRIM(F206))=0),"ADMIN_INCOMPLETE","ADMIN_DISPOSITION"),IF(OR(LEN(TRIM(A206))=0,LEN(TRIM(B206))=0,LEN(TRIM(C206))=0,LEN(TRIM(D206))=0,LEN(TRIM(E206))=0,LEN(TRIM(F206))=0,LEN(TRIM(G206))=0,LEN(TRIM(H206))=0,LEN(TRIM(I206))=0,LEN(TRIM(J206))=0,LEN(TRIM(K206))=0,LEN(TRIM(L206))=0,LEN(TRIM(M206))=0,LEN(TRIM(N206))=0,LEN(TRIM(O206))=0,LEN(TRIM(P206))=0),"ADMIN_INCOMPLETE",IF(H206&lt;&gt;"Yes","ADMIN_INVALID",IF(I206="Not feasible","BURDEN_NOT_FEASIBLE",IF(AI206&lt;&gt;"OK","UNRECOGNISED_VALUE","CLEAR")))))))</f>
        <v/>
      </c>
      <c r="AF206">
        <f>IF(AND(Q206="",R206=""),"",IF(IF(Q206&lt;&gt;"",Q206,R206)="Stage-A admissible - scoped","stage_a_admissible_scoped",IF(IF(Q206&lt;&gt;"",Q206,R206)="Stage-A admissible - scoped, control-dependent","stage_a_admissible_scoped_control_dependent",IF(IF(Q206&lt;&gt;"",Q206,R206)="Stage-A non-admissible - patchable","stage_a_non_admissible_patchable",IF(IF(Q206&lt;&gt;"",Q206,R206)="Stage-A non-admissible - unpatchable for stated claim","stage_a_non_admissible_unpatchable_for_stated_claim",IF(IF(Q206&lt;&gt;"",Q206,R206)="Indeterminate - insufficient evidence","indeterminate_insufficient_evidence",IF(IF(Q206&lt;&gt;"",Q206,R206)="Protocol refusal to evaluate","protocol_refusal_to_evaluate",IF(IF(Q206&lt;&gt;"",Q206,R206)="Out of scope","out_of_scope",IF(IF(Q206&lt;&gt;"",Q206,R206)="Withdrawn","withdrawn",IF(IF(Q206&lt;&gt;"",Q206,R206)="Not reviewed","not_reviewed","unknown_status"))))))))))</f>
        <v/>
      </c>
      <c r="AG206">
        <f>IF(AND(AF206="",T206=""),"",IF(AND(AF206&lt;&gt;"",ISNUMBER(SEARCH("token="&amp;AF206&amp;";",T206)),ISNUMBER(SEARCH(AK206,T206)),ISNUMBER(SEARCH("CL basis="&amp;AL206&amp;";",T206))),"VALID","INVALID_OR_INCOMPLETE"))</f>
        <v/>
      </c>
      <c r="AH206">
        <f>COUNTIF(K206:P206,"Adequate for scope")</f>
        <v/>
      </c>
      <c r="AI206">
        <f>IF(COUNTA(K206:P206)=0,"",IF(AA206+AB206+AC206+AD206+AH206=6,"OK","UNRECOGNISED_VALUE"))</f>
        <v/>
      </c>
      <c r="AJ206" s="303" t="n"/>
      <c r="AK206" s="303">
        <f>IF(A206="","",Vocabulary!$B$5)</f>
        <v/>
      </c>
      <c r="AL206" s="303">
        <f>IF(A206="","",Vocabulary!$B$6)</f>
        <v/>
      </c>
      <c r="AM206" s="303">
        <f>IF(AJ206="","OK",IF(COUNTIF(Vocabulary!$O$5:$O$8,AJ206)=1,"OK","UNRECOGNISED_ADMIN_DISPOSITION"))</f>
        <v/>
      </c>
    </row>
    <row r="207">
      <c r="Q207">
        <f>IF(AE207="","",IF(AE207="ADMIN_DISPOSITION",AJ207,IF(OR(AE207="ADMIN_INCOMPLETE",AE207="ADMIN_INVALID",AE207="BURDEN_NOT_FEASIBLE",AE207="UNRECOGNISED_VALUE",AE207="UNRECOGNISED_ADMIN_DISPOSITION"),"Protocol refusal to evaluate",IF(AA207&gt;0,"Stage-A non-admissible - unpatchable for stated claim",IF(AB207&gt;0,"Stage-A non-admissible - patchable",IF(OR(J207="Yes",I207="Indeterminate",AC207&gt;0),"Indeterminate - insufficient evidence",IF(AND(AH207=6,AD207=0),"Stage-A admissible - scoped",IF(AND(AH207+AD207=6,AD207&gt;0),"Stage-A admissible - scoped, control-dependent","Protocol refusal to evaluate"))))))))</f>
        <v/>
      </c>
      <c r="S207">
        <f>IF(AND(Q207="",R207=""),"",IF(AND(Q207&lt;&gt;"",R207=""),"UNRECORDED",IF(AND(Q207="",R207&lt;&gt;""),"ORPHAN_RECORDED",IF(Q207=R207,"MATCH","MISMATCH"))))</f>
        <v/>
      </c>
      <c r="AA207">
        <f>COUNTIF(K207:P207,"Material defect - unpatchable for stated claim")</f>
        <v/>
      </c>
      <c r="AB207">
        <f>COUNTIF(K207:P207,"Material defect - patchable")</f>
        <v/>
      </c>
      <c r="AC207">
        <f>COUNTIF(K207:P207,"Indeterminate")+COUNTIF(K207:P207,"Not reviewed")</f>
        <v/>
      </c>
      <c r="AD207">
        <f>COUNTIF(K207:P207,"Adequate - control-dependent")</f>
        <v/>
      </c>
      <c r="AE207">
        <f>IF(COUNTA(A207:P207)+COUNTA(AJ207)=0,"",IF(AM207&lt;&gt;"OK","UNRECOGNISED_ADMIN_DISPOSITION",IF(AND(AJ207&lt;&gt;"",AJ207&lt;&gt;"None"),IF(OR(LEN(TRIM(A207))=0,LEN(TRIM(B207))=0,LEN(TRIM(C207))=0,LEN(TRIM(F207))=0),"ADMIN_INCOMPLETE","ADMIN_DISPOSITION"),IF(OR(LEN(TRIM(A207))=0,LEN(TRIM(B207))=0,LEN(TRIM(C207))=0,LEN(TRIM(D207))=0,LEN(TRIM(E207))=0,LEN(TRIM(F207))=0,LEN(TRIM(G207))=0,LEN(TRIM(H207))=0,LEN(TRIM(I207))=0,LEN(TRIM(J207))=0,LEN(TRIM(K207))=0,LEN(TRIM(L207))=0,LEN(TRIM(M207))=0,LEN(TRIM(N207))=0,LEN(TRIM(O207))=0,LEN(TRIM(P207))=0),"ADMIN_INCOMPLETE",IF(H207&lt;&gt;"Yes","ADMIN_INVALID",IF(I207="Not feasible","BURDEN_NOT_FEASIBLE",IF(AI207&lt;&gt;"OK","UNRECOGNISED_VALUE","CLEAR")))))))</f>
        <v/>
      </c>
      <c r="AF207">
        <f>IF(AND(Q207="",R207=""),"",IF(IF(Q207&lt;&gt;"",Q207,R207)="Stage-A admissible - scoped","stage_a_admissible_scoped",IF(IF(Q207&lt;&gt;"",Q207,R207)="Stage-A admissible - scoped, control-dependent","stage_a_admissible_scoped_control_dependent",IF(IF(Q207&lt;&gt;"",Q207,R207)="Stage-A non-admissible - patchable","stage_a_non_admissible_patchable",IF(IF(Q207&lt;&gt;"",Q207,R207)="Stage-A non-admissible - unpatchable for stated claim","stage_a_non_admissible_unpatchable_for_stated_claim",IF(IF(Q207&lt;&gt;"",Q207,R207)="Indeterminate - insufficient evidence","indeterminate_insufficient_evidence",IF(IF(Q207&lt;&gt;"",Q207,R207)="Protocol refusal to evaluate","protocol_refusal_to_evaluate",IF(IF(Q207&lt;&gt;"",Q207,R207)="Out of scope","out_of_scope",IF(IF(Q207&lt;&gt;"",Q207,R207)="Withdrawn","withdrawn",IF(IF(Q207&lt;&gt;"",Q207,R207)="Not reviewed","not_reviewed","unknown_status"))))))))))</f>
        <v/>
      </c>
      <c r="AG207">
        <f>IF(AND(AF207="",T207=""),"",IF(AND(AF207&lt;&gt;"",ISNUMBER(SEARCH("token="&amp;AF207&amp;";",T207)),ISNUMBER(SEARCH(AK207,T207)),ISNUMBER(SEARCH("CL basis="&amp;AL207&amp;";",T207))),"VALID","INVALID_OR_INCOMPLETE"))</f>
        <v/>
      </c>
      <c r="AH207">
        <f>COUNTIF(K207:P207,"Adequate for scope")</f>
        <v/>
      </c>
      <c r="AI207">
        <f>IF(COUNTA(K207:P207)=0,"",IF(AA207+AB207+AC207+AD207+AH207=6,"OK","UNRECOGNISED_VALUE"))</f>
        <v/>
      </c>
      <c r="AJ207" s="303" t="n"/>
      <c r="AK207" s="303">
        <f>IF(A207="","",Vocabulary!$B$5)</f>
        <v/>
      </c>
      <c r="AL207" s="303">
        <f>IF(A207="","",Vocabulary!$B$6)</f>
        <v/>
      </c>
      <c r="AM207" s="303">
        <f>IF(AJ207="","OK",IF(COUNTIF(Vocabulary!$O$5:$O$8,AJ207)=1,"OK","UNRECOGNISED_ADMIN_DISPOSITION"))</f>
        <v/>
      </c>
    </row>
    <row r="208">
      <c r="Q208">
        <f>IF(AE208="","",IF(AE208="ADMIN_DISPOSITION",AJ208,IF(OR(AE208="ADMIN_INCOMPLETE",AE208="ADMIN_INVALID",AE208="BURDEN_NOT_FEASIBLE",AE208="UNRECOGNISED_VALUE",AE208="UNRECOGNISED_ADMIN_DISPOSITION"),"Protocol refusal to evaluate",IF(AA208&gt;0,"Stage-A non-admissible - unpatchable for stated claim",IF(AB208&gt;0,"Stage-A non-admissible - patchable",IF(OR(J208="Yes",I208="Indeterminate",AC208&gt;0),"Indeterminate - insufficient evidence",IF(AND(AH208=6,AD208=0),"Stage-A admissible - scoped",IF(AND(AH208+AD208=6,AD208&gt;0),"Stage-A admissible - scoped, control-dependent","Protocol refusal to evaluate"))))))))</f>
        <v/>
      </c>
      <c r="S208">
        <f>IF(AND(Q208="",R208=""),"",IF(AND(Q208&lt;&gt;"",R208=""),"UNRECORDED",IF(AND(Q208="",R208&lt;&gt;""),"ORPHAN_RECORDED",IF(Q208=R208,"MATCH","MISMATCH"))))</f>
        <v/>
      </c>
      <c r="AA208">
        <f>COUNTIF(K208:P208,"Material defect - unpatchable for stated claim")</f>
        <v/>
      </c>
      <c r="AB208">
        <f>COUNTIF(K208:P208,"Material defect - patchable")</f>
        <v/>
      </c>
      <c r="AC208">
        <f>COUNTIF(K208:P208,"Indeterminate")+COUNTIF(K208:P208,"Not reviewed")</f>
        <v/>
      </c>
      <c r="AD208">
        <f>COUNTIF(K208:P208,"Adequate - control-dependent")</f>
        <v/>
      </c>
      <c r="AE208">
        <f>IF(COUNTA(A208:P208)+COUNTA(AJ208)=0,"",IF(AM208&lt;&gt;"OK","UNRECOGNISED_ADMIN_DISPOSITION",IF(AND(AJ208&lt;&gt;"",AJ208&lt;&gt;"None"),IF(OR(LEN(TRIM(A208))=0,LEN(TRIM(B208))=0,LEN(TRIM(C208))=0,LEN(TRIM(F208))=0),"ADMIN_INCOMPLETE","ADMIN_DISPOSITION"),IF(OR(LEN(TRIM(A208))=0,LEN(TRIM(B208))=0,LEN(TRIM(C208))=0,LEN(TRIM(D208))=0,LEN(TRIM(E208))=0,LEN(TRIM(F208))=0,LEN(TRIM(G208))=0,LEN(TRIM(H208))=0,LEN(TRIM(I208))=0,LEN(TRIM(J208))=0,LEN(TRIM(K208))=0,LEN(TRIM(L208))=0,LEN(TRIM(M208))=0,LEN(TRIM(N208))=0,LEN(TRIM(O208))=0,LEN(TRIM(P208))=0),"ADMIN_INCOMPLETE",IF(H208&lt;&gt;"Yes","ADMIN_INVALID",IF(I208="Not feasible","BURDEN_NOT_FEASIBLE",IF(AI208&lt;&gt;"OK","UNRECOGNISED_VALUE","CLEAR")))))))</f>
        <v/>
      </c>
      <c r="AF208">
        <f>IF(AND(Q208="",R208=""),"",IF(IF(Q208&lt;&gt;"",Q208,R208)="Stage-A admissible - scoped","stage_a_admissible_scoped",IF(IF(Q208&lt;&gt;"",Q208,R208)="Stage-A admissible - scoped, control-dependent","stage_a_admissible_scoped_control_dependent",IF(IF(Q208&lt;&gt;"",Q208,R208)="Stage-A non-admissible - patchable","stage_a_non_admissible_patchable",IF(IF(Q208&lt;&gt;"",Q208,R208)="Stage-A non-admissible - unpatchable for stated claim","stage_a_non_admissible_unpatchable_for_stated_claim",IF(IF(Q208&lt;&gt;"",Q208,R208)="Indeterminate - insufficient evidence","indeterminate_insufficient_evidence",IF(IF(Q208&lt;&gt;"",Q208,R208)="Protocol refusal to evaluate","protocol_refusal_to_evaluate",IF(IF(Q208&lt;&gt;"",Q208,R208)="Out of scope","out_of_scope",IF(IF(Q208&lt;&gt;"",Q208,R208)="Withdrawn","withdrawn",IF(IF(Q208&lt;&gt;"",Q208,R208)="Not reviewed","not_reviewed","unknown_status"))))))))))</f>
        <v/>
      </c>
      <c r="AG208">
        <f>IF(AND(AF208="",T208=""),"",IF(AND(AF208&lt;&gt;"",ISNUMBER(SEARCH("token="&amp;AF208&amp;";",T208)),ISNUMBER(SEARCH(AK208,T208)),ISNUMBER(SEARCH("CL basis="&amp;AL208&amp;";",T208))),"VALID","INVALID_OR_INCOMPLETE"))</f>
        <v/>
      </c>
      <c r="AH208">
        <f>COUNTIF(K208:P208,"Adequate for scope")</f>
        <v/>
      </c>
      <c r="AI208">
        <f>IF(COUNTA(K208:P208)=0,"",IF(AA208+AB208+AC208+AD208+AH208=6,"OK","UNRECOGNISED_VALUE"))</f>
        <v/>
      </c>
      <c r="AJ208" s="303" t="n"/>
      <c r="AK208" s="303">
        <f>IF(A208="","",Vocabulary!$B$5)</f>
        <v/>
      </c>
      <c r="AL208" s="303">
        <f>IF(A208="","",Vocabulary!$B$6)</f>
        <v/>
      </c>
      <c r="AM208" s="303">
        <f>IF(AJ208="","OK",IF(COUNTIF(Vocabulary!$O$5:$O$8,AJ208)=1,"OK","UNRECOGNISED_ADMIN_DISPOSITION"))</f>
        <v/>
      </c>
    </row>
    <row r="209">
      <c r="Q209">
        <f>IF(AE209="","",IF(AE209="ADMIN_DISPOSITION",AJ209,IF(OR(AE209="ADMIN_INCOMPLETE",AE209="ADMIN_INVALID",AE209="BURDEN_NOT_FEASIBLE",AE209="UNRECOGNISED_VALUE",AE209="UNRECOGNISED_ADMIN_DISPOSITION"),"Protocol refusal to evaluate",IF(AA209&gt;0,"Stage-A non-admissible - unpatchable for stated claim",IF(AB209&gt;0,"Stage-A non-admissible - patchable",IF(OR(J209="Yes",I209="Indeterminate",AC209&gt;0),"Indeterminate - insufficient evidence",IF(AND(AH209=6,AD209=0),"Stage-A admissible - scoped",IF(AND(AH209+AD209=6,AD209&gt;0),"Stage-A admissible - scoped, control-dependent","Protocol refusal to evaluate"))))))))</f>
        <v/>
      </c>
      <c r="S209">
        <f>IF(AND(Q209="",R209=""),"",IF(AND(Q209&lt;&gt;"",R209=""),"UNRECORDED",IF(AND(Q209="",R209&lt;&gt;""),"ORPHAN_RECORDED",IF(Q209=R209,"MATCH","MISMATCH"))))</f>
        <v/>
      </c>
      <c r="AA209">
        <f>COUNTIF(K209:P209,"Material defect - unpatchable for stated claim")</f>
        <v/>
      </c>
      <c r="AB209">
        <f>COUNTIF(K209:P209,"Material defect - patchable")</f>
        <v/>
      </c>
      <c r="AC209">
        <f>COUNTIF(K209:P209,"Indeterminate")+COUNTIF(K209:P209,"Not reviewed")</f>
        <v/>
      </c>
      <c r="AD209">
        <f>COUNTIF(K209:P209,"Adequate - control-dependent")</f>
        <v/>
      </c>
      <c r="AE209">
        <f>IF(COUNTA(A209:P209)+COUNTA(AJ209)=0,"",IF(AM209&lt;&gt;"OK","UNRECOGNISED_ADMIN_DISPOSITION",IF(AND(AJ209&lt;&gt;"",AJ209&lt;&gt;"None"),IF(OR(LEN(TRIM(A209))=0,LEN(TRIM(B209))=0,LEN(TRIM(C209))=0,LEN(TRIM(F209))=0),"ADMIN_INCOMPLETE","ADMIN_DISPOSITION"),IF(OR(LEN(TRIM(A209))=0,LEN(TRIM(B209))=0,LEN(TRIM(C209))=0,LEN(TRIM(D209))=0,LEN(TRIM(E209))=0,LEN(TRIM(F209))=0,LEN(TRIM(G209))=0,LEN(TRIM(H209))=0,LEN(TRIM(I209))=0,LEN(TRIM(J209))=0,LEN(TRIM(K209))=0,LEN(TRIM(L209))=0,LEN(TRIM(M209))=0,LEN(TRIM(N209))=0,LEN(TRIM(O209))=0,LEN(TRIM(P209))=0),"ADMIN_INCOMPLETE",IF(H209&lt;&gt;"Yes","ADMIN_INVALID",IF(I209="Not feasible","BURDEN_NOT_FEASIBLE",IF(AI209&lt;&gt;"OK","UNRECOGNISED_VALUE","CLEAR")))))))</f>
        <v/>
      </c>
      <c r="AF209">
        <f>IF(AND(Q209="",R209=""),"",IF(IF(Q209&lt;&gt;"",Q209,R209)="Stage-A admissible - scoped","stage_a_admissible_scoped",IF(IF(Q209&lt;&gt;"",Q209,R209)="Stage-A admissible - scoped, control-dependent","stage_a_admissible_scoped_control_dependent",IF(IF(Q209&lt;&gt;"",Q209,R209)="Stage-A non-admissible - patchable","stage_a_non_admissible_patchable",IF(IF(Q209&lt;&gt;"",Q209,R209)="Stage-A non-admissible - unpatchable for stated claim","stage_a_non_admissible_unpatchable_for_stated_claim",IF(IF(Q209&lt;&gt;"",Q209,R209)="Indeterminate - insufficient evidence","indeterminate_insufficient_evidence",IF(IF(Q209&lt;&gt;"",Q209,R209)="Protocol refusal to evaluate","protocol_refusal_to_evaluate",IF(IF(Q209&lt;&gt;"",Q209,R209)="Out of scope","out_of_scope",IF(IF(Q209&lt;&gt;"",Q209,R209)="Withdrawn","withdrawn",IF(IF(Q209&lt;&gt;"",Q209,R209)="Not reviewed","not_reviewed","unknown_status"))))))))))</f>
        <v/>
      </c>
      <c r="AG209">
        <f>IF(AND(AF209="",T209=""),"",IF(AND(AF209&lt;&gt;"",ISNUMBER(SEARCH("token="&amp;AF209&amp;";",T209)),ISNUMBER(SEARCH(AK209,T209)),ISNUMBER(SEARCH("CL basis="&amp;AL209&amp;";",T209))),"VALID","INVALID_OR_INCOMPLETE"))</f>
        <v/>
      </c>
      <c r="AH209">
        <f>COUNTIF(K209:P209,"Adequate for scope")</f>
        <v/>
      </c>
      <c r="AI209">
        <f>IF(COUNTA(K209:P209)=0,"",IF(AA209+AB209+AC209+AD209+AH209=6,"OK","UNRECOGNISED_VALUE"))</f>
        <v/>
      </c>
      <c r="AJ209" s="303" t="n"/>
      <c r="AK209" s="303">
        <f>IF(A209="","",Vocabulary!$B$5)</f>
        <v/>
      </c>
      <c r="AL209" s="303">
        <f>IF(A209="","",Vocabulary!$B$6)</f>
        <v/>
      </c>
      <c r="AM209" s="303">
        <f>IF(AJ209="","OK",IF(COUNTIF(Vocabulary!$O$5:$O$8,AJ209)=1,"OK","UNRECOGNISED_ADMIN_DISPOSITION"))</f>
        <v/>
      </c>
    </row>
    <row r="210">
      <c r="Q210">
        <f>IF(AE210="","",IF(AE210="ADMIN_DISPOSITION",AJ210,IF(OR(AE210="ADMIN_INCOMPLETE",AE210="ADMIN_INVALID",AE210="BURDEN_NOT_FEASIBLE",AE210="UNRECOGNISED_VALUE",AE210="UNRECOGNISED_ADMIN_DISPOSITION"),"Protocol refusal to evaluate",IF(AA210&gt;0,"Stage-A non-admissible - unpatchable for stated claim",IF(AB210&gt;0,"Stage-A non-admissible - patchable",IF(OR(J210="Yes",I210="Indeterminate",AC210&gt;0),"Indeterminate - insufficient evidence",IF(AND(AH210=6,AD210=0),"Stage-A admissible - scoped",IF(AND(AH210+AD210=6,AD210&gt;0),"Stage-A admissible - scoped, control-dependent","Protocol refusal to evaluate"))))))))</f>
        <v/>
      </c>
      <c r="S210">
        <f>IF(AND(Q210="",R210=""),"",IF(AND(Q210&lt;&gt;"",R210=""),"UNRECORDED",IF(AND(Q210="",R210&lt;&gt;""),"ORPHAN_RECORDED",IF(Q210=R210,"MATCH","MISMATCH"))))</f>
        <v/>
      </c>
      <c r="AA210">
        <f>COUNTIF(K210:P210,"Material defect - unpatchable for stated claim")</f>
        <v/>
      </c>
      <c r="AB210">
        <f>COUNTIF(K210:P210,"Material defect - patchable")</f>
        <v/>
      </c>
      <c r="AC210">
        <f>COUNTIF(K210:P210,"Indeterminate")+COUNTIF(K210:P210,"Not reviewed")</f>
        <v/>
      </c>
      <c r="AD210">
        <f>COUNTIF(K210:P210,"Adequate - control-dependent")</f>
        <v/>
      </c>
      <c r="AE210">
        <f>IF(COUNTA(A210:P210)+COUNTA(AJ210)=0,"",IF(AM210&lt;&gt;"OK","UNRECOGNISED_ADMIN_DISPOSITION",IF(AND(AJ210&lt;&gt;"",AJ210&lt;&gt;"None"),IF(OR(LEN(TRIM(A210))=0,LEN(TRIM(B210))=0,LEN(TRIM(C210))=0,LEN(TRIM(F210))=0),"ADMIN_INCOMPLETE","ADMIN_DISPOSITION"),IF(OR(LEN(TRIM(A210))=0,LEN(TRIM(B210))=0,LEN(TRIM(C210))=0,LEN(TRIM(D210))=0,LEN(TRIM(E210))=0,LEN(TRIM(F210))=0,LEN(TRIM(G210))=0,LEN(TRIM(H210))=0,LEN(TRIM(I210))=0,LEN(TRIM(J210))=0,LEN(TRIM(K210))=0,LEN(TRIM(L210))=0,LEN(TRIM(M210))=0,LEN(TRIM(N210))=0,LEN(TRIM(O210))=0,LEN(TRIM(P210))=0),"ADMIN_INCOMPLETE",IF(H210&lt;&gt;"Yes","ADMIN_INVALID",IF(I210="Not feasible","BURDEN_NOT_FEASIBLE",IF(AI210&lt;&gt;"OK","UNRECOGNISED_VALUE","CLEAR")))))))</f>
        <v/>
      </c>
      <c r="AF210">
        <f>IF(AND(Q210="",R210=""),"",IF(IF(Q210&lt;&gt;"",Q210,R210)="Stage-A admissible - scoped","stage_a_admissible_scoped",IF(IF(Q210&lt;&gt;"",Q210,R210)="Stage-A admissible - scoped, control-dependent","stage_a_admissible_scoped_control_dependent",IF(IF(Q210&lt;&gt;"",Q210,R210)="Stage-A non-admissible - patchable","stage_a_non_admissible_patchable",IF(IF(Q210&lt;&gt;"",Q210,R210)="Stage-A non-admissible - unpatchable for stated claim","stage_a_non_admissible_unpatchable_for_stated_claim",IF(IF(Q210&lt;&gt;"",Q210,R210)="Indeterminate - insufficient evidence","indeterminate_insufficient_evidence",IF(IF(Q210&lt;&gt;"",Q210,R210)="Protocol refusal to evaluate","protocol_refusal_to_evaluate",IF(IF(Q210&lt;&gt;"",Q210,R210)="Out of scope","out_of_scope",IF(IF(Q210&lt;&gt;"",Q210,R210)="Withdrawn","withdrawn",IF(IF(Q210&lt;&gt;"",Q210,R210)="Not reviewed","not_reviewed","unknown_status"))))))))))</f>
        <v/>
      </c>
      <c r="AG210">
        <f>IF(AND(AF210="",T210=""),"",IF(AND(AF210&lt;&gt;"",ISNUMBER(SEARCH("token="&amp;AF210&amp;";",T210)),ISNUMBER(SEARCH(AK210,T210)),ISNUMBER(SEARCH("CL basis="&amp;AL210&amp;";",T210))),"VALID","INVALID_OR_INCOMPLETE"))</f>
        <v/>
      </c>
      <c r="AH210">
        <f>COUNTIF(K210:P210,"Adequate for scope")</f>
        <v/>
      </c>
      <c r="AI210">
        <f>IF(COUNTA(K210:P210)=0,"",IF(AA210+AB210+AC210+AD210+AH210=6,"OK","UNRECOGNISED_VALUE"))</f>
        <v/>
      </c>
      <c r="AJ210" s="303" t="n"/>
      <c r="AK210" s="303">
        <f>IF(A210="","",Vocabulary!$B$5)</f>
        <v/>
      </c>
      <c r="AL210" s="303">
        <f>IF(A210="","",Vocabulary!$B$6)</f>
        <v/>
      </c>
      <c r="AM210" s="303">
        <f>IF(AJ210="","OK",IF(COUNTIF(Vocabulary!$O$5:$O$8,AJ210)=1,"OK","UNRECOGNISED_ADMIN_DISPOSITION"))</f>
        <v/>
      </c>
    </row>
    <row r="211">
      <c r="Q211">
        <f>IF(AE211="","",IF(AE211="ADMIN_DISPOSITION",AJ211,IF(OR(AE211="ADMIN_INCOMPLETE",AE211="ADMIN_INVALID",AE211="BURDEN_NOT_FEASIBLE",AE211="UNRECOGNISED_VALUE",AE211="UNRECOGNISED_ADMIN_DISPOSITION"),"Protocol refusal to evaluate",IF(AA211&gt;0,"Stage-A non-admissible - unpatchable for stated claim",IF(AB211&gt;0,"Stage-A non-admissible - patchable",IF(OR(J211="Yes",I211="Indeterminate",AC211&gt;0),"Indeterminate - insufficient evidence",IF(AND(AH211=6,AD211=0),"Stage-A admissible - scoped",IF(AND(AH211+AD211=6,AD211&gt;0),"Stage-A admissible - scoped, control-dependent","Protocol refusal to evaluate"))))))))</f>
        <v/>
      </c>
      <c r="S211">
        <f>IF(AND(Q211="",R211=""),"",IF(AND(Q211&lt;&gt;"",R211=""),"UNRECORDED",IF(AND(Q211="",R211&lt;&gt;""),"ORPHAN_RECORDED",IF(Q211=R211,"MATCH","MISMATCH"))))</f>
        <v/>
      </c>
      <c r="AA211">
        <f>COUNTIF(K211:P211,"Material defect - unpatchable for stated claim")</f>
        <v/>
      </c>
      <c r="AB211">
        <f>COUNTIF(K211:P211,"Material defect - patchable")</f>
        <v/>
      </c>
      <c r="AC211">
        <f>COUNTIF(K211:P211,"Indeterminate")+COUNTIF(K211:P211,"Not reviewed")</f>
        <v/>
      </c>
      <c r="AD211">
        <f>COUNTIF(K211:P211,"Adequate - control-dependent")</f>
        <v/>
      </c>
      <c r="AE211">
        <f>IF(COUNTA(A211:P211)+COUNTA(AJ211)=0,"",IF(AM211&lt;&gt;"OK","UNRECOGNISED_ADMIN_DISPOSITION",IF(AND(AJ211&lt;&gt;"",AJ211&lt;&gt;"None"),IF(OR(LEN(TRIM(A211))=0,LEN(TRIM(B211))=0,LEN(TRIM(C211))=0,LEN(TRIM(F211))=0),"ADMIN_INCOMPLETE","ADMIN_DISPOSITION"),IF(OR(LEN(TRIM(A211))=0,LEN(TRIM(B211))=0,LEN(TRIM(C211))=0,LEN(TRIM(D211))=0,LEN(TRIM(E211))=0,LEN(TRIM(F211))=0,LEN(TRIM(G211))=0,LEN(TRIM(H211))=0,LEN(TRIM(I211))=0,LEN(TRIM(J211))=0,LEN(TRIM(K211))=0,LEN(TRIM(L211))=0,LEN(TRIM(M211))=0,LEN(TRIM(N211))=0,LEN(TRIM(O211))=0,LEN(TRIM(P211))=0),"ADMIN_INCOMPLETE",IF(H211&lt;&gt;"Yes","ADMIN_INVALID",IF(I211="Not feasible","BURDEN_NOT_FEASIBLE",IF(AI211&lt;&gt;"OK","UNRECOGNISED_VALUE","CLEAR")))))))</f>
        <v/>
      </c>
      <c r="AF211">
        <f>IF(AND(Q211="",R211=""),"",IF(IF(Q211&lt;&gt;"",Q211,R211)="Stage-A admissible - scoped","stage_a_admissible_scoped",IF(IF(Q211&lt;&gt;"",Q211,R211)="Stage-A admissible - scoped, control-dependent","stage_a_admissible_scoped_control_dependent",IF(IF(Q211&lt;&gt;"",Q211,R211)="Stage-A non-admissible - patchable","stage_a_non_admissible_patchable",IF(IF(Q211&lt;&gt;"",Q211,R211)="Stage-A non-admissible - unpatchable for stated claim","stage_a_non_admissible_unpatchable_for_stated_claim",IF(IF(Q211&lt;&gt;"",Q211,R211)="Indeterminate - insufficient evidence","indeterminate_insufficient_evidence",IF(IF(Q211&lt;&gt;"",Q211,R211)="Protocol refusal to evaluate","protocol_refusal_to_evaluate",IF(IF(Q211&lt;&gt;"",Q211,R211)="Out of scope","out_of_scope",IF(IF(Q211&lt;&gt;"",Q211,R211)="Withdrawn","withdrawn",IF(IF(Q211&lt;&gt;"",Q211,R211)="Not reviewed","not_reviewed","unknown_status"))))))))))</f>
        <v/>
      </c>
      <c r="AG211">
        <f>IF(AND(AF211="",T211=""),"",IF(AND(AF211&lt;&gt;"",ISNUMBER(SEARCH("token="&amp;AF211&amp;";",T211)),ISNUMBER(SEARCH(AK211,T211)),ISNUMBER(SEARCH("CL basis="&amp;AL211&amp;";",T211))),"VALID","INVALID_OR_INCOMPLETE"))</f>
        <v/>
      </c>
      <c r="AH211">
        <f>COUNTIF(K211:P211,"Adequate for scope")</f>
        <v/>
      </c>
      <c r="AI211">
        <f>IF(COUNTA(K211:P211)=0,"",IF(AA211+AB211+AC211+AD211+AH211=6,"OK","UNRECOGNISED_VALUE"))</f>
        <v/>
      </c>
      <c r="AJ211" s="303" t="n"/>
      <c r="AK211" s="303">
        <f>IF(A211="","",Vocabulary!$B$5)</f>
        <v/>
      </c>
      <c r="AL211" s="303">
        <f>IF(A211="","",Vocabulary!$B$6)</f>
        <v/>
      </c>
      <c r="AM211" s="303">
        <f>IF(AJ211="","OK",IF(COUNTIF(Vocabulary!$O$5:$O$8,AJ211)=1,"OK","UNRECOGNISED_ADMIN_DISPOSITION"))</f>
        <v/>
      </c>
    </row>
    <row r="212">
      <c r="Q212">
        <f>IF(AE212="","",IF(AE212="ADMIN_DISPOSITION",AJ212,IF(OR(AE212="ADMIN_INCOMPLETE",AE212="ADMIN_INVALID",AE212="BURDEN_NOT_FEASIBLE",AE212="UNRECOGNISED_VALUE",AE212="UNRECOGNISED_ADMIN_DISPOSITION"),"Protocol refusal to evaluate",IF(AA212&gt;0,"Stage-A non-admissible - unpatchable for stated claim",IF(AB212&gt;0,"Stage-A non-admissible - patchable",IF(OR(J212="Yes",I212="Indeterminate",AC212&gt;0),"Indeterminate - insufficient evidence",IF(AND(AH212=6,AD212=0),"Stage-A admissible - scoped",IF(AND(AH212+AD212=6,AD212&gt;0),"Stage-A admissible - scoped, control-dependent","Protocol refusal to evaluate"))))))))</f>
        <v/>
      </c>
      <c r="S212">
        <f>IF(AND(Q212="",R212=""),"",IF(AND(Q212&lt;&gt;"",R212=""),"UNRECORDED",IF(AND(Q212="",R212&lt;&gt;""),"ORPHAN_RECORDED",IF(Q212=R212,"MATCH","MISMATCH"))))</f>
        <v/>
      </c>
      <c r="AA212">
        <f>COUNTIF(K212:P212,"Material defect - unpatchable for stated claim")</f>
        <v/>
      </c>
      <c r="AB212">
        <f>COUNTIF(K212:P212,"Material defect - patchable")</f>
        <v/>
      </c>
      <c r="AC212">
        <f>COUNTIF(K212:P212,"Indeterminate")+COUNTIF(K212:P212,"Not reviewed")</f>
        <v/>
      </c>
      <c r="AD212">
        <f>COUNTIF(K212:P212,"Adequate - control-dependent")</f>
        <v/>
      </c>
      <c r="AE212">
        <f>IF(COUNTA(A212:P212)+COUNTA(AJ212)=0,"",IF(AM212&lt;&gt;"OK","UNRECOGNISED_ADMIN_DISPOSITION",IF(AND(AJ212&lt;&gt;"",AJ212&lt;&gt;"None"),IF(OR(LEN(TRIM(A212))=0,LEN(TRIM(B212))=0,LEN(TRIM(C212))=0,LEN(TRIM(F212))=0),"ADMIN_INCOMPLETE","ADMIN_DISPOSITION"),IF(OR(LEN(TRIM(A212))=0,LEN(TRIM(B212))=0,LEN(TRIM(C212))=0,LEN(TRIM(D212))=0,LEN(TRIM(E212))=0,LEN(TRIM(F212))=0,LEN(TRIM(G212))=0,LEN(TRIM(H212))=0,LEN(TRIM(I212))=0,LEN(TRIM(J212))=0,LEN(TRIM(K212))=0,LEN(TRIM(L212))=0,LEN(TRIM(M212))=0,LEN(TRIM(N212))=0,LEN(TRIM(O212))=0,LEN(TRIM(P212))=0),"ADMIN_INCOMPLETE",IF(H212&lt;&gt;"Yes","ADMIN_INVALID",IF(I212="Not feasible","BURDEN_NOT_FEASIBLE",IF(AI212&lt;&gt;"OK","UNRECOGNISED_VALUE","CLEAR")))))))</f>
        <v/>
      </c>
      <c r="AF212">
        <f>IF(AND(Q212="",R212=""),"",IF(IF(Q212&lt;&gt;"",Q212,R212)="Stage-A admissible - scoped","stage_a_admissible_scoped",IF(IF(Q212&lt;&gt;"",Q212,R212)="Stage-A admissible - scoped, control-dependent","stage_a_admissible_scoped_control_dependent",IF(IF(Q212&lt;&gt;"",Q212,R212)="Stage-A non-admissible - patchable","stage_a_non_admissible_patchable",IF(IF(Q212&lt;&gt;"",Q212,R212)="Stage-A non-admissible - unpatchable for stated claim","stage_a_non_admissible_unpatchable_for_stated_claim",IF(IF(Q212&lt;&gt;"",Q212,R212)="Indeterminate - insufficient evidence","indeterminate_insufficient_evidence",IF(IF(Q212&lt;&gt;"",Q212,R212)="Protocol refusal to evaluate","protocol_refusal_to_evaluate",IF(IF(Q212&lt;&gt;"",Q212,R212)="Out of scope","out_of_scope",IF(IF(Q212&lt;&gt;"",Q212,R212)="Withdrawn","withdrawn",IF(IF(Q212&lt;&gt;"",Q212,R212)="Not reviewed","not_reviewed","unknown_status"))))))))))</f>
        <v/>
      </c>
      <c r="AG212">
        <f>IF(AND(AF212="",T212=""),"",IF(AND(AF212&lt;&gt;"",ISNUMBER(SEARCH("token="&amp;AF212&amp;";",T212)),ISNUMBER(SEARCH(AK212,T212)),ISNUMBER(SEARCH("CL basis="&amp;AL212&amp;";",T212))),"VALID","INVALID_OR_INCOMPLETE"))</f>
        <v/>
      </c>
      <c r="AH212">
        <f>COUNTIF(K212:P212,"Adequate for scope")</f>
        <v/>
      </c>
      <c r="AI212">
        <f>IF(COUNTA(K212:P212)=0,"",IF(AA212+AB212+AC212+AD212+AH212=6,"OK","UNRECOGNISED_VALUE"))</f>
        <v/>
      </c>
      <c r="AJ212" s="303" t="n"/>
      <c r="AK212" s="303">
        <f>IF(A212="","",Vocabulary!$B$5)</f>
        <v/>
      </c>
      <c r="AL212" s="303">
        <f>IF(A212="","",Vocabulary!$B$6)</f>
        <v/>
      </c>
      <c r="AM212" s="303">
        <f>IF(AJ212="","OK",IF(COUNTIF(Vocabulary!$O$5:$O$8,AJ212)=1,"OK","UNRECOGNISED_ADMIN_DISPOSITION"))</f>
        <v/>
      </c>
    </row>
    <row r="213">
      <c r="Q213">
        <f>IF(AE213="","",IF(AE213="ADMIN_DISPOSITION",AJ213,IF(OR(AE213="ADMIN_INCOMPLETE",AE213="ADMIN_INVALID",AE213="BURDEN_NOT_FEASIBLE",AE213="UNRECOGNISED_VALUE",AE213="UNRECOGNISED_ADMIN_DISPOSITION"),"Protocol refusal to evaluate",IF(AA213&gt;0,"Stage-A non-admissible - unpatchable for stated claim",IF(AB213&gt;0,"Stage-A non-admissible - patchable",IF(OR(J213="Yes",I213="Indeterminate",AC213&gt;0),"Indeterminate - insufficient evidence",IF(AND(AH213=6,AD213=0),"Stage-A admissible - scoped",IF(AND(AH213+AD213=6,AD213&gt;0),"Stage-A admissible - scoped, control-dependent","Protocol refusal to evaluate"))))))))</f>
        <v/>
      </c>
      <c r="S213">
        <f>IF(AND(Q213="",R213=""),"",IF(AND(Q213&lt;&gt;"",R213=""),"UNRECORDED",IF(AND(Q213="",R213&lt;&gt;""),"ORPHAN_RECORDED",IF(Q213=R213,"MATCH","MISMATCH"))))</f>
        <v/>
      </c>
      <c r="AA213">
        <f>COUNTIF(K213:P213,"Material defect - unpatchable for stated claim")</f>
        <v/>
      </c>
      <c r="AB213">
        <f>COUNTIF(K213:P213,"Material defect - patchable")</f>
        <v/>
      </c>
      <c r="AC213">
        <f>COUNTIF(K213:P213,"Indeterminate")+COUNTIF(K213:P213,"Not reviewed")</f>
        <v/>
      </c>
      <c r="AD213">
        <f>COUNTIF(K213:P213,"Adequate - control-dependent")</f>
        <v/>
      </c>
      <c r="AE213">
        <f>IF(COUNTA(A213:P213)+COUNTA(AJ213)=0,"",IF(AM213&lt;&gt;"OK","UNRECOGNISED_ADMIN_DISPOSITION",IF(AND(AJ213&lt;&gt;"",AJ213&lt;&gt;"None"),IF(OR(LEN(TRIM(A213))=0,LEN(TRIM(B213))=0,LEN(TRIM(C213))=0,LEN(TRIM(F213))=0),"ADMIN_INCOMPLETE","ADMIN_DISPOSITION"),IF(OR(LEN(TRIM(A213))=0,LEN(TRIM(B213))=0,LEN(TRIM(C213))=0,LEN(TRIM(D213))=0,LEN(TRIM(E213))=0,LEN(TRIM(F213))=0,LEN(TRIM(G213))=0,LEN(TRIM(H213))=0,LEN(TRIM(I213))=0,LEN(TRIM(J213))=0,LEN(TRIM(K213))=0,LEN(TRIM(L213))=0,LEN(TRIM(M213))=0,LEN(TRIM(N213))=0,LEN(TRIM(O213))=0,LEN(TRIM(P213))=0),"ADMIN_INCOMPLETE",IF(H213&lt;&gt;"Yes","ADMIN_INVALID",IF(I213="Not feasible","BURDEN_NOT_FEASIBLE",IF(AI213&lt;&gt;"OK","UNRECOGNISED_VALUE","CLEAR")))))))</f>
        <v/>
      </c>
      <c r="AF213">
        <f>IF(AND(Q213="",R213=""),"",IF(IF(Q213&lt;&gt;"",Q213,R213)="Stage-A admissible - scoped","stage_a_admissible_scoped",IF(IF(Q213&lt;&gt;"",Q213,R213)="Stage-A admissible - scoped, control-dependent","stage_a_admissible_scoped_control_dependent",IF(IF(Q213&lt;&gt;"",Q213,R213)="Stage-A non-admissible - patchable","stage_a_non_admissible_patchable",IF(IF(Q213&lt;&gt;"",Q213,R213)="Stage-A non-admissible - unpatchable for stated claim","stage_a_non_admissible_unpatchable_for_stated_claim",IF(IF(Q213&lt;&gt;"",Q213,R213)="Indeterminate - insufficient evidence","indeterminate_insufficient_evidence",IF(IF(Q213&lt;&gt;"",Q213,R213)="Protocol refusal to evaluate","protocol_refusal_to_evaluate",IF(IF(Q213&lt;&gt;"",Q213,R213)="Out of scope","out_of_scope",IF(IF(Q213&lt;&gt;"",Q213,R213)="Withdrawn","withdrawn",IF(IF(Q213&lt;&gt;"",Q213,R213)="Not reviewed","not_reviewed","unknown_status"))))))))))</f>
        <v/>
      </c>
      <c r="AG213">
        <f>IF(AND(AF213="",T213=""),"",IF(AND(AF213&lt;&gt;"",ISNUMBER(SEARCH("token="&amp;AF213&amp;";",T213)),ISNUMBER(SEARCH(AK213,T213)),ISNUMBER(SEARCH("CL basis="&amp;AL213&amp;";",T213))),"VALID","INVALID_OR_INCOMPLETE"))</f>
        <v/>
      </c>
      <c r="AH213">
        <f>COUNTIF(K213:P213,"Adequate for scope")</f>
        <v/>
      </c>
      <c r="AI213">
        <f>IF(COUNTA(K213:P213)=0,"",IF(AA213+AB213+AC213+AD213+AH213=6,"OK","UNRECOGNISED_VALUE"))</f>
        <v/>
      </c>
      <c r="AJ213" s="303" t="n"/>
      <c r="AK213" s="303">
        <f>IF(A213="","",Vocabulary!$B$5)</f>
        <v/>
      </c>
      <c r="AL213" s="303">
        <f>IF(A213="","",Vocabulary!$B$6)</f>
        <v/>
      </c>
      <c r="AM213" s="303">
        <f>IF(AJ213="","OK",IF(COUNTIF(Vocabulary!$O$5:$O$8,AJ213)=1,"OK","UNRECOGNISED_ADMIN_DISPOSITION"))</f>
        <v/>
      </c>
    </row>
    <row r="214">
      <c r="Q214">
        <f>IF(AE214="","",IF(AE214="ADMIN_DISPOSITION",AJ214,IF(OR(AE214="ADMIN_INCOMPLETE",AE214="ADMIN_INVALID",AE214="BURDEN_NOT_FEASIBLE",AE214="UNRECOGNISED_VALUE",AE214="UNRECOGNISED_ADMIN_DISPOSITION"),"Protocol refusal to evaluate",IF(AA214&gt;0,"Stage-A non-admissible - unpatchable for stated claim",IF(AB214&gt;0,"Stage-A non-admissible - patchable",IF(OR(J214="Yes",I214="Indeterminate",AC214&gt;0),"Indeterminate - insufficient evidence",IF(AND(AH214=6,AD214=0),"Stage-A admissible - scoped",IF(AND(AH214+AD214=6,AD214&gt;0),"Stage-A admissible - scoped, control-dependent","Protocol refusal to evaluate"))))))))</f>
        <v/>
      </c>
      <c r="S214">
        <f>IF(AND(Q214="",R214=""),"",IF(AND(Q214&lt;&gt;"",R214=""),"UNRECORDED",IF(AND(Q214="",R214&lt;&gt;""),"ORPHAN_RECORDED",IF(Q214=R214,"MATCH","MISMATCH"))))</f>
        <v/>
      </c>
      <c r="AA214">
        <f>COUNTIF(K214:P214,"Material defect - unpatchable for stated claim")</f>
        <v/>
      </c>
      <c r="AB214">
        <f>COUNTIF(K214:P214,"Material defect - patchable")</f>
        <v/>
      </c>
      <c r="AC214">
        <f>COUNTIF(K214:P214,"Indeterminate")+COUNTIF(K214:P214,"Not reviewed")</f>
        <v/>
      </c>
      <c r="AD214">
        <f>COUNTIF(K214:P214,"Adequate - control-dependent")</f>
        <v/>
      </c>
      <c r="AE214">
        <f>IF(COUNTA(A214:P214)+COUNTA(AJ214)=0,"",IF(AM214&lt;&gt;"OK","UNRECOGNISED_ADMIN_DISPOSITION",IF(AND(AJ214&lt;&gt;"",AJ214&lt;&gt;"None"),IF(OR(LEN(TRIM(A214))=0,LEN(TRIM(B214))=0,LEN(TRIM(C214))=0,LEN(TRIM(F214))=0),"ADMIN_INCOMPLETE","ADMIN_DISPOSITION"),IF(OR(LEN(TRIM(A214))=0,LEN(TRIM(B214))=0,LEN(TRIM(C214))=0,LEN(TRIM(D214))=0,LEN(TRIM(E214))=0,LEN(TRIM(F214))=0,LEN(TRIM(G214))=0,LEN(TRIM(H214))=0,LEN(TRIM(I214))=0,LEN(TRIM(J214))=0,LEN(TRIM(K214))=0,LEN(TRIM(L214))=0,LEN(TRIM(M214))=0,LEN(TRIM(N214))=0,LEN(TRIM(O214))=0,LEN(TRIM(P214))=0),"ADMIN_INCOMPLETE",IF(H214&lt;&gt;"Yes","ADMIN_INVALID",IF(I214="Not feasible","BURDEN_NOT_FEASIBLE",IF(AI214&lt;&gt;"OK","UNRECOGNISED_VALUE","CLEAR")))))))</f>
        <v/>
      </c>
      <c r="AF214">
        <f>IF(AND(Q214="",R214=""),"",IF(IF(Q214&lt;&gt;"",Q214,R214)="Stage-A admissible - scoped","stage_a_admissible_scoped",IF(IF(Q214&lt;&gt;"",Q214,R214)="Stage-A admissible - scoped, control-dependent","stage_a_admissible_scoped_control_dependent",IF(IF(Q214&lt;&gt;"",Q214,R214)="Stage-A non-admissible - patchable","stage_a_non_admissible_patchable",IF(IF(Q214&lt;&gt;"",Q214,R214)="Stage-A non-admissible - unpatchable for stated claim","stage_a_non_admissible_unpatchable_for_stated_claim",IF(IF(Q214&lt;&gt;"",Q214,R214)="Indeterminate - insufficient evidence","indeterminate_insufficient_evidence",IF(IF(Q214&lt;&gt;"",Q214,R214)="Protocol refusal to evaluate","protocol_refusal_to_evaluate",IF(IF(Q214&lt;&gt;"",Q214,R214)="Out of scope","out_of_scope",IF(IF(Q214&lt;&gt;"",Q214,R214)="Withdrawn","withdrawn",IF(IF(Q214&lt;&gt;"",Q214,R214)="Not reviewed","not_reviewed","unknown_status"))))))))))</f>
        <v/>
      </c>
      <c r="AG214">
        <f>IF(AND(AF214="",T214=""),"",IF(AND(AF214&lt;&gt;"",ISNUMBER(SEARCH("token="&amp;AF214&amp;";",T214)),ISNUMBER(SEARCH(AK214,T214)),ISNUMBER(SEARCH("CL basis="&amp;AL214&amp;";",T214))),"VALID","INVALID_OR_INCOMPLETE"))</f>
        <v/>
      </c>
      <c r="AH214">
        <f>COUNTIF(K214:P214,"Adequate for scope")</f>
        <v/>
      </c>
      <c r="AI214">
        <f>IF(COUNTA(K214:P214)=0,"",IF(AA214+AB214+AC214+AD214+AH214=6,"OK","UNRECOGNISED_VALUE"))</f>
        <v/>
      </c>
      <c r="AJ214" s="303" t="n"/>
      <c r="AK214" s="303">
        <f>IF(A214="","",Vocabulary!$B$5)</f>
        <v/>
      </c>
      <c r="AL214" s="303">
        <f>IF(A214="","",Vocabulary!$B$6)</f>
        <v/>
      </c>
      <c r="AM214" s="303">
        <f>IF(AJ214="","OK",IF(COUNTIF(Vocabulary!$O$5:$O$8,AJ214)=1,"OK","UNRECOGNISED_ADMIN_DISPOSITION"))</f>
        <v/>
      </c>
    </row>
    <row r="215">
      <c r="Q215">
        <f>IF(AE215="","",IF(AE215="ADMIN_DISPOSITION",AJ215,IF(OR(AE215="ADMIN_INCOMPLETE",AE215="ADMIN_INVALID",AE215="BURDEN_NOT_FEASIBLE",AE215="UNRECOGNISED_VALUE",AE215="UNRECOGNISED_ADMIN_DISPOSITION"),"Protocol refusal to evaluate",IF(AA215&gt;0,"Stage-A non-admissible - unpatchable for stated claim",IF(AB215&gt;0,"Stage-A non-admissible - patchable",IF(OR(J215="Yes",I215="Indeterminate",AC215&gt;0),"Indeterminate - insufficient evidence",IF(AND(AH215=6,AD215=0),"Stage-A admissible - scoped",IF(AND(AH215+AD215=6,AD215&gt;0),"Stage-A admissible - scoped, control-dependent","Protocol refusal to evaluate"))))))))</f>
        <v/>
      </c>
      <c r="S215">
        <f>IF(AND(Q215="",R215=""),"",IF(AND(Q215&lt;&gt;"",R215=""),"UNRECORDED",IF(AND(Q215="",R215&lt;&gt;""),"ORPHAN_RECORDED",IF(Q215=R215,"MATCH","MISMATCH"))))</f>
        <v/>
      </c>
      <c r="AA215">
        <f>COUNTIF(K215:P215,"Material defect - unpatchable for stated claim")</f>
        <v/>
      </c>
      <c r="AB215">
        <f>COUNTIF(K215:P215,"Material defect - patchable")</f>
        <v/>
      </c>
      <c r="AC215">
        <f>COUNTIF(K215:P215,"Indeterminate")+COUNTIF(K215:P215,"Not reviewed")</f>
        <v/>
      </c>
      <c r="AD215">
        <f>COUNTIF(K215:P215,"Adequate - control-dependent")</f>
        <v/>
      </c>
      <c r="AE215">
        <f>IF(COUNTA(A215:P215)+COUNTA(AJ215)=0,"",IF(AM215&lt;&gt;"OK","UNRECOGNISED_ADMIN_DISPOSITION",IF(AND(AJ215&lt;&gt;"",AJ215&lt;&gt;"None"),IF(OR(LEN(TRIM(A215))=0,LEN(TRIM(B215))=0,LEN(TRIM(C215))=0,LEN(TRIM(F215))=0),"ADMIN_INCOMPLETE","ADMIN_DISPOSITION"),IF(OR(LEN(TRIM(A215))=0,LEN(TRIM(B215))=0,LEN(TRIM(C215))=0,LEN(TRIM(D215))=0,LEN(TRIM(E215))=0,LEN(TRIM(F215))=0,LEN(TRIM(G215))=0,LEN(TRIM(H215))=0,LEN(TRIM(I215))=0,LEN(TRIM(J215))=0,LEN(TRIM(K215))=0,LEN(TRIM(L215))=0,LEN(TRIM(M215))=0,LEN(TRIM(N215))=0,LEN(TRIM(O215))=0,LEN(TRIM(P215))=0),"ADMIN_INCOMPLETE",IF(H215&lt;&gt;"Yes","ADMIN_INVALID",IF(I215="Not feasible","BURDEN_NOT_FEASIBLE",IF(AI215&lt;&gt;"OK","UNRECOGNISED_VALUE","CLEAR")))))))</f>
        <v/>
      </c>
      <c r="AF215">
        <f>IF(AND(Q215="",R215=""),"",IF(IF(Q215&lt;&gt;"",Q215,R215)="Stage-A admissible - scoped","stage_a_admissible_scoped",IF(IF(Q215&lt;&gt;"",Q215,R215)="Stage-A admissible - scoped, control-dependent","stage_a_admissible_scoped_control_dependent",IF(IF(Q215&lt;&gt;"",Q215,R215)="Stage-A non-admissible - patchable","stage_a_non_admissible_patchable",IF(IF(Q215&lt;&gt;"",Q215,R215)="Stage-A non-admissible - unpatchable for stated claim","stage_a_non_admissible_unpatchable_for_stated_claim",IF(IF(Q215&lt;&gt;"",Q215,R215)="Indeterminate - insufficient evidence","indeterminate_insufficient_evidence",IF(IF(Q215&lt;&gt;"",Q215,R215)="Protocol refusal to evaluate","protocol_refusal_to_evaluate",IF(IF(Q215&lt;&gt;"",Q215,R215)="Out of scope","out_of_scope",IF(IF(Q215&lt;&gt;"",Q215,R215)="Withdrawn","withdrawn",IF(IF(Q215&lt;&gt;"",Q215,R215)="Not reviewed","not_reviewed","unknown_status"))))))))))</f>
        <v/>
      </c>
      <c r="AG215">
        <f>IF(AND(AF215="",T215=""),"",IF(AND(AF215&lt;&gt;"",ISNUMBER(SEARCH("token="&amp;AF215&amp;";",T215)),ISNUMBER(SEARCH(AK215,T215)),ISNUMBER(SEARCH("CL basis="&amp;AL215&amp;";",T215))),"VALID","INVALID_OR_INCOMPLETE"))</f>
        <v/>
      </c>
      <c r="AH215">
        <f>COUNTIF(K215:P215,"Adequate for scope")</f>
        <v/>
      </c>
      <c r="AI215">
        <f>IF(COUNTA(K215:P215)=0,"",IF(AA215+AB215+AC215+AD215+AH215=6,"OK","UNRECOGNISED_VALUE"))</f>
        <v/>
      </c>
      <c r="AJ215" s="303" t="n"/>
      <c r="AK215" s="303">
        <f>IF(A215="","",Vocabulary!$B$5)</f>
        <v/>
      </c>
      <c r="AL215" s="303">
        <f>IF(A215="","",Vocabulary!$B$6)</f>
        <v/>
      </c>
      <c r="AM215" s="303">
        <f>IF(AJ215="","OK",IF(COUNTIF(Vocabulary!$O$5:$O$8,AJ215)=1,"OK","UNRECOGNISED_ADMIN_DISPOSITION"))</f>
        <v/>
      </c>
    </row>
    <row r="216">
      <c r="Q216">
        <f>IF(AE216="","",IF(AE216="ADMIN_DISPOSITION",AJ216,IF(OR(AE216="ADMIN_INCOMPLETE",AE216="ADMIN_INVALID",AE216="BURDEN_NOT_FEASIBLE",AE216="UNRECOGNISED_VALUE",AE216="UNRECOGNISED_ADMIN_DISPOSITION"),"Protocol refusal to evaluate",IF(AA216&gt;0,"Stage-A non-admissible - unpatchable for stated claim",IF(AB216&gt;0,"Stage-A non-admissible - patchable",IF(OR(J216="Yes",I216="Indeterminate",AC216&gt;0),"Indeterminate - insufficient evidence",IF(AND(AH216=6,AD216=0),"Stage-A admissible - scoped",IF(AND(AH216+AD216=6,AD216&gt;0),"Stage-A admissible - scoped, control-dependent","Protocol refusal to evaluate"))))))))</f>
        <v/>
      </c>
      <c r="S216">
        <f>IF(AND(Q216="",R216=""),"",IF(AND(Q216&lt;&gt;"",R216=""),"UNRECORDED",IF(AND(Q216="",R216&lt;&gt;""),"ORPHAN_RECORDED",IF(Q216=R216,"MATCH","MISMATCH"))))</f>
        <v/>
      </c>
      <c r="AA216">
        <f>COUNTIF(K216:P216,"Material defect - unpatchable for stated claim")</f>
        <v/>
      </c>
      <c r="AB216">
        <f>COUNTIF(K216:P216,"Material defect - patchable")</f>
        <v/>
      </c>
      <c r="AC216">
        <f>COUNTIF(K216:P216,"Indeterminate")+COUNTIF(K216:P216,"Not reviewed")</f>
        <v/>
      </c>
      <c r="AD216">
        <f>COUNTIF(K216:P216,"Adequate - control-dependent")</f>
        <v/>
      </c>
      <c r="AE216">
        <f>IF(COUNTA(A216:P216)+COUNTA(AJ216)=0,"",IF(AM216&lt;&gt;"OK","UNRECOGNISED_ADMIN_DISPOSITION",IF(AND(AJ216&lt;&gt;"",AJ216&lt;&gt;"None"),IF(OR(LEN(TRIM(A216))=0,LEN(TRIM(B216))=0,LEN(TRIM(C216))=0,LEN(TRIM(F216))=0),"ADMIN_INCOMPLETE","ADMIN_DISPOSITION"),IF(OR(LEN(TRIM(A216))=0,LEN(TRIM(B216))=0,LEN(TRIM(C216))=0,LEN(TRIM(D216))=0,LEN(TRIM(E216))=0,LEN(TRIM(F216))=0,LEN(TRIM(G216))=0,LEN(TRIM(H216))=0,LEN(TRIM(I216))=0,LEN(TRIM(J216))=0,LEN(TRIM(K216))=0,LEN(TRIM(L216))=0,LEN(TRIM(M216))=0,LEN(TRIM(N216))=0,LEN(TRIM(O216))=0,LEN(TRIM(P216))=0),"ADMIN_INCOMPLETE",IF(H216&lt;&gt;"Yes","ADMIN_INVALID",IF(I216="Not feasible","BURDEN_NOT_FEASIBLE",IF(AI216&lt;&gt;"OK","UNRECOGNISED_VALUE","CLEAR")))))))</f>
        <v/>
      </c>
      <c r="AF216">
        <f>IF(AND(Q216="",R216=""),"",IF(IF(Q216&lt;&gt;"",Q216,R216)="Stage-A admissible - scoped","stage_a_admissible_scoped",IF(IF(Q216&lt;&gt;"",Q216,R216)="Stage-A admissible - scoped, control-dependent","stage_a_admissible_scoped_control_dependent",IF(IF(Q216&lt;&gt;"",Q216,R216)="Stage-A non-admissible - patchable","stage_a_non_admissible_patchable",IF(IF(Q216&lt;&gt;"",Q216,R216)="Stage-A non-admissible - unpatchable for stated claim","stage_a_non_admissible_unpatchable_for_stated_claim",IF(IF(Q216&lt;&gt;"",Q216,R216)="Indeterminate - insufficient evidence","indeterminate_insufficient_evidence",IF(IF(Q216&lt;&gt;"",Q216,R216)="Protocol refusal to evaluate","protocol_refusal_to_evaluate",IF(IF(Q216&lt;&gt;"",Q216,R216)="Out of scope","out_of_scope",IF(IF(Q216&lt;&gt;"",Q216,R216)="Withdrawn","withdrawn",IF(IF(Q216&lt;&gt;"",Q216,R216)="Not reviewed","not_reviewed","unknown_status"))))))))))</f>
        <v/>
      </c>
      <c r="AG216">
        <f>IF(AND(AF216="",T216=""),"",IF(AND(AF216&lt;&gt;"",ISNUMBER(SEARCH("token="&amp;AF216&amp;";",T216)),ISNUMBER(SEARCH(AK216,T216)),ISNUMBER(SEARCH("CL basis="&amp;AL216&amp;";",T216))),"VALID","INVALID_OR_INCOMPLETE"))</f>
        <v/>
      </c>
      <c r="AH216">
        <f>COUNTIF(K216:P216,"Adequate for scope")</f>
        <v/>
      </c>
      <c r="AI216">
        <f>IF(COUNTA(K216:P216)=0,"",IF(AA216+AB216+AC216+AD216+AH216=6,"OK","UNRECOGNISED_VALUE"))</f>
        <v/>
      </c>
      <c r="AJ216" s="303" t="n"/>
      <c r="AK216" s="303">
        <f>IF(A216="","",Vocabulary!$B$5)</f>
        <v/>
      </c>
      <c r="AL216" s="303">
        <f>IF(A216="","",Vocabulary!$B$6)</f>
        <v/>
      </c>
      <c r="AM216" s="303">
        <f>IF(AJ216="","OK",IF(COUNTIF(Vocabulary!$O$5:$O$8,AJ216)=1,"OK","UNRECOGNISED_ADMIN_DISPOSITION"))</f>
        <v/>
      </c>
    </row>
    <row r="217">
      <c r="Q217">
        <f>IF(AE217="","",IF(AE217="ADMIN_DISPOSITION",AJ217,IF(OR(AE217="ADMIN_INCOMPLETE",AE217="ADMIN_INVALID",AE217="BURDEN_NOT_FEASIBLE",AE217="UNRECOGNISED_VALUE",AE217="UNRECOGNISED_ADMIN_DISPOSITION"),"Protocol refusal to evaluate",IF(AA217&gt;0,"Stage-A non-admissible - unpatchable for stated claim",IF(AB217&gt;0,"Stage-A non-admissible - patchable",IF(OR(J217="Yes",I217="Indeterminate",AC217&gt;0),"Indeterminate - insufficient evidence",IF(AND(AH217=6,AD217=0),"Stage-A admissible - scoped",IF(AND(AH217+AD217=6,AD217&gt;0),"Stage-A admissible - scoped, control-dependent","Protocol refusal to evaluate"))))))))</f>
        <v/>
      </c>
      <c r="S217">
        <f>IF(AND(Q217="",R217=""),"",IF(AND(Q217&lt;&gt;"",R217=""),"UNRECORDED",IF(AND(Q217="",R217&lt;&gt;""),"ORPHAN_RECORDED",IF(Q217=R217,"MATCH","MISMATCH"))))</f>
        <v/>
      </c>
      <c r="AA217">
        <f>COUNTIF(K217:P217,"Material defect - unpatchable for stated claim")</f>
        <v/>
      </c>
      <c r="AB217">
        <f>COUNTIF(K217:P217,"Material defect - patchable")</f>
        <v/>
      </c>
      <c r="AC217">
        <f>COUNTIF(K217:P217,"Indeterminate")+COUNTIF(K217:P217,"Not reviewed")</f>
        <v/>
      </c>
      <c r="AD217">
        <f>COUNTIF(K217:P217,"Adequate - control-dependent")</f>
        <v/>
      </c>
      <c r="AE217">
        <f>IF(COUNTA(A217:P217)+COUNTA(AJ217)=0,"",IF(AM217&lt;&gt;"OK","UNRECOGNISED_ADMIN_DISPOSITION",IF(AND(AJ217&lt;&gt;"",AJ217&lt;&gt;"None"),IF(OR(LEN(TRIM(A217))=0,LEN(TRIM(B217))=0,LEN(TRIM(C217))=0,LEN(TRIM(F217))=0),"ADMIN_INCOMPLETE","ADMIN_DISPOSITION"),IF(OR(LEN(TRIM(A217))=0,LEN(TRIM(B217))=0,LEN(TRIM(C217))=0,LEN(TRIM(D217))=0,LEN(TRIM(E217))=0,LEN(TRIM(F217))=0,LEN(TRIM(G217))=0,LEN(TRIM(H217))=0,LEN(TRIM(I217))=0,LEN(TRIM(J217))=0,LEN(TRIM(K217))=0,LEN(TRIM(L217))=0,LEN(TRIM(M217))=0,LEN(TRIM(N217))=0,LEN(TRIM(O217))=0,LEN(TRIM(P217))=0),"ADMIN_INCOMPLETE",IF(H217&lt;&gt;"Yes","ADMIN_INVALID",IF(I217="Not feasible","BURDEN_NOT_FEASIBLE",IF(AI217&lt;&gt;"OK","UNRECOGNISED_VALUE","CLEAR")))))))</f>
        <v/>
      </c>
      <c r="AF217">
        <f>IF(AND(Q217="",R217=""),"",IF(IF(Q217&lt;&gt;"",Q217,R217)="Stage-A admissible - scoped","stage_a_admissible_scoped",IF(IF(Q217&lt;&gt;"",Q217,R217)="Stage-A admissible - scoped, control-dependent","stage_a_admissible_scoped_control_dependent",IF(IF(Q217&lt;&gt;"",Q217,R217)="Stage-A non-admissible - patchable","stage_a_non_admissible_patchable",IF(IF(Q217&lt;&gt;"",Q217,R217)="Stage-A non-admissible - unpatchable for stated claim","stage_a_non_admissible_unpatchable_for_stated_claim",IF(IF(Q217&lt;&gt;"",Q217,R217)="Indeterminate - insufficient evidence","indeterminate_insufficient_evidence",IF(IF(Q217&lt;&gt;"",Q217,R217)="Protocol refusal to evaluate","protocol_refusal_to_evaluate",IF(IF(Q217&lt;&gt;"",Q217,R217)="Out of scope","out_of_scope",IF(IF(Q217&lt;&gt;"",Q217,R217)="Withdrawn","withdrawn",IF(IF(Q217&lt;&gt;"",Q217,R217)="Not reviewed","not_reviewed","unknown_status"))))))))))</f>
        <v/>
      </c>
      <c r="AG217">
        <f>IF(AND(AF217="",T217=""),"",IF(AND(AF217&lt;&gt;"",ISNUMBER(SEARCH("token="&amp;AF217&amp;";",T217)),ISNUMBER(SEARCH(AK217,T217)),ISNUMBER(SEARCH("CL basis="&amp;AL217&amp;";",T217))),"VALID","INVALID_OR_INCOMPLETE"))</f>
        <v/>
      </c>
      <c r="AH217">
        <f>COUNTIF(K217:P217,"Adequate for scope")</f>
        <v/>
      </c>
      <c r="AI217">
        <f>IF(COUNTA(K217:P217)=0,"",IF(AA217+AB217+AC217+AD217+AH217=6,"OK","UNRECOGNISED_VALUE"))</f>
        <v/>
      </c>
      <c r="AJ217" s="303" t="n"/>
      <c r="AK217" s="303">
        <f>IF(A217="","",Vocabulary!$B$5)</f>
        <v/>
      </c>
      <c r="AL217" s="303">
        <f>IF(A217="","",Vocabulary!$B$6)</f>
        <v/>
      </c>
      <c r="AM217" s="303">
        <f>IF(AJ217="","OK",IF(COUNTIF(Vocabulary!$O$5:$O$8,AJ217)=1,"OK","UNRECOGNISED_ADMIN_DISPOSITION"))</f>
        <v/>
      </c>
    </row>
    <row r="218">
      <c r="Q218">
        <f>IF(AE218="","",IF(AE218="ADMIN_DISPOSITION",AJ218,IF(OR(AE218="ADMIN_INCOMPLETE",AE218="ADMIN_INVALID",AE218="BURDEN_NOT_FEASIBLE",AE218="UNRECOGNISED_VALUE",AE218="UNRECOGNISED_ADMIN_DISPOSITION"),"Protocol refusal to evaluate",IF(AA218&gt;0,"Stage-A non-admissible - unpatchable for stated claim",IF(AB218&gt;0,"Stage-A non-admissible - patchable",IF(OR(J218="Yes",I218="Indeterminate",AC218&gt;0),"Indeterminate - insufficient evidence",IF(AND(AH218=6,AD218=0),"Stage-A admissible - scoped",IF(AND(AH218+AD218=6,AD218&gt;0),"Stage-A admissible - scoped, control-dependent","Protocol refusal to evaluate"))))))))</f>
        <v/>
      </c>
      <c r="S218">
        <f>IF(AND(Q218="",R218=""),"",IF(AND(Q218&lt;&gt;"",R218=""),"UNRECORDED",IF(AND(Q218="",R218&lt;&gt;""),"ORPHAN_RECORDED",IF(Q218=R218,"MATCH","MISMATCH"))))</f>
        <v/>
      </c>
      <c r="AA218">
        <f>COUNTIF(K218:P218,"Material defect - unpatchable for stated claim")</f>
        <v/>
      </c>
      <c r="AB218">
        <f>COUNTIF(K218:P218,"Material defect - patchable")</f>
        <v/>
      </c>
      <c r="AC218">
        <f>COUNTIF(K218:P218,"Indeterminate")+COUNTIF(K218:P218,"Not reviewed")</f>
        <v/>
      </c>
      <c r="AD218">
        <f>COUNTIF(K218:P218,"Adequate - control-dependent")</f>
        <v/>
      </c>
      <c r="AE218">
        <f>IF(COUNTA(A218:P218)+COUNTA(AJ218)=0,"",IF(AM218&lt;&gt;"OK","UNRECOGNISED_ADMIN_DISPOSITION",IF(AND(AJ218&lt;&gt;"",AJ218&lt;&gt;"None"),IF(OR(LEN(TRIM(A218))=0,LEN(TRIM(B218))=0,LEN(TRIM(C218))=0,LEN(TRIM(F218))=0),"ADMIN_INCOMPLETE","ADMIN_DISPOSITION"),IF(OR(LEN(TRIM(A218))=0,LEN(TRIM(B218))=0,LEN(TRIM(C218))=0,LEN(TRIM(D218))=0,LEN(TRIM(E218))=0,LEN(TRIM(F218))=0,LEN(TRIM(G218))=0,LEN(TRIM(H218))=0,LEN(TRIM(I218))=0,LEN(TRIM(J218))=0,LEN(TRIM(K218))=0,LEN(TRIM(L218))=0,LEN(TRIM(M218))=0,LEN(TRIM(N218))=0,LEN(TRIM(O218))=0,LEN(TRIM(P218))=0),"ADMIN_INCOMPLETE",IF(H218&lt;&gt;"Yes","ADMIN_INVALID",IF(I218="Not feasible","BURDEN_NOT_FEASIBLE",IF(AI218&lt;&gt;"OK","UNRECOGNISED_VALUE","CLEAR")))))))</f>
        <v/>
      </c>
      <c r="AF218">
        <f>IF(AND(Q218="",R218=""),"",IF(IF(Q218&lt;&gt;"",Q218,R218)="Stage-A admissible - scoped","stage_a_admissible_scoped",IF(IF(Q218&lt;&gt;"",Q218,R218)="Stage-A admissible - scoped, control-dependent","stage_a_admissible_scoped_control_dependent",IF(IF(Q218&lt;&gt;"",Q218,R218)="Stage-A non-admissible - patchable","stage_a_non_admissible_patchable",IF(IF(Q218&lt;&gt;"",Q218,R218)="Stage-A non-admissible - unpatchable for stated claim","stage_a_non_admissible_unpatchable_for_stated_claim",IF(IF(Q218&lt;&gt;"",Q218,R218)="Indeterminate - insufficient evidence","indeterminate_insufficient_evidence",IF(IF(Q218&lt;&gt;"",Q218,R218)="Protocol refusal to evaluate","protocol_refusal_to_evaluate",IF(IF(Q218&lt;&gt;"",Q218,R218)="Out of scope","out_of_scope",IF(IF(Q218&lt;&gt;"",Q218,R218)="Withdrawn","withdrawn",IF(IF(Q218&lt;&gt;"",Q218,R218)="Not reviewed","not_reviewed","unknown_status"))))))))))</f>
        <v/>
      </c>
      <c r="AG218">
        <f>IF(AND(AF218="",T218=""),"",IF(AND(AF218&lt;&gt;"",ISNUMBER(SEARCH("token="&amp;AF218&amp;";",T218)),ISNUMBER(SEARCH(AK218,T218)),ISNUMBER(SEARCH("CL basis="&amp;AL218&amp;";",T218))),"VALID","INVALID_OR_INCOMPLETE"))</f>
        <v/>
      </c>
      <c r="AH218">
        <f>COUNTIF(K218:P218,"Adequate for scope")</f>
        <v/>
      </c>
      <c r="AI218">
        <f>IF(COUNTA(K218:P218)=0,"",IF(AA218+AB218+AC218+AD218+AH218=6,"OK","UNRECOGNISED_VALUE"))</f>
        <v/>
      </c>
      <c r="AJ218" s="303" t="n"/>
      <c r="AK218" s="303">
        <f>IF(A218="","",Vocabulary!$B$5)</f>
        <v/>
      </c>
      <c r="AL218" s="303">
        <f>IF(A218="","",Vocabulary!$B$6)</f>
        <v/>
      </c>
      <c r="AM218" s="303">
        <f>IF(AJ218="","OK",IF(COUNTIF(Vocabulary!$O$5:$O$8,AJ218)=1,"OK","UNRECOGNISED_ADMIN_DISPOSITION"))</f>
        <v/>
      </c>
    </row>
    <row r="219">
      <c r="Q219">
        <f>IF(AE219="","",IF(AE219="ADMIN_DISPOSITION",AJ219,IF(OR(AE219="ADMIN_INCOMPLETE",AE219="ADMIN_INVALID",AE219="BURDEN_NOT_FEASIBLE",AE219="UNRECOGNISED_VALUE",AE219="UNRECOGNISED_ADMIN_DISPOSITION"),"Protocol refusal to evaluate",IF(AA219&gt;0,"Stage-A non-admissible - unpatchable for stated claim",IF(AB219&gt;0,"Stage-A non-admissible - patchable",IF(OR(J219="Yes",I219="Indeterminate",AC219&gt;0),"Indeterminate - insufficient evidence",IF(AND(AH219=6,AD219=0),"Stage-A admissible - scoped",IF(AND(AH219+AD219=6,AD219&gt;0),"Stage-A admissible - scoped, control-dependent","Protocol refusal to evaluate"))))))))</f>
        <v/>
      </c>
      <c r="S219">
        <f>IF(AND(Q219="",R219=""),"",IF(AND(Q219&lt;&gt;"",R219=""),"UNRECORDED",IF(AND(Q219="",R219&lt;&gt;""),"ORPHAN_RECORDED",IF(Q219=R219,"MATCH","MISMATCH"))))</f>
        <v/>
      </c>
      <c r="AA219">
        <f>COUNTIF(K219:P219,"Material defect - unpatchable for stated claim")</f>
        <v/>
      </c>
      <c r="AB219">
        <f>COUNTIF(K219:P219,"Material defect - patchable")</f>
        <v/>
      </c>
      <c r="AC219">
        <f>COUNTIF(K219:P219,"Indeterminate")+COUNTIF(K219:P219,"Not reviewed")</f>
        <v/>
      </c>
      <c r="AD219">
        <f>COUNTIF(K219:P219,"Adequate - control-dependent")</f>
        <v/>
      </c>
      <c r="AE219">
        <f>IF(COUNTA(A219:P219)+COUNTA(AJ219)=0,"",IF(AM219&lt;&gt;"OK","UNRECOGNISED_ADMIN_DISPOSITION",IF(AND(AJ219&lt;&gt;"",AJ219&lt;&gt;"None"),IF(OR(LEN(TRIM(A219))=0,LEN(TRIM(B219))=0,LEN(TRIM(C219))=0,LEN(TRIM(F219))=0),"ADMIN_INCOMPLETE","ADMIN_DISPOSITION"),IF(OR(LEN(TRIM(A219))=0,LEN(TRIM(B219))=0,LEN(TRIM(C219))=0,LEN(TRIM(D219))=0,LEN(TRIM(E219))=0,LEN(TRIM(F219))=0,LEN(TRIM(G219))=0,LEN(TRIM(H219))=0,LEN(TRIM(I219))=0,LEN(TRIM(J219))=0,LEN(TRIM(K219))=0,LEN(TRIM(L219))=0,LEN(TRIM(M219))=0,LEN(TRIM(N219))=0,LEN(TRIM(O219))=0,LEN(TRIM(P219))=0),"ADMIN_INCOMPLETE",IF(H219&lt;&gt;"Yes","ADMIN_INVALID",IF(I219="Not feasible","BURDEN_NOT_FEASIBLE",IF(AI219&lt;&gt;"OK","UNRECOGNISED_VALUE","CLEAR")))))))</f>
        <v/>
      </c>
      <c r="AF219">
        <f>IF(AND(Q219="",R219=""),"",IF(IF(Q219&lt;&gt;"",Q219,R219)="Stage-A admissible - scoped","stage_a_admissible_scoped",IF(IF(Q219&lt;&gt;"",Q219,R219)="Stage-A admissible - scoped, control-dependent","stage_a_admissible_scoped_control_dependent",IF(IF(Q219&lt;&gt;"",Q219,R219)="Stage-A non-admissible - patchable","stage_a_non_admissible_patchable",IF(IF(Q219&lt;&gt;"",Q219,R219)="Stage-A non-admissible - unpatchable for stated claim","stage_a_non_admissible_unpatchable_for_stated_claim",IF(IF(Q219&lt;&gt;"",Q219,R219)="Indeterminate - insufficient evidence","indeterminate_insufficient_evidence",IF(IF(Q219&lt;&gt;"",Q219,R219)="Protocol refusal to evaluate","protocol_refusal_to_evaluate",IF(IF(Q219&lt;&gt;"",Q219,R219)="Out of scope","out_of_scope",IF(IF(Q219&lt;&gt;"",Q219,R219)="Withdrawn","withdrawn",IF(IF(Q219&lt;&gt;"",Q219,R219)="Not reviewed","not_reviewed","unknown_status"))))))))))</f>
        <v/>
      </c>
      <c r="AG219">
        <f>IF(AND(AF219="",T219=""),"",IF(AND(AF219&lt;&gt;"",ISNUMBER(SEARCH("token="&amp;AF219&amp;";",T219)),ISNUMBER(SEARCH(AK219,T219)),ISNUMBER(SEARCH("CL basis="&amp;AL219&amp;";",T219))),"VALID","INVALID_OR_INCOMPLETE"))</f>
        <v/>
      </c>
      <c r="AH219">
        <f>COUNTIF(K219:P219,"Adequate for scope")</f>
        <v/>
      </c>
      <c r="AI219">
        <f>IF(COUNTA(K219:P219)=0,"",IF(AA219+AB219+AC219+AD219+AH219=6,"OK","UNRECOGNISED_VALUE"))</f>
        <v/>
      </c>
      <c r="AJ219" s="303" t="n"/>
      <c r="AK219" s="303">
        <f>IF(A219="","",Vocabulary!$B$5)</f>
        <v/>
      </c>
      <c r="AL219" s="303">
        <f>IF(A219="","",Vocabulary!$B$6)</f>
        <v/>
      </c>
      <c r="AM219" s="303">
        <f>IF(AJ219="","OK",IF(COUNTIF(Vocabulary!$O$5:$O$8,AJ219)=1,"OK","UNRECOGNISED_ADMIN_DISPOSITION"))</f>
        <v/>
      </c>
    </row>
    <row r="220">
      <c r="Q220">
        <f>IF(AE220="","",IF(AE220="ADMIN_DISPOSITION",AJ220,IF(OR(AE220="ADMIN_INCOMPLETE",AE220="ADMIN_INVALID",AE220="BURDEN_NOT_FEASIBLE",AE220="UNRECOGNISED_VALUE",AE220="UNRECOGNISED_ADMIN_DISPOSITION"),"Protocol refusal to evaluate",IF(AA220&gt;0,"Stage-A non-admissible - unpatchable for stated claim",IF(AB220&gt;0,"Stage-A non-admissible - patchable",IF(OR(J220="Yes",I220="Indeterminate",AC220&gt;0),"Indeterminate - insufficient evidence",IF(AND(AH220=6,AD220=0),"Stage-A admissible - scoped",IF(AND(AH220+AD220=6,AD220&gt;0),"Stage-A admissible - scoped, control-dependent","Protocol refusal to evaluate"))))))))</f>
        <v/>
      </c>
      <c r="S220">
        <f>IF(AND(Q220="",R220=""),"",IF(AND(Q220&lt;&gt;"",R220=""),"UNRECORDED",IF(AND(Q220="",R220&lt;&gt;""),"ORPHAN_RECORDED",IF(Q220=R220,"MATCH","MISMATCH"))))</f>
        <v/>
      </c>
      <c r="AA220">
        <f>COUNTIF(K220:P220,"Material defect - unpatchable for stated claim")</f>
        <v/>
      </c>
      <c r="AB220">
        <f>COUNTIF(K220:P220,"Material defect - patchable")</f>
        <v/>
      </c>
      <c r="AC220">
        <f>COUNTIF(K220:P220,"Indeterminate")+COUNTIF(K220:P220,"Not reviewed")</f>
        <v/>
      </c>
      <c r="AD220">
        <f>COUNTIF(K220:P220,"Adequate - control-dependent")</f>
        <v/>
      </c>
      <c r="AE220">
        <f>IF(COUNTA(A220:P220)+COUNTA(AJ220)=0,"",IF(AM220&lt;&gt;"OK","UNRECOGNISED_ADMIN_DISPOSITION",IF(AND(AJ220&lt;&gt;"",AJ220&lt;&gt;"None"),IF(OR(LEN(TRIM(A220))=0,LEN(TRIM(B220))=0,LEN(TRIM(C220))=0,LEN(TRIM(F220))=0),"ADMIN_INCOMPLETE","ADMIN_DISPOSITION"),IF(OR(LEN(TRIM(A220))=0,LEN(TRIM(B220))=0,LEN(TRIM(C220))=0,LEN(TRIM(D220))=0,LEN(TRIM(E220))=0,LEN(TRIM(F220))=0,LEN(TRIM(G220))=0,LEN(TRIM(H220))=0,LEN(TRIM(I220))=0,LEN(TRIM(J220))=0,LEN(TRIM(K220))=0,LEN(TRIM(L220))=0,LEN(TRIM(M220))=0,LEN(TRIM(N220))=0,LEN(TRIM(O220))=0,LEN(TRIM(P220))=0),"ADMIN_INCOMPLETE",IF(H220&lt;&gt;"Yes","ADMIN_INVALID",IF(I220="Not feasible","BURDEN_NOT_FEASIBLE",IF(AI220&lt;&gt;"OK","UNRECOGNISED_VALUE","CLEAR")))))))</f>
        <v/>
      </c>
      <c r="AF220">
        <f>IF(AND(Q220="",R220=""),"",IF(IF(Q220&lt;&gt;"",Q220,R220)="Stage-A admissible - scoped","stage_a_admissible_scoped",IF(IF(Q220&lt;&gt;"",Q220,R220)="Stage-A admissible - scoped, control-dependent","stage_a_admissible_scoped_control_dependent",IF(IF(Q220&lt;&gt;"",Q220,R220)="Stage-A non-admissible - patchable","stage_a_non_admissible_patchable",IF(IF(Q220&lt;&gt;"",Q220,R220)="Stage-A non-admissible - unpatchable for stated claim","stage_a_non_admissible_unpatchable_for_stated_claim",IF(IF(Q220&lt;&gt;"",Q220,R220)="Indeterminate - insufficient evidence","indeterminate_insufficient_evidence",IF(IF(Q220&lt;&gt;"",Q220,R220)="Protocol refusal to evaluate","protocol_refusal_to_evaluate",IF(IF(Q220&lt;&gt;"",Q220,R220)="Out of scope","out_of_scope",IF(IF(Q220&lt;&gt;"",Q220,R220)="Withdrawn","withdrawn",IF(IF(Q220&lt;&gt;"",Q220,R220)="Not reviewed","not_reviewed","unknown_status"))))))))))</f>
        <v/>
      </c>
      <c r="AG220">
        <f>IF(AND(AF220="",T220=""),"",IF(AND(AF220&lt;&gt;"",ISNUMBER(SEARCH("token="&amp;AF220&amp;";",T220)),ISNUMBER(SEARCH(AK220,T220)),ISNUMBER(SEARCH("CL basis="&amp;AL220&amp;";",T220))),"VALID","INVALID_OR_INCOMPLETE"))</f>
        <v/>
      </c>
      <c r="AH220">
        <f>COUNTIF(K220:P220,"Adequate for scope")</f>
        <v/>
      </c>
      <c r="AI220">
        <f>IF(COUNTA(K220:P220)=0,"",IF(AA220+AB220+AC220+AD220+AH220=6,"OK","UNRECOGNISED_VALUE"))</f>
        <v/>
      </c>
      <c r="AJ220" s="303" t="n"/>
      <c r="AK220" s="303">
        <f>IF(A220="","",Vocabulary!$B$5)</f>
        <v/>
      </c>
      <c r="AL220" s="303">
        <f>IF(A220="","",Vocabulary!$B$6)</f>
        <v/>
      </c>
      <c r="AM220" s="303">
        <f>IF(AJ220="","OK",IF(COUNTIF(Vocabulary!$O$5:$O$8,AJ220)=1,"OK","UNRECOGNISED_ADMIN_DISPOSITION"))</f>
        <v/>
      </c>
    </row>
    <row r="221">
      <c r="Q221">
        <f>IF(AE221="","",IF(AE221="ADMIN_DISPOSITION",AJ221,IF(OR(AE221="ADMIN_INCOMPLETE",AE221="ADMIN_INVALID",AE221="BURDEN_NOT_FEASIBLE",AE221="UNRECOGNISED_VALUE",AE221="UNRECOGNISED_ADMIN_DISPOSITION"),"Protocol refusal to evaluate",IF(AA221&gt;0,"Stage-A non-admissible - unpatchable for stated claim",IF(AB221&gt;0,"Stage-A non-admissible - patchable",IF(OR(J221="Yes",I221="Indeterminate",AC221&gt;0),"Indeterminate - insufficient evidence",IF(AND(AH221=6,AD221=0),"Stage-A admissible - scoped",IF(AND(AH221+AD221=6,AD221&gt;0),"Stage-A admissible - scoped, control-dependent","Protocol refusal to evaluate"))))))))</f>
        <v/>
      </c>
      <c r="S221">
        <f>IF(AND(Q221="",R221=""),"",IF(AND(Q221&lt;&gt;"",R221=""),"UNRECORDED",IF(AND(Q221="",R221&lt;&gt;""),"ORPHAN_RECORDED",IF(Q221=R221,"MATCH","MISMATCH"))))</f>
        <v/>
      </c>
      <c r="AA221">
        <f>COUNTIF(K221:P221,"Material defect - unpatchable for stated claim")</f>
        <v/>
      </c>
      <c r="AB221">
        <f>COUNTIF(K221:P221,"Material defect - patchable")</f>
        <v/>
      </c>
      <c r="AC221">
        <f>COUNTIF(K221:P221,"Indeterminate")+COUNTIF(K221:P221,"Not reviewed")</f>
        <v/>
      </c>
      <c r="AD221">
        <f>COUNTIF(K221:P221,"Adequate - control-dependent")</f>
        <v/>
      </c>
      <c r="AE221">
        <f>IF(COUNTA(A221:P221)+COUNTA(AJ221)=0,"",IF(AM221&lt;&gt;"OK","UNRECOGNISED_ADMIN_DISPOSITION",IF(AND(AJ221&lt;&gt;"",AJ221&lt;&gt;"None"),IF(OR(LEN(TRIM(A221))=0,LEN(TRIM(B221))=0,LEN(TRIM(C221))=0,LEN(TRIM(F221))=0),"ADMIN_INCOMPLETE","ADMIN_DISPOSITION"),IF(OR(LEN(TRIM(A221))=0,LEN(TRIM(B221))=0,LEN(TRIM(C221))=0,LEN(TRIM(D221))=0,LEN(TRIM(E221))=0,LEN(TRIM(F221))=0,LEN(TRIM(G221))=0,LEN(TRIM(H221))=0,LEN(TRIM(I221))=0,LEN(TRIM(J221))=0,LEN(TRIM(K221))=0,LEN(TRIM(L221))=0,LEN(TRIM(M221))=0,LEN(TRIM(N221))=0,LEN(TRIM(O221))=0,LEN(TRIM(P221))=0),"ADMIN_INCOMPLETE",IF(H221&lt;&gt;"Yes","ADMIN_INVALID",IF(I221="Not feasible","BURDEN_NOT_FEASIBLE",IF(AI221&lt;&gt;"OK","UNRECOGNISED_VALUE","CLEAR")))))))</f>
        <v/>
      </c>
      <c r="AF221">
        <f>IF(AND(Q221="",R221=""),"",IF(IF(Q221&lt;&gt;"",Q221,R221)="Stage-A admissible - scoped","stage_a_admissible_scoped",IF(IF(Q221&lt;&gt;"",Q221,R221)="Stage-A admissible - scoped, control-dependent","stage_a_admissible_scoped_control_dependent",IF(IF(Q221&lt;&gt;"",Q221,R221)="Stage-A non-admissible - patchable","stage_a_non_admissible_patchable",IF(IF(Q221&lt;&gt;"",Q221,R221)="Stage-A non-admissible - unpatchable for stated claim","stage_a_non_admissible_unpatchable_for_stated_claim",IF(IF(Q221&lt;&gt;"",Q221,R221)="Indeterminate - insufficient evidence","indeterminate_insufficient_evidence",IF(IF(Q221&lt;&gt;"",Q221,R221)="Protocol refusal to evaluate","protocol_refusal_to_evaluate",IF(IF(Q221&lt;&gt;"",Q221,R221)="Out of scope","out_of_scope",IF(IF(Q221&lt;&gt;"",Q221,R221)="Withdrawn","withdrawn",IF(IF(Q221&lt;&gt;"",Q221,R221)="Not reviewed","not_reviewed","unknown_status"))))))))))</f>
        <v/>
      </c>
      <c r="AG221">
        <f>IF(AND(AF221="",T221=""),"",IF(AND(AF221&lt;&gt;"",ISNUMBER(SEARCH("token="&amp;AF221&amp;";",T221)),ISNUMBER(SEARCH(AK221,T221)),ISNUMBER(SEARCH("CL basis="&amp;AL221&amp;";",T221))),"VALID","INVALID_OR_INCOMPLETE"))</f>
        <v/>
      </c>
      <c r="AH221">
        <f>COUNTIF(K221:P221,"Adequate for scope")</f>
        <v/>
      </c>
      <c r="AI221">
        <f>IF(COUNTA(K221:P221)=0,"",IF(AA221+AB221+AC221+AD221+AH221=6,"OK","UNRECOGNISED_VALUE"))</f>
        <v/>
      </c>
      <c r="AJ221" s="303" t="n"/>
      <c r="AK221" s="303">
        <f>IF(A221="","",Vocabulary!$B$5)</f>
        <v/>
      </c>
      <c r="AL221" s="303">
        <f>IF(A221="","",Vocabulary!$B$6)</f>
        <v/>
      </c>
      <c r="AM221" s="303">
        <f>IF(AJ221="","OK",IF(COUNTIF(Vocabulary!$O$5:$O$8,AJ221)=1,"OK","UNRECOGNISED_ADMIN_DISPOSITION"))</f>
        <v/>
      </c>
    </row>
    <row r="222">
      <c r="Q222">
        <f>IF(AE222="","",IF(AE222="ADMIN_DISPOSITION",AJ222,IF(OR(AE222="ADMIN_INCOMPLETE",AE222="ADMIN_INVALID",AE222="BURDEN_NOT_FEASIBLE",AE222="UNRECOGNISED_VALUE",AE222="UNRECOGNISED_ADMIN_DISPOSITION"),"Protocol refusal to evaluate",IF(AA222&gt;0,"Stage-A non-admissible - unpatchable for stated claim",IF(AB222&gt;0,"Stage-A non-admissible - patchable",IF(OR(J222="Yes",I222="Indeterminate",AC222&gt;0),"Indeterminate - insufficient evidence",IF(AND(AH222=6,AD222=0),"Stage-A admissible - scoped",IF(AND(AH222+AD222=6,AD222&gt;0),"Stage-A admissible - scoped, control-dependent","Protocol refusal to evaluate"))))))))</f>
        <v/>
      </c>
      <c r="S222">
        <f>IF(AND(Q222="",R222=""),"",IF(AND(Q222&lt;&gt;"",R222=""),"UNRECORDED",IF(AND(Q222="",R222&lt;&gt;""),"ORPHAN_RECORDED",IF(Q222=R222,"MATCH","MISMATCH"))))</f>
        <v/>
      </c>
      <c r="AA222">
        <f>COUNTIF(K222:P222,"Material defect - unpatchable for stated claim")</f>
        <v/>
      </c>
      <c r="AB222">
        <f>COUNTIF(K222:P222,"Material defect - patchable")</f>
        <v/>
      </c>
      <c r="AC222">
        <f>COUNTIF(K222:P222,"Indeterminate")+COUNTIF(K222:P222,"Not reviewed")</f>
        <v/>
      </c>
      <c r="AD222">
        <f>COUNTIF(K222:P222,"Adequate - control-dependent")</f>
        <v/>
      </c>
      <c r="AE222">
        <f>IF(COUNTA(A222:P222)+COUNTA(AJ222)=0,"",IF(AM222&lt;&gt;"OK","UNRECOGNISED_ADMIN_DISPOSITION",IF(AND(AJ222&lt;&gt;"",AJ222&lt;&gt;"None"),IF(OR(LEN(TRIM(A222))=0,LEN(TRIM(B222))=0,LEN(TRIM(C222))=0,LEN(TRIM(F222))=0),"ADMIN_INCOMPLETE","ADMIN_DISPOSITION"),IF(OR(LEN(TRIM(A222))=0,LEN(TRIM(B222))=0,LEN(TRIM(C222))=0,LEN(TRIM(D222))=0,LEN(TRIM(E222))=0,LEN(TRIM(F222))=0,LEN(TRIM(G222))=0,LEN(TRIM(H222))=0,LEN(TRIM(I222))=0,LEN(TRIM(J222))=0,LEN(TRIM(K222))=0,LEN(TRIM(L222))=0,LEN(TRIM(M222))=0,LEN(TRIM(N222))=0,LEN(TRIM(O222))=0,LEN(TRIM(P222))=0),"ADMIN_INCOMPLETE",IF(H222&lt;&gt;"Yes","ADMIN_INVALID",IF(I222="Not feasible","BURDEN_NOT_FEASIBLE",IF(AI222&lt;&gt;"OK","UNRECOGNISED_VALUE","CLEAR")))))))</f>
        <v/>
      </c>
      <c r="AF222">
        <f>IF(AND(Q222="",R222=""),"",IF(IF(Q222&lt;&gt;"",Q222,R222)="Stage-A admissible - scoped","stage_a_admissible_scoped",IF(IF(Q222&lt;&gt;"",Q222,R222)="Stage-A admissible - scoped, control-dependent","stage_a_admissible_scoped_control_dependent",IF(IF(Q222&lt;&gt;"",Q222,R222)="Stage-A non-admissible - patchable","stage_a_non_admissible_patchable",IF(IF(Q222&lt;&gt;"",Q222,R222)="Stage-A non-admissible - unpatchable for stated claim","stage_a_non_admissible_unpatchable_for_stated_claim",IF(IF(Q222&lt;&gt;"",Q222,R222)="Indeterminate - insufficient evidence","indeterminate_insufficient_evidence",IF(IF(Q222&lt;&gt;"",Q222,R222)="Protocol refusal to evaluate","protocol_refusal_to_evaluate",IF(IF(Q222&lt;&gt;"",Q222,R222)="Out of scope","out_of_scope",IF(IF(Q222&lt;&gt;"",Q222,R222)="Withdrawn","withdrawn",IF(IF(Q222&lt;&gt;"",Q222,R222)="Not reviewed","not_reviewed","unknown_status"))))))))))</f>
        <v/>
      </c>
      <c r="AG222">
        <f>IF(AND(AF222="",T222=""),"",IF(AND(AF222&lt;&gt;"",ISNUMBER(SEARCH("token="&amp;AF222&amp;";",T222)),ISNUMBER(SEARCH(AK222,T222)),ISNUMBER(SEARCH("CL basis="&amp;AL222&amp;";",T222))),"VALID","INVALID_OR_INCOMPLETE"))</f>
        <v/>
      </c>
      <c r="AH222">
        <f>COUNTIF(K222:P222,"Adequate for scope")</f>
        <v/>
      </c>
      <c r="AI222">
        <f>IF(COUNTA(K222:P222)=0,"",IF(AA222+AB222+AC222+AD222+AH222=6,"OK","UNRECOGNISED_VALUE"))</f>
        <v/>
      </c>
      <c r="AJ222" s="303" t="n"/>
      <c r="AK222" s="303">
        <f>IF(A222="","",Vocabulary!$B$5)</f>
        <v/>
      </c>
      <c r="AL222" s="303">
        <f>IF(A222="","",Vocabulary!$B$6)</f>
        <v/>
      </c>
      <c r="AM222" s="303">
        <f>IF(AJ222="","OK",IF(COUNTIF(Vocabulary!$O$5:$O$8,AJ222)=1,"OK","UNRECOGNISED_ADMIN_DISPOSITION"))</f>
        <v/>
      </c>
    </row>
    <row r="223">
      <c r="Q223">
        <f>IF(AE223="","",IF(AE223="ADMIN_DISPOSITION",AJ223,IF(OR(AE223="ADMIN_INCOMPLETE",AE223="ADMIN_INVALID",AE223="BURDEN_NOT_FEASIBLE",AE223="UNRECOGNISED_VALUE",AE223="UNRECOGNISED_ADMIN_DISPOSITION"),"Protocol refusal to evaluate",IF(AA223&gt;0,"Stage-A non-admissible - unpatchable for stated claim",IF(AB223&gt;0,"Stage-A non-admissible - patchable",IF(OR(J223="Yes",I223="Indeterminate",AC223&gt;0),"Indeterminate - insufficient evidence",IF(AND(AH223=6,AD223=0),"Stage-A admissible - scoped",IF(AND(AH223+AD223=6,AD223&gt;0),"Stage-A admissible - scoped, control-dependent","Protocol refusal to evaluate"))))))))</f>
        <v/>
      </c>
      <c r="S223">
        <f>IF(AND(Q223="",R223=""),"",IF(AND(Q223&lt;&gt;"",R223=""),"UNRECORDED",IF(AND(Q223="",R223&lt;&gt;""),"ORPHAN_RECORDED",IF(Q223=R223,"MATCH","MISMATCH"))))</f>
        <v/>
      </c>
      <c r="AA223">
        <f>COUNTIF(K223:P223,"Material defect - unpatchable for stated claim")</f>
        <v/>
      </c>
      <c r="AB223">
        <f>COUNTIF(K223:P223,"Material defect - patchable")</f>
        <v/>
      </c>
      <c r="AC223">
        <f>COUNTIF(K223:P223,"Indeterminate")+COUNTIF(K223:P223,"Not reviewed")</f>
        <v/>
      </c>
      <c r="AD223">
        <f>COUNTIF(K223:P223,"Adequate - control-dependent")</f>
        <v/>
      </c>
      <c r="AE223">
        <f>IF(COUNTA(A223:P223)+COUNTA(AJ223)=0,"",IF(AM223&lt;&gt;"OK","UNRECOGNISED_ADMIN_DISPOSITION",IF(AND(AJ223&lt;&gt;"",AJ223&lt;&gt;"None"),IF(OR(LEN(TRIM(A223))=0,LEN(TRIM(B223))=0,LEN(TRIM(C223))=0,LEN(TRIM(F223))=0),"ADMIN_INCOMPLETE","ADMIN_DISPOSITION"),IF(OR(LEN(TRIM(A223))=0,LEN(TRIM(B223))=0,LEN(TRIM(C223))=0,LEN(TRIM(D223))=0,LEN(TRIM(E223))=0,LEN(TRIM(F223))=0,LEN(TRIM(G223))=0,LEN(TRIM(H223))=0,LEN(TRIM(I223))=0,LEN(TRIM(J223))=0,LEN(TRIM(K223))=0,LEN(TRIM(L223))=0,LEN(TRIM(M223))=0,LEN(TRIM(N223))=0,LEN(TRIM(O223))=0,LEN(TRIM(P223))=0),"ADMIN_INCOMPLETE",IF(H223&lt;&gt;"Yes","ADMIN_INVALID",IF(I223="Not feasible","BURDEN_NOT_FEASIBLE",IF(AI223&lt;&gt;"OK","UNRECOGNISED_VALUE","CLEAR")))))))</f>
        <v/>
      </c>
      <c r="AF223">
        <f>IF(AND(Q223="",R223=""),"",IF(IF(Q223&lt;&gt;"",Q223,R223)="Stage-A admissible - scoped","stage_a_admissible_scoped",IF(IF(Q223&lt;&gt;"",Q223,R223)="Stage-A admissible - scoped, control-dependent","stage_a_admissible_scoped_control_dependent",IF(IF(Q223&lt;&gt;"",Q223,R223)="Stage-A non-admissible - patchable","stage_a_non_admissible_patchable",IF(IF(Q223&lt;&gt;"",Q223,R223)="Stage-A non-admissible - unpatchable for stated claim","stage_a_non_admissible_unpatchable_for_stated_claim",IF(IF(Q223&lt;&gt;"",Q223,R223)="Indeterminate - insufficient evidence","indeterminate_insufficient_evidence",IF(IF(Q223&lt;&gt;"",Q223,R223)="Protocol refusal to evaluate","protocol_refusal_to_evaluate",IF(IF(Q223&lt;&gt;"",Q223,R223)="Out of scope","out_of_scope",IF(IF(Q223&lt;&gt;"",Q223,R223)="Withdrawn","withdrawn",IF(IF(Q223&lt;&gt;"",Q223,R223)="Not reviewed","not_reviewed","unknown_status"))))))))))</f>
        <v/>
      </c>
      <c r="AG223">
        <f>IF(AND(AF223="",T223=""),"",IF(AND(AF223&lt;&gt;"",ISNUMBER(SEARCH("token="&amp;AF223&amp;";",T223)),ISNUMBER(SEARCH(AK223,T223)),ISNUMBER(SEARCH("CL basis="&amp;AL223&amp;";",T223))),"VALID","INVALID_OR_INCOMPLETE"))</f>
        <v/>
      </c>
      <c r="AH223">
        <f>COUNTIF(K223:P223,"Adequate for scope")</f>
        <v/>
      </c>
      <c r="AI223">
        <f>IF(COUNTA(K223:P223)=0,"",IF(AA223+AB223+AC223+AD223+AH223=6,"OK","UNRECOGNISED_VALUE"))</f>
        <v/>
      </c>
      <c r="AJ223" s="303" t="n"/>
      <c r="AK223" s="303">
        <f>IF(A223="","",Vocabulary!$B$5)</f>
        <v/>
      </c>
      <c r="AL223" s="303">
        <f>IF(A223="","",Vocabulary!$B$6)</f>
        <v/>
      </c>
      <c r="AM223" s="303">
        <f>IF(AJ223="","OK",IF(COUNTIF(Vocabulary!$O$5:$O$8,AJ223)=1,"OK","UNRECOGNISED_ADMIN_DISPOSITION"))</f>
        <v/>
      </c>
    </row>
    <row r="224">
      <c r="Q224">
        <f>IF(AE224="","",IF(AE224="ADMIN_DISPOSITION",AJ224,IF(OR(AE224="ADMIN_INCOMPLETE",AE224="ADMIN_INVALID",AE224="BURDEN_NOT_FEASIBLE",AE224="UNRECOGNISED_VALUE",AE224="UNRECOGNISED_ADMIN_DISPOSITION"),"Protocol refusal to evaluate",IF(AA224&gt;0,"Stage-A non-admissible - unpatchable for stated claim",IF(AB224&gt;0,"Stage-A non-admissible - patchable",IF(OR(J224="Yes",I224="Indeterminate",AC224&gt;0),"Indeterminate - insufficient evidence",IF(AND(AH224=6,AD224=0),"Stage-A admissible - scoped",IF(AND(AH224+AD224=6,AD224&gt;0),"Stage-A admissible - scoped, control-dependent","Protocol refusal to evaluate"))))))))</f>
        <v/>
      </c>
      <c r="S224">
        <f>IF(AND(Q224="",R224=""),"",IF(AND(Q224&lt;&gt;"",R224=""),"UNRECORDED",IF(AND(Q224="",R224&lt;&gt;""),"ORPHAN_RECORDED",IF(Q224=R224,"MATCH","MISMATCH"))))</f>
        <v/>
      </c>
      <c r="AA224">
        <f>COUNTIF(K224:P224,"Material defect - unpatchable for stated claim")</f>
        <v/>
      </c>
      <c r="AB224">
        <f>COUNTIF(K224:P224,"Material defect - patchable")</f>
        <v/>
      </c>
      <c r="AC224">
        <f>COUNTIF(K224:P224,"Indeterminate")+COUNTIF(K224:P224,"Not reviewed")</f>
        <v/>
      </c>
      <c r="AD224">
        <f>COUNTIF(K224:P224,"Adequate - control-dependent")</f>
        <v/>
      </c>
      <c r="AE224">
        <f>IF(COUNTA(A224:P224)+COUNTA(AJ224)=0,"",IF(AM224&lt;&gt;"OK","UNRECOGNISED_ADMIN_DISPOSITION",IF(AND(AJ224&lt;&gt;"",AJ224&lt;&gt;"None"),IF(OR(LEN(TRIM(A224))=0,LEN(TRIM(B224))=0,LEN(TRIM(C224))=0,LEN(TRIM(F224))=0),"ADMIN_INCOMPLETE","ADMIN_DISPOSITION"),IF(OR(LEN(TRIM(A224))=0,LEN(TRIM(B224))=0,LEN(TRIM(C224))=0,LEN(TRIM(D224))=0,LEN(TRIM(E224))=0,LEN(TRIM(F224))=0,LEN(TRIM(G224))=0,LEN(TRIM(H224))=0,LEN(TRIM(I224))=0,LEN(TRIM(J224))=0,LEN(TRIM(K224))=0,LEN(TRIM(L224))=0,LEN(TRIM(M224))=0,LEN(TRIM(N224))=0,LEN(TRIM(O224))=0,LEN(TRIM(P224))=0),"ADMIN_INCOMPLETE",IF(H224&lt;&gt;"Yes","ADMIN_INVALID",IF(I224="Not feasible","BURDEN_NOT_FEASIBLE",IF(AI224&lt;&gt;"OK","UNRECOGNISED_VALUE","CLEAR")))))))</f>
        <v/>
      </c>
      <c r="AF224">
        <f>IF(AND(Q224="",R224=""),"",IF(IF(Q224&lt;&gt;"",Q224,R224)="Stage-A admissible - scoped","stage_a_admissible_scoped",IF(IF(Q224&lt;&gt;"",Q224,R224)="Stage-A admissible - scoped, control-dependent","stage_a_admissible_scoped_control_dependent",IF(IF(Q224&lt;&gt;"",Q224,R224)="Stage-A non-admissible - patchable","stage_a_non_admissible_patchable",IF(IF(Q224&lt;&gt;"",Q224,R224)="Stage-A non-admissible - unpatchable for stated claim","stage_a_non_admissible_unpatchable_for_stated_claim",IF(IF(Q224&lt;&gt;"",Q224,R224)="Indeterminate - insufficient evidence","indeterminate_insufficient_evidence",IF(IF(Q224&lt;&gt;"",Q224,R224)="Protocol refusal to evaluate","protocol_refusal_to_evaluate",IF(IF(Q224&lt;&gt;"",Q224,R224)="Out of scope","out_of_scope",IF(IF(Q224&lt;&gt;"",Q224,R224)="Withdrawn","withdrawn",IF(IF(Q224&lt;&gt;"",Q224,R224)="Not reviewed","not_reviewed","unknown_status"))))))))))</f>
        <v/>
      </c>
      <c r="AG224">
        <f>IF(AND(AF224="",T224=""),"",IF(AND(AF224&lt;&gt;"",ISNUMBER(SEARCH("token="&amp;AF224&amp;";",T224)),ISNUMBER(SEARCH(AK224,T224)),ISNUMBER(SEARCH("CL basis="&amp;AL224&amp;";",T224))),"VALID","INVALID_OR_INCOMPLETE"))</f>
        <v/>
      </c>
      <c r="AH224">
        <f>COUNTIF(K224:P224,"Adequate for scope")</f>
        <v/>
      </c>
      <c r="AI224">
        <f>IF(COUNTA(K224:P224)=0,"",IF(AA224+AB224+AC224+AD224+AH224=6,"OK","UNRECOGNISED_VALUE"))</f>
        <v/>
      </c>
      <c r="AJ224" s="303" t="n"/>
      <c r="AK224" s="303">
        <f>IF(A224="","",Vocabulary!$B$5)</f>
        <v/>
      </c>
      <c r="AL224" s="303">
        <f>IF(A224="","",Vocabulary!$B$6)</f>
        <v/>
      </c>
      <c r="AM224" s="303">
        <f>IF(AJ224="","OK",IF(COUNTIF(Vocabulary!$O$5:$O$8,AJ224)=1,"OK","UNRECOGNISED_ADMIN_DISPOSITION"))</f>
        <v/>
      </c>
    </row>
    <row r="225">
      <c r="Q225">
        <f>IF(AE225="","",IF(AE225="ADMIN_DISPOSITION",AJ225,IF(OR(AE225="ADMIN_INCOMPLETE",AE225="ADMIN_INVALID",AE225="BURDEN_NOT_FEASIBLE",AE225="UNRECOGNISED_VALUE",AE225="UNRECOGNISED_ADMIN_DISPOSITION"),"Protocol refusal to evaluate",IF(AA225&gt;0,"Stage-A non-admissible - unpatchable for stated claim",IF(AB225&gt;0,"Stage-A non-admissible - patchable",IF(OR(J225="Yes",I225="Indeterminate",AC225&gt;0),"Indeterminate - insufficient evidence",IF(AND(AH225=6,AD225=0),"Stage-A admissible - scoped",IF(AND(AH225+AD225=6,AD225&gt;0),"Stage-A admissible - scoped, control-dependent","Protocol refusal to evaluate"))))))))</f>
        <v/>
      </c>
      <c r="S225">
        <f>IF(AND(Q225="",R225=""),"",IF(AND(Q225&lt;&gt;"",R225=""),"UNRECORDED",IF(AND(Q225="",R225&lt;&gt;""),"ORPHAN_RECORDED",IF(Q225=R225,"MATCH","MISMATCH"))))</f>
        <v/>
      </c>
      <c r="AA225">
        <f>COUNTIF(K225:P225,"Material defect - unpatchable for stated claim")</f>
        <v/>
      </c>
      <c r="AB225">
        <f>COUNTIF(K225:P225,"Material defect - patchable")</f>
        <v/>
      </c>
      <c r="AC225">
        <f>COUNTIF(K225:P225,"Indeterminate")+COUNTIF(K225:P225,"Not reviewed")</f>
        <v/>
      </c>
      <c r="AD225">
        <f>COUNTIF(K225:P225,"Adequate - control-dependent")</f>
        <v/>
      </c>
      <c r="AE225">
        <f>IF(COUNTA(A225:P225)+COUNTA(AJ225)=0,"",IF(AM225&lt;&gt;"OK","UNRECOGNISED_ADMIN_DISPOSITION",IF(AND(AJ225&lt;&gt;"",AJ225&lt;&gt;"None"),IF(OR(LEN(TRIM(A225))=0,LEN(TRIM(B225))=0,LEN(TRIM(C225))=0,LEN(TRIM(F225))=0),"ADMIN_INCOMPLETE","ADMIN_DISPOSITION"),IF(OR(LEN(TRIM(A225))=0,LEN(TRIM(B225))=0,LEN(TRIM(C225))=0,LEN(TRIM(D225))=0,LEN(TRIM(E225))=0,LEN(TRIM(F225))=0,LEN(TRIM(G225))=0,LEN(TRIM(H225))=0,LEN(TRIM(I225))=0,LEN(TRIM(J225))=0,LEN(TRIM(K225))=0,LEN(TRIM(L225))=0,LEN(TRIM(M225))=0,LEN(TRIM(N225))=0,LEN(TRIM(O225))=0,LEN(TRIM(P225))=0),"ADMIN_INCOMPLETE",IF(H225&lt;&gt;"Yes","ADMIN_INVALID",IF(I225="Not feasible","BURDEN_NOT_FEASIBLE",IF(AI225&lt;&gt;"OK","UNRECOGNISED_VALUE","CLEAR")))))))</f>
        <v/>
      </c>
      <c r="AF225">
        <f>IF(AND(Q225="",R225=""),"",IF(IF(Q225&lt;&gt;"",Q225,R225)="Stage-A admissible - scoped","stage_a_admissible_scoped",IF(IF(Q225&lt;&gt;"",Q225,R225)="Stage-A admissible - scoped, control-dependent","stage_a_admissible_scoped_control_dependent",IF(IF(Q225&lt;&gt;"",Q225,R225)="Stage-A non-admissible - patchable","stage_a_non_admissible_patchable",IF(IF(Q225&lt;&gt;"",Q225,R225)="Stage-A non-admissible - unpatchable for stated claim","stage_a_non_admissible_unpatchable_for_stated_claim",IF(IF(Q225&lt;&gt;"",Q225,R225)="Indeterminate - insufficient evidence","indeterminate_insufficient_evidence",IF(IF(Q225&lt;&gt;"",Q225,R225)="Protocol refusal to evaluate","protocol_refusal_to_evaluate",IF(IF(Q225&lt;&gt;"",Q225,R225)="Out of scope","out_of_scope",IF(IF(Q225&lt;&gt;"",Q225,R225)="Withdrawn","withdrawn",IF(IF(Q225&lt;&gt;"",Q225,R225)="Not reviewed","not_reviewed","unknown_status"))))))))))</f>
        <v/>
      </c>
      <c r="AG225">
        <f>IF(AND(AF225="",T225=""),"",IF(AND(AF225&lt;&gt;"",ISNUMBER(SEARCH("token="&amp;AF225&amp;";",T225)),ISNUMBER(SEARCH(AK225,T225)),ISNUMBER(SEARCH("CL basis="&amp;AL225&amp;";",T225))),"VALID","INVALID_OR_INCOMPLETE"))</f>
        <v/>
      </c>
      <c r="AH225">
        <f>COUNTIF(K225:P225,"Adequate for scope")</f>
        <v/>
      </c>
      <c r="AI225">
        <f>IF(COUNTA(K225:P225)=0,"",IF(AA225+AB225+AC225+AD225+AH225=6,"OK","UNRECOGNISED_VALUE"))</f>
        <v/>
      </c>
      <c r="AJ225" s="303" t="n"/>
      <c r="AK225" s="303">
        <f>IF(A225="","",Vocabulary!$B$5)</f>
        <v/>
      </c>
      <c r="AL225" s="303">
        <f>IF(A225="","",Vocabulary!$B$6)</f>
        <v/>
      </c>
      <c r="AM225" s="303">
        <f>IF(AJ225="","OK",IF(COUNTIF(Vocabulary!$O$5:$O$8,AJ225)=1,"OK","UNRECOGNISED_ADMIN_DISPOSITION"))</f>
        <v/>
      </c>
    </row>
    <row r="226">
      <c r="Q226">
        <f>IF(AE226="","",IF(AE226="ADMIN_DISPOSITION",AJ226,IF(OR(AE226="ADMIN_INCOMPLETE",AE226="ADMIN_INVALID",AE226="BURDEN_NOT_FEASIBLE",AE226="UNRECOGNISED_VALUE",AE226="UNRECOGNISED_ADMIN_DISPOSITION"),"Protocol refusal to evaluate",IF(AA226&gt;0,"Stage-A non-admissible - unpatchable for stated claim",IF(AB226&gt;0,"Stage-A non-admissible - patchable",IF(OR(J226="Yes",I226="Indeterminate",AC226&gt;0),"Indeterminate - insufficient evidence",IF(AND(AH226=6,AD226=0),"Stage-A admissible - scoped",IF(AND(AH226+AD226=6,AD226&gt;0),"Stage-A admissible - scoped, control-dependent","Protocol refusal to evaluate"))))))))</f>
        <v/>
      </c>
      <c r="S226">
        <f>IF(AND(Q226="",R226=""),"",IF(AND(Q226&lt;&gt;"",R226=""),"UNRECORDED",IF(AND(Q226="",R226&lt;&gt;""),"ORPHAN_RECORDED",IF(Q226=R226,"MATCH","MISMATCH"))))</f>
        <v/>
      </c>
      <c r="AA226">
        <f>COUNTIF(K226:P226,"Material defect - unpatchable for stated claim")</f>
        <v/>
      </c>
      <c r="AB226">
        <f>COUNTIF(K226:P226,"Material defect - patchable")</f>
        <v/>
      </c>
      <c r="AC226">
        <f>COUNTIF(K226:P226,"Indeterminate")+COUNTIF(K226:P226,"Not reviewed")</f>
        <v/>
      </c>
      <c r="AD226">
        <f>COUNTIF(K226:P226,"Adequate - control-dependent")</f>
        <v/>
      </c>
      <c r="AE226">
        <f>IF(COUNTA(A226:P226)+COUNTA(AJ226)=0,"",IF(AM226&lt;&gt;"OK","UNRECOGNISED_ADMIN_DISPOSITION",IF(AND(AJ226&lt;&gt;"",AJ226&lt;&gt;"None"),IF(OR(LEN(TRIM(A226))=0,LEN(TRIM(B226))=0,LEN(TRIM(C226))=0,LEN(TRIM(F226))=0),"ADMIN_INCOMPLETE","ADMIN_DISPOSITION"),IF(OR(LEN(TRIM(A226))=0,LEN(TRIM(B226))=0,LEN(TRIM(C226))=0,LEN(TRIM(D226))=0,LEN(TRIM(E226))=0,LEN(TRIM(F226))=0,LEN(TRIM(G226))=0,LEN(TRIM(H226))=0,LEN(TRIM(I226))=0,LEN(TRIM(J226))=0,LEN(TRIM(K226))=0,LEN(TRIM(L226))=0,LEN(TRIM(M226))=0,LEN(TRIM(N226))=0,LEN(TRIM(O226))=0,LEN(TRIM(P226))=0),"ADMIN_INCOMPLETE",IF(H226&lt;&gt;"Yes","ADMIN_INVALID",IF(I226="Not feasible","BURDEN_NOT_FEASIBLE",IF(AI226&lt;&gt;"OK","UNRECOGNISED_VALUE","CLEAR")))))))</f>
        <v/>
      </c>
      <c r="AF226">
        <f>IF(AND(Q226="",R226=""),"",IF(IF(Q226&lt;&gt;"",Q226,R226)="Stage-A admissible - scoped","stage_a_admissible_scoped",IF(IF(Q226&lt;&gt;"",Q226,R226)="Stage-A admissible - scoped, control-dependent","stage_a_admissible_scoped_control_dependent",IF(IF(Q226&lt;&gt;"",Q226,R226)="Stage-A non-admissible - patchable","stage_a_non_admissible_patchable",IF(IF(Q226&lt;&gt;"",Q226,R226)="Stage-A non-admissible - unpatchable for stated claim","stage_a_non_admissible_unpatchable_for_stated_claim",IF(IF(Q226&lt;&gt;"",Q226,R226)="Indeterminate - insufficient evidence","indeterminate_insufficient_evidence",IF(IF(Q226&lt;&gt;"",Q226,R226)="Protocol refusal to evaluate","protocol_refusal_to_evaluate",IF(IF(Q226&lt;&gt;"",Q226,R226)="Out of scope","out_of_scope",IF(IF(Q226&lt;&gt;"",Q226,R226)="Withdrawn","withdrawn",IF(IF(Q226&lt;&gt;"",Q226,R226)="Not reviewed","not_reviewed","unknown_status"))))))))))</f>
        <v/>
      </c>
      <c r="AG226">
        <f>IF(AND(AF226="",T226=""),"",IF(AND(AF226&lt;&gt;"",ISNUMBER(SEARCH("token="&amp;AF226&amp;";",T226)),ISNUMBER(SEARCH(AK226,T226)),ISNUMBER(SEARCH("CL basis="&amp;AL226&amp;";",T226))),"VALID","INVALID_OR_INCOMPLETE"))</f>
        <v/>
      </c>
      <c r="AH226">
        <f>COUNTIF(K226:P226,"Adequate for scope")</f>
        <v/>
      </c>
      <c r="AI226">
        <f>IF(COUNTA(K226:P226)=0,"",IF(AA226+AB226+AC226+AD226+AH226=6,"OK","UNRECOGNISED_VALUE"))</f>
        <v/>
      </c>
      <c r="AJ226" s="303" t="n"/>
      <c r="AK226" s="303">
        <f>IF(A226="","",Vocabulary!$B$5)</f>
        <v/>
      </c>
      <c r="AL226" s="303">
        <f>IF(A226="","",Vocabulary!$B$6)</f>
        <v/>
      </c>
      <c r="AM226" s="303">
        <f>IF(AJ226="","OK",IF(COUNTIF(Vocabulary!$O$5:$O$8,AJ226)=1,"OK","UNRECOGNISED_ADMIN_DISPOSITION"))</f>
        <v/>
      </c>
    </row>
    <row r="227">
      <c r="Q227">
        <f>IF(AE227="","",IF(AE227="ADMIN_DISPOSITION",AJ227,IF(OR(AE227="ADMIN_INCOMPLETE",AE227="ADMIN_INVALID",AE227="BURDEN_NOT_FEASIBLE",AE227="UNRECOGNISED_VALUE",AE227="UNRECOGNISED_ADMIN_DISPOSITION"),"Protocol refusal to evaluate",IF(AA227&gt;0,"Stage-A non-admissible - unpatchable for stated claim",IF(AB227&gt;0,"Stage-A non-admissible - patchable",IF(OR(J227="Yes",I227="Indeterminate",AC227&gt;0),"Indeterminate - insufficient evidence",IF(AND(AH227=6,AD227=0),"Stage-A admissible - scoped",IF(AND(AH227+AD227=6,AD227&gt;0),"Stage-A admissible - scoped, control-dependent","Protocol refusal to evaluate"))))))))</f>
        <v/>
      </c>
      <c r="S227">
        <f>IF(AND(Q227="",R227=""),"",IF(AND(Q227&lt;&gt;"",R227=""),"UNRECORDED",IF(AND(Q227="",R227&lt;&gt;""),"ORPHAN_RECORDED",IF(Q227=R227,"MATCH","MISMATCH"))))</f>
        <v/>
      </c>
      <c r="AA227">
        <f>COUNTIF(K227:P227,"Material defect - unpatchable for stated claim")</f>
        <v/>
      </c>
      <c r="AB227">
        <f>COUNTIF(K227:P227,"Material defect - patchable")</f>
        <v/>
      </c>
      <c r="AC227">
        <f>COUNTIF(K227:P227,"Indeterminate")+COUNTIF(K227:P227,"Not reviewed")</f>
        <v/>
      </c>
      <c r="AD227">
        <f>COUNTIF(K227:P227,"Adequate - control-dependent")</f>
        <v/>
      </c>
      <c r="AE227">
        <f>IF(COUNTA(A227:P227)+COUNTA(AJ227)=0,"",IF(AM227&lt;&gt;"OK","UNRECOGNISED_ADMIN_DISPOSITION",IF(AND(AJ227&lt;&gt;"",AJ227&lt;&gt;"None"),IF(OR(LEN(TRIM(A227))=0,LEN(TRIM(B227))=0,LEN(TRIM(C227))=0,LEN(TRIM(F227))=0),"ADMIN_INCOMPLETE","ADMIN_DISPOSITION"),IF(OR(LEN(TRIM(A227))=0,LEN(TRIM(B227))=0,LEN(TRIM(C227))=0,LEN(TRIM(D227))=0,LEN(TRIM(E227))=0,LEN(TRIM(F227))=0,LEN(TRIM(G227))=0,LEN(TRIM(H227))=0,LEN(TRIM(I227))=0,LEN(TRIM(J227))=0,LEN(TRIM(K227))=0,LEN(TRIM(L227))=0,LEN(TRIM(M227))=0,LEN(TRIM(N227))=0,LEN(TRIM(O227))=0,LEN(TRIM(P227))=0),"ADMIN_INCOMPLETE",IF(H227&lt;&gt;"Yes","ADMIN_INVALID",IF(I227="Not feasible","BURDEN_NOT_FEASIBLE",IF(AI227&lt;&gt;"OK","UNRECOGNISED_VALUE","CLEAR")))))))</f>
        <v/>
      </c>
      <c r="AF227">
        <f>IF(AND(Q227="",R227=""),"",IF(IF(Q227&lt;&gt;"",Q227,R227)="Stage-A admissible - scoped","stage_a_admissible_scoped",IF(IF(Q227&lt;&gt;"",Q227,R227)="Stage-A admissible - scoped, control-dependent","stage_a_admissible_scoped_control_dependent",IF(IF(Q227&lt;&gt;"",Q227,R227)="Stage-A non-admissible - patchable","stage_a_non_admissible_patchable",IF(IF(Q227&lt;&gt;"",Q227,R227)="Stage-A non-admissible - unpatchable for stated claim","stage_a_non_admissible_unpatchable_for_stated_claim",IF(IF(Q227&lt;&gt;"",Q227,R227)="Indeterminate - insufficient evidence","indeterminate_insufficient_evidence",IF(IF(Q227&lt;&gt;"",Q227,R227)="Protocol refusal to evaluate","protocol_refusal_to_evaluate",IF(IF(Q227&lt;&gt;"",Q227,R227)="Out of scope","out_of_scope",IF(IF(Q227&lt;&gt;"",Q227,R227)="Withdrawn","withdrawn",IF(IF(Q227&lt;&gt;"",Q227,R227)="Not reviewed","not_reviewed","unknown_status"))))))))))</f>
        <v/>
      </c>
      <c r="AG227">
        <f>IF(AND(AF227="",T227=""),"",IF(AND(AF227&lt;&gt;"",ISNUMBER(SEARCH("token="&amp;AF227&amp;";",T227)),ISNUMBER(SEARCH(AK227,T227)),ISNUMBER(SEARCH("CL basis="&amp;AL227&amp;";",T227))),"VALID","INVALID_OR_INCOMPLETE"))</f>
        <v/>
      </c>
      <c r="AH227">
        <f>COUNTIF(K227:P227,"Adequate for scope")</f>
        <v/>
      </c>
      <c r="AI227">
        <f>IF(COUNTA(K227:P227)=0,"",IF(AA227+AB227+AC227+AD227+AH227=6,"OK","UNRECOGNISED_VALUE"))</f>
        <v/>
      </c>
      <c r="AJ227" s="303" t="n"/>
      <c r="AK227" s="303">
        <f>IF(A227="","",Vocabulary!$B$5)</f>
        <v/>
      </c>
      <c r="AL227" s="303">
        <f>IF(A227="","",Vocabulary!$B$6)</f>
        <v/>
      </c>
      <c r="AM227" s="303">
        <f>IF(AJ227="","OK",IF(COUNTIF(Vocabulary!$O$5:$O$8,AJ227)=1,"OK","UNRECOGNISED_ADMIN_DISPOSITION"))</f>
        <v/>
      </c>
    </row>
    <row r="228">
      <c r="Q228">
        <f>IF(AE228="","",IF(AE228="ADMIN_DISPOSITION",AJ228,IF(OR(AE228="ADMIN_INCOMPLETE",AE228="ADMIN_INVALID",AE228="BURDEN_NOT_FEASIBLE",AE228="UNRECOGNISED_VALUE",AE228="UNRECOGNISED_ADMIN_DISPOSITION"),"Protocol refusal to evaluate",IF(AA228&gt;0,"Stage-A non-admissible - unpatchable for stated claim",IF(AB228&gt;0,"Stage-A non-admissible - patchable",IF(OR(J228="Yes",I228="Indeterminate",AC228&gt;0),"Indeterminate - insufficient evidence",IF(AND(AH228=6,AD228=0),"Stage-A admissible - scoped",IF(AND(AH228+AD228=6,AD228&gt;0),"Stage-A admissible - scoped, control-dependent","Protocol refusal to evaluate"))))))))</f>
        <v/>
      </c>
      <c r="S228">
        <f>IF(AND(Q228="",R228=""),"",IF(AND(Q228&lt;&gt;"",R228=""),"UNRECORDED",IF(AND(Q228="",R228&lt;&gt;""),"ORPHAN_RECORDED",IF(Q228=R228,"MATCH","MISMATCH"))))</f>
        <v/>
      </c>
      <c r="AA228">
        <f>COUNTIF(K228:P228,"Material defect - unpatchable for stated claim")</f>
        <v/>
      </c>
      <c r="AB228">
        <f>COUNTIF(K228:P228,"Material defect - patchable")</f>
        <v/>
      </c>
      <c r="AC228">
        <f>COUNTIF(K228:P228,"Indeterminate")+COUNTIF(K228:P228,"Not reviewed")</f>
        <v/>
      </c>
      <c r="AD228">
        <f>COUNTIF(K228:P228,"Adequate - control-dependent")</f>
        <v/>
      </c>
      <c r="AE228">
        <f>IF(COUNTA(A228:P228)+COUNTA(AJ228)=0,"",IF(AM228&lt;&gt;"OK","UNRECOGNISED_ADMIN_DISPOSITION",IF(AND(AJ228&lt;&gt;"",AJ228&lt;&gt;"None"),IF(OR(LEN(TRIM(A228))=0,LEN(TRIM(B228))=0,LEN(TRIM(C228))=0,LEN(TRIM(F228))=0),"ADMIN_INCOMPLETE","ADMIN_DISPOSITION"),IF(OR(LEN(TRIM(A228))=0,LEN(TRIM(B228))=0,LEN(TRIM(C228))=0,LEN(TRIM(D228))=0,LEN(TRIM(E228))=0,LEN(TRIM(F228))=0,LEN(TRIM(G228))=0,LEN(TRIM(H228))=0,LEN(TRIM(I228))=0,LEN(TRIM(J228))=0,LEN(TRIM(K228))=0,LEN(TRIM(L228))=0,LEN(TRIM(M228))=0,LEN(TRIM(N228))=0,LEN(TRIM(O228))=0,LEN(TRIM(P228))=0),"ADMIN_INCOMPLETE",IF(H228&lt;&gt;"Yes","ADMIN_INVALID",IF(I228="Not feasible","BURDEN_NOT_FEASIBLE",IF(AI228&lt;&gt;"OK","UNRECOGNISED_VALUE","CLEAR")))))))</f>
        <v/>
      </c>
      <c r="AF228">
        <f>IF(AND(Q228="",R228=""),"",IF(IF(Q228&lt;&gt;"",Q228,R228)="Stage-A admissible - scoped","stage_a_admissible_scoped",IF(IF(Q228&lt;&gt;"",Q228,R228)="Stage-A admissible - scoped, control-dependent","stage_a_admissible_scoped_control_dependent",IF(IF(Q228&lt;&gt;"",Q228,R228)="Stage-A non-admissible - patchable","stage_a_non_admissible_patchable",IF(IF(Q228&lt;&gt;"",Q228,R228)="Stage-A non-admissible - unpatchable for stated claim","stage_a_non_admissible_unpatchable_for_stated_claim",IF(IF(Q228&lt;&gt;"",Q228,R228)="Indeterminate - insufficient evidence","indeterminate_insufficient_evidence",IF(IF(Q228&lt;&gt;"",Q228,R228)="Protocol refusal to evaluate","protocol_refusal_to_evaluate",IF(IF(Q228&lt;&gt;"",Q228,R228)="Out of scope","out_of_scope",IF(IF(Q228&lt;&gt;"",Q228,R228)="Withdrawn","withdrawn",IF(IF(Q228&lt;&gt;"",Q228,R228)="Not reviewed","not_reviewed","unknown_status"))))))))))</f>
        <v/>
      </c>
      <c r="AG228">
        <f>IF(AND(AF228="",T228=""),"",IF(AND(AF228&lt;&gt;"",ISNUMBER(SEARCH("token="&amp;AF228&amp;";",T228)),ISNUMBER(SEARCH(AK228,T228)),ISNUMBER(SEARCH("CL basis="&amp;AL228&amp;";",T228))),"VALID","INVALID_OR_INCOMPLETE"))</f>
        <v/>
      </c>
      <c r="AH228">
        <f>COUNTIF(K228:P228,"Adequate for scope")</f>
        <v/>
      </c>
      <c r="AI228">
        <f>IF(COUNTA(K228:P228)=0,"",IF(AA228+AB228+AC228+AD228+AH228=6,"OK","UNRECOGNISED_VALUE"))</f>
        <v/>
      </c>
      <c r="AJ228" s="303" t="n"/>
      <c r="AK228" s="303">
        <f>IF(A228="","",Vocabulary!$B$5)</f>
        <v/>
      </c>
      <c r="AL228" s="303">
        <f>IF(A228="","",Vocabulary!$B$6)</f>
        <v/>
      </c>
      <c r="AM228" s="303">
        <f>IF(AJ228="","OK",IF(COUNTIF(Vocabulary!$O$5:$O$8,AJ228)=1,"OK","UNRECOGNISED_ADMIN_DISPOSITION"))</f>
        <v/>
      </c>
    </row>
    <row r="229">
      <c r="Q229">
        <f>IF(AE229="","",IF(AE229="ADMIN_DISPOSITION",AJ229,IF(OR(AE229="ADMIN_INCOMPLETE",AE229="ADMIN_INVALID",AE229="BURDEN_NOT_FEASIBLE",AE229="UNRECOGNISED_VALUE",AE229="UNRECOGNISED_ADMIN_DISPOSITION"),"Protocol refusal to evaluate",IF(AA229&gt;0,"Stage-A non-admissible - unpatchable for stated claim",IF(AB229&gt;0,"Stage-A non-admissible - patchable",IF(OR(J229="Yes",I229="Indeterminate",AC229&gt;0),"Indeterminate - insufficient evidence",IF(AND(AH229=6,AD229=0),"Stage-A admissible - scoped",IF(AND(AH229+AD229=6,AD229&gt;0),"Stage-A admissible - scoped, control-dependent","Protocol refusal to evaluate"))))))))</f>
        <v/>
      </c>
      <c r="S229">
        <f>IF(AND(Q229="",R229=""),"",IF(AND(Q229&lt;&gt;"",R229=""),"UNRECORDED",IF(AND(Q229="",R229&lt;&gt;""),"ORPHAN_RECORDED",IF(Q229=R229,"MATCH","MISMATCH"))))</f>
        <v/>
      </c>
      <c r="AA229">
        <f>COUNTIF(K229:P229,"Material defect - unpatchable for stated claim")</f>
        <v/>
      </c>
      <c r="AB229">
        <f>COUNTIF(K229:P229,"Material defect - patchable")</f>
        <v/>
      </c>
      <c r="AC229">
        <f>COUNTIF(K229:P229,"Indeterminate")+COUNTIF(K229:P229,"Not reviewed")</f>
        <v/>
      </c>
      <c r="AD229">
        <f>COUNTIF(K229:P229,"Adequate - control-dependent")</f>
        <v/>
      </c>
      <c r="AE229">
        <f>IF(COUNTA(A229:P229)+COUNTA(AJ229)=0,"",IF(AM229&lt;&gt;"OK","UNRECOGNISED_ADMIN_DISPOSITION",IF(AND(AJ229&lt;&gt;"",AJ229&lt;&gt;"None"),IF(OR(LEN(TRIM(A229))=0,LEN(TRIM(B229))=0,LEN(TRIM(C229))=0,LEN(TRIM(F229))=0),"ADMIN_INCOMPLETE","ADMIN_DISPOSITION"),IF(OR(LEN(TRIM(A229))=0,LEN(TRIM(B229))=0,LEN(TRIM(C229))=0,LEN(TRIM(D229))=0,LEN(TRIM(E229))=0,LEN(TRIM(F229))=0,LEN(TRIM(G229))=0,LEN(TRIM(H229))=0,LEN(TRIM(I229))=0,LEN(TRIM(J229))=0,LEN(TRIM(K229))=0,LEN(TRIM(L229))=0,LEN(TRIM(M229))=0,LEN(TRIM(N229))=0,LEN(TRIM(O229))=0,LEN(TRIM(P229))=0),"ADMIN_INCOMPLETE",IF(H229&lt;&gt;"Yes","ADMIN_INVALID",IF(I229="Not feasible","BURDEN_NOT_FEASIBLE",IF(AI229&lt;&gt;"OK","UNRECOGNISED_VALUE","CLEAR")))))))</f>
        <v/>
      </c>
      <c r="AF229">
        <f>IF(AND(Q229="",R229=""),"",IF(IF(Q229&lt;&gt;"",Q229,R229)="Stage-A admissible - scoped","stage_a_admissible_scoped",IF(IF(Q229&lt;&gt;"",Q229,R229)="Stage-A admissible - scoped, control-dependent","stage_a_admissible_scoped_control_dependent",IF(IF(Q229&lt;&gt;"",Q229,R229)="Stage-A non-admissible - patchable","stage_a_non_admissible_patchable",IF(IF(Q229&lt;&gt;"",Q229,R229)="Stage-A non-admissible - unpatchable for stated claim","stage_a_non_admissible_unpatchable_for_stated_claim",IF(IF(Q229&lt;&gt;"",Q229,R229)="Indeterminate - insufficient evidence","indeterminate_insufficient_evidence",IF(IF(Q229&lt;&gt;"",Q229,R229)="Protocol refusal to evaluate","protocol_refusal_to_evaluate",IF(IF(Q229&lt;&gt;"",Q229,R229)="Out of scope","out_of_scope",IF(IF(Q229&lt;&gt;"",Q229,R229)="Withdrawn","withdrawn",IF(IF(Q229&lt;&gt;"",Q229,R229)="Not reviewed","not_reviewed","unknown_status"))))))))))</f>
        <v/>
      </c>
      <c r="AG229">
        <f>IF(AND(AF229="",T229=""),"",IF(AND(AF229&lt;&gt;"",ISNUMBER(SEARCH("token="&amp;AF229&amp;";",T229)),ISNUMBER(SEARCH(AK229,T229)),ISNUMBER(SEARCH("CL basis="&amp;AL229&amp;";",T229))),"VALID","INVALID_OR_INCOMPLETE"))</f>
        <v/>
      </c>
      <c r="AH229">
        <f>COUNTIF(K229:P229,"Adequate for scope")</f>
        <v/>
      </c>
      <c r="AI229">
        <f>IF(COUNTA(K229:P229)=0,"",IF(AA229+AB229+AC229+AD229+AH229=6,"OK","UNRECOGNISED_VALUE"))</f>
        <v/>
      </c>
      <c r="AJ229" s="303" t="n"/>
      <c r="AK229" s="303">
        <f>IF(A229="","",Vocabulary!$B$5)</f>
        <v/>
      </c>
      <c r="AL229" s="303">
        <f>IF(A229="","",Vocabulary!$B$6)</f>
        <v/>
      </c>
      <c r="AM229" s="303">
        <f>IF(AJ229="","OK",IF(COUNTIF(Vocabulary!$O$5:$O$8,AJ229)=1,"OK","UNRECOGNISED_ADMIN_DISPOSITION"))</f>
        <v/>
      </c>
    </row>
    <row r="230">
      <c r="Q230">
        <f>IF(AE230="","",IF(AE230="ADMIN_DISPOSITION",AJ230,IF(OR(AE230="ADMIN_INCOMPLETE",AE230="ADMIN_INVALID",AE230="BURDEN_NOT_FEASIBLE",AE230="UNRECOGNISED_VALUE",AE230="UNRECOGNISED_ADMIN_DISPOSITION"),"Protocol refusal to evaluate",IF(AA230&gt;0,"Stage-A non-admissible - unpatchable for stated claim",IF(AB230&gt;0,"Stage-A non-admissible - patchable",IF(OR(J230="Yes",I230="Indeterminate",AC230&gt;0),"Indeterminate - insufficient evidence",IF(AND(AH230=6,AD230=0),"Stage-A admissible - scoped",IF(AND(AH230+AD230=6,AD230&gt;0),"Stage-A admissible - scoped, control-dependent","Protocol refusal to evaluate"))))))))</f>
        <v/>
      </c>
      <c r="S230">
        <f>IF(AND(Q230="",R230=""),"",IF(AND(Q230&lt;&gt;"",R230=""),"UNRECORDED",IF(AND(Q230="",R230&lt;&gt;""),"ORPHAN_RECORDED",IF(Q230=R230,"MATCH","MISMATCH"))))</f>
        <v/>
      </c>
      <c r="AA230">
        <f>COUNTIF(K230:P230,"Material defect - unpatchable for stated claim")</f>
        <v/>
      </c>
      <c r="AB230">
        <f>COUNTIF(K230:P230,"Material defect - patchable")</f>
        <v/>
      </c>
      <c r="AC230">
        <f>COUNTIF(K230:P230,"Indeterminate")+COUNTIF(K230:P230,"Not reviewed")</f>
        <v/>
      </c>
      <c r="AD230">
        <f>COUNTIF(K230:P230,"Adequate - control-dependent")</f>
        <v/>
      </c>
      <c r="AE230">
        <f>IF(COUNTA(A230:P230)+COUNTA(AJ230)=0,"",IF(AM230&lt;&gt;"OK","UNRECOGNISED_ADMIN_DISPOSITION",IF(AND(AJ230&lt;&gt;"",AJ230&lt;&gt;"None"),IF(OR(LEN(TRIM(A230))=0,LEN(TRIM(B230))=0,LEN(TRIM(C230))=0,LEN(TRIM(F230))=0),"ADMIN_INCOMPLETE","ADMIN_DISPOSITION"),IF(OR(LEN(TRIM(A230))=0,LEN(TRIM(B230))=0,LEN(TRIM(C230))=0,LEN(TRIM(D230))=0,LEN(TRIM(E230))=0,LEN(TRIM(F230))=0,LEN(TRIM(G230))=0,LEN(TRIM(H230))=0,LEN(TRIM(I230))=0,LEN(TRIM(J230))=0,LEN(TRIM(K230))=0,LEN(TRIM(L230))=0,LEN(TRIM(M230))=0,LEN(TRIM(N230))=0,LEN(TRIM(O230))=0,LEN(TRIM(P230))=0),"ADMIN_INCOMPLETE",IF(H230&lt;&gt;"Yes","ADMIN_INVALID",IF(I230="Not feasible","BURDEN_NOT_FEASIBLE",IF(AI230&lt;&gt;"OK","UNRECOGNISED_VALUE","CLEAR")))))))</f>
        <v/>
      </c>
      <c r="AF230">
        <f>IF(AND(Q230="",R230=""),"",IF(IF(Q230&lt;&gt;"",Q230,R230)="Stage-A admissible - scoped","stage_a_admissible_scoped",IF(IF(Q230&lt;&gt;"",Q230,R230)="Stage-A admissible - scoped, control-dependent","stage_a_admissible_scoped_control_dependent",IF(IF(Q230&lt;&gt;"",Q230,R230)="Stage-A non-admissible - patchable","stage_a_non_admissible_patchable",IF(IF(Q230&lt;&gt;"",Q230,R230)="Stage-A non-admissible - unpatchable for stated claim","stage_a_non_admissible_unpatchable_for_stated_claim",IF(IF(Q230&lt;&gt;"",Q230,R230)="Indeterminate - insufficient evidence","indeterminate_insufficient_evidence",IF(IF(Q230&lt;&gt;"",Q230,R230)="Protocol refusal to evaluate","protocol_refusal_to_evaluate",IF(IF(Q230&lt;&gt;"",Q230,R230)="Out of scope","out_of_scope",IF(IF(Q230&lt;&gt;"",Q230,R230)="Withdrawn","withdrawn",IF(IF(Q230&lt;&gt;"",Q230,R230)="Not reviewed","not_reviewed","unknown_status"))))))))))</f>
        <v/>
      </c>
      <c r="AG230">
        <f>IF(AND(AF230="",T230=""),"",IF(AND(AF230&lt;&gt;"",ISNUMBER(SEARCH("token="&amp;AF230&amp;";",T230)),ISNUMBER(SEARCH(AK230,T230)),ISNUMBER(SEARCH("CL basis="&amp;AL230&amp;";",T230))),"VALID","INVALID_OR_INCOMPLETE"))</f>
        <v/>
      </c>
      <c r="AH230">
        <f>COUNTIF(K230:P230,"Adequate for scope")</f>
        <v/>
      </c>
      <c r="AI230">
        <f>IF(COUNTA(K230:P230)=0,"",IF(AA230+AB230+AC230+AD230+AH230=6,"OK","UNRECOGNISED_VALUE"))</f>
        <v/>
      </c>
      <c r="AJ230" s="303" t="n"/>
      <c r="AK230" s="303">
        <f>IF(A230="","",Vocabulary!$B$5)</f>
        <v/>
      </c>
      <c r="AL230" s="303">
        <f>IF(A230="","",Vocabulary!$B$6)</f>
        <v/>
      </c>
      <c r="AM230" s="303">
        <f>IF(AJ230="","OK",IF(COUNTIF(Vocabulary!$O$5:$O$8,AJ230)=1,"OK","UNRECOGNISED_ADMIN_DISPOSITION"))</f>
        <v/>
      </c>
    </row>
    <row r="231">
      <c r="Q231">
        <f>IF(AE231="","",IF(AE231="ADMIN_DISPOSITION",AJ231,IF(OR(AE231="ADMIN_INCOMPLETE",AE231="ADMIN_INVALID",AE231="BURDEN_NOT_FEASIBLE",AE231="UNRECOGNISED_VALUE",AE231="UNRECOGNISED_ADMIN_DISPOSITION"),"Protocol refusal to evaluate",IF(AA231&gt;0,"Stage-A non-admissible - unpatchable for stated claim",IF(AB231&gt;0,"Stage-A non-admissible - patchable",IF(OR(J231="Yes",I231="Indeterminate",AC231&gt;0),"Indeterminate - insufficient evidence",IF(AND(AH231=6,AD231=0),"Stage-A admissible - scoped",IF(AND(AH231+AD231=6,AD231&gt;0),"Stage-A admissible - scoped, control-dependent","Protocol refusal to evaluate"))))))))</f>
        <v/>
      </c>
      <c r="S231">
        <f>IF(AND(Q231="",R231=""),"",IF(AND(Q231&lt;&gt;"",R231=""),"UNRECORDED",IF(AND(Q231="",R231&lt;&gt;""),"ORPHAN_RECORDED",IF(Q231=R231,"MATCH","MISMATCH"))))</f>
        <v/>
      </c>
      <c r="AA231">
        <f>COUNTIF(K231:P231,"Material defect - unpatchable for stated claim")</f>
        <v/>
      </c>
      <c r="AB231">
        <f>COUNTIF(K231:P231,"Material defect - patchable")</f>
        <v/>
      </c>
      <c r="AC231">
        <f>COUNTIF(K231:P231,"Indeterminate")+COUNTIF(K231:P231,"Not reviewed")</f>
        <v/>
      </c>
      <c r="AD231">
        <f>COUNTIF(K231:P231,"Adequate - control-dependent")</f>
        <v/>
      </c>
      <c r="AE231">
        <f>IF(COUNTA(A231:P231)+COUNTA(AJ231)=0,"",IF(AM231&lt;&gt;"OK","UNRECOGNISED_ADMIN_DISPOSITION",IF(AND(AJ231&lt;&gt;"",AJ231&lt;&gt;"None"),IF(OR(LEN(TRIM(A231))=0,LEN(TRIM(B231))=0,LEN(TRIM(C231))=0,LEN(TRIM(F231))=0),"ADMIN_INCOMPLETE","ADMIN_DISPOSITION"),IF(OR(LEN(TRIM(A231))=0,LEN(TRIM(B231))=0,LEN(TRIM(C231))=0,LEN(TRIM(D231))=0,LEN(TRIM(E231))=0,LEN(TRIM(F231))=0,LEN(TRIM(G231))=0,LEN(TRIM(H231))=0,LEN(TRIM(I231))=0,LEN(TRIM(J231))=0,LEN(TRIM(K231))=0,LEN(TRIM(L231))=0,LEN(TRIM(M231))=0,LEN(TRIM(N231))=0,LEN(TRIM(O231))=0,LEN(TRIM(P231))=0),"ADMIN_INCOMPLETE",IF(H231&lt;&gt;"Yes","ADMIN_INVALID",IF(I231="Not feasible","BURDEN_NOT_FEASIBLE",IF(AI231&lt;&gt;"OK","UNRECOGNISED_VALUE","CLEAR")))))))</f>
        <v/>
      </c>
      <c r="AF231">
        <f>IF(AND(Q231="",R231=""),"",IF(IF(Q231&lt;&gt;"",Q231,R231)="Stage-A admissible - scoped","stage_a_admissible_scoped",IF(IF(Q231&lt;&gt;"",Q231,R231)="Stage-A admissible - scoped, control-dependent","stage_a_admissible_scoped_control_dependent",IF(IF(Q231&lt;&gt;"",Q231,R231)="Stage-A non-admissible - patchable","stage_a_non_admissible_patchable",IF(IF(Q231&lt;&gt;"",Q231,R231)="Stage-A non-admissible - unpatchable for stated claim","stage_a_non_admissible_unpatchable_for_stated_claim",IF(IF(Q231&lt;&gt;"",Q231,R231)="Indeterminate - insufficient evidence","indeterminate_insufficient_evidence",IF(IF(Q231&lt;&gt;"",Q231,R231)="Protocol refusal to evaluate","protocol_refusal_to_evaluate",IF(IF(Q231&lt;&gt;"",Q231,R231)="Out of scope","out_of_scope",IF(IF(Q231&lt;&gt;"",Q231,R231)="Withdrawn","withdrawn",IF(IF(Q231&lt;&gt;"",Q231,R231)="Not reviewed","not_reviewed","unknown_status"))))))))))</f>
        <v/>
      </c>
      <c r="AG231">
        <f>IF(AND(AF231="",T231=""),"",IF(AND(AF231&lt;&gt;"",ISNUMBER(SEARCH("token="&amp;AF231&amp;";",T231)),ISNUMBER(SEARCH(AK231,T231)),ISNUMBER(SEARCH("CL basis="&amp;AL231&amp;";",T231))),"VALID","INVALID_OR_INCOMPLETE"))</f>
        <v/>
      </c>
      <c r="AH231">
        <f>COUNTIF(K231:P231,"Adequate for scope")</f>
        <v/>
      </c>
      <c r="AI231">
        <f>IF(COUNTA(K231:P231)=0,"",IF(AA231+AB231+AC231+AD231+AH231=6,"OK","UNRECOGNISED_VALUE"))</f>
        <v/>
      </c>
      <c r="AJ231" s="303" t="n"/>
      <c r="AK231" s="303">
        <f>IF(A231="","",Vocabulary!$B$5)</f>
        <v/>
      </c>
      <c r="AL231" s="303">
        <f>IF(A231="","",Vocabulary!$B$6)</f>
        <v/>
      </c>
      <c r="AM231" s="303">
        <f>IF(AJ231="","OK",IF(COUNTIF(Vocabulary!$O$5:$O$8,AJ231)=1,"OK","UNRECOGNISED_ADMIN_DISPOSITION"))</f>
        <v/>
      </c>
    </row>
    <row r="232">
      <c r="Q232">
        <f>IF(AE232="","",IF(AE232="ADMIN_DISPOSITION",AJ232,IF(OR(AE232="ADMIN_INCOMPLETE",AE232="ADMIN_INVALID",AE232="BURDEN_NOT_FEASIBLE",AE232="UNRECOGNISED_VALUE",AE232="UNRECOGNISED_ADMIN_DISPOSITION"),"Protocol refusal to evaluate",IF(AA232&gt;0,"Stage-A non-admissible - unpatchable for stated claim",IF(AB232&gt;0,"Stage-A non-admissible - patchable",IF(OR(J232="Yes",I232="Indeterminate",AC232&gt;0),"Indeterminate - insufficient evidence",IF(AND(AH232=6,AD232=0),"Stage-A admissible - scoped",IF(AND(AH232+AD232=6,AD232&gt;0),"Stage-A admissible - scoped, control-dependent","Protocol refusal to evaluate"))))))))</f>
        <v/>
      </c>
      <c r="S232">
        <f>IF(AND(Q232="",R232=""),"",IF(AND(Q232&lt;&gt;"",R232=""),"UNRECORDED",IF(AND(Q232="",R232&lt;&gt;""),"ORPHAN_RECORDED",IF(Q232=R232,"MATCH","MISMATCH"))))</f>
        <v/>
      </c>
      <c r="AA232">
        <f>COUNTIF(K232:P232,"Material defect - unpatchable for stated claim")</f>
        <v/>
      </c>
      <c r="AB232">
        <f>COUNTIF(K232:P232,"Material defect - patchable")</f>
        <v/>
      </c>
      <c r="AC232">
        <f>COUNTIF(K232:P232,"Indeterminate")+COUNTIF(K232:P232,"Not reviewed")</f>
        <v/>
      </c>
      <c r="AD232">
        <f>COUNTIF(K232:P232,"Adequate - control-dependent")</f>
        <v/>
      </c>
      <c r="AE232">
        <f>IF(COUNTA(A232:P232)+COUNTA(AJ232)=0,"",IF(AM232&lt;&gt;"OK","UNRECOGNISED_ADMIN_DISPOSITION",IF(AND(AJ232&lt;&gt;"",AJ232&lt;&gt;"None"),IF(OR(LEN(TRIM(A232))=0,LEN(TRIM(B232))=0,LEN(TRIM(C232))=0,LEN(TRIM(F232))=0),"ADMIN_INCOMPLETE","ADMIN_DISPOSITION"),IF(OR(LEN(TRIM(A232))=0,LEN(TRIM(B232))=0,LEN(TRIM(C232))=0,LEN(TRIM(D232))=0,LEN(TRIM(E232))=0,LEN(TRIM(F232))=0,LEN(TRIM(G232))=0,LEN(TRIM(H232))=0,LEN(TRIM(I232))=0,LEN(TRIM(J232))=0,LEN(TRIM(K232))=0,LEN(TRIM(L232))=0,LEN(TRIM(M232))=0,LEN(TRIM(N232))=0,LEN(TRIM(O232))=0,LEN(TRIM(P232))=0),"ADMIN_INCOMPLETE",IF(H232&lt;&gt;"Yes","ADMIN_INVALID",IF(I232="Not feasible","BURDEN_NOT_FEASIBLE",IF(AI232&lt;&gt;"OK","UNRECOGNISED_VALUE","CLEAR")))))))</f>
        <v/>
      </c>
      <c r="AF232">
        <f>IF(AND(Q232="",R232=""),"",IF(IF(Q232&lt;&gt;"",Q232,R232)="Stage-A admissible - scoped","stage_a_admissible_scoped",IF(IF(Q232&lt;&gt;"",Q232,R232)="Stage-A admissible - scoped, control-dependent","stage_a_admissible_scoped_control_dependent",IF(IF(Q232&lt;&gt;"",Q232,R232)="Stage-A non-admissible - patchable","stage_a_non_admissible_patchable",IF(IF(Q232&lt;&gt;"",Q232,R232)="Stage-A non-admissible - unpatchable for stated claim","stage_a_non_admissible_unpatchable_for_stated_claim",IF(IF(Q232&lt;&gt;"",Q232,R232)="Indeterminate - insufficient evidence","indeterminate_insufficient_evidence",IF(IF(Q232&lt;&gt;"",Q232,R232)="Protocol refusal to evaluate","protocol_refusal_to_evaluate",IF(IF(Q232&lt;&gt;"",Q232,R232)="Out of scope","out_of_scope",IF(IF(Q232&lt;&gt;"",Q232,R232)="Withdrawn","withdrawn",IF(IF(Q232&lt;&gt;"",Q232,R232)="Not reviewed","not_reviewed","unknown_status"))))))))))</f>
        <v/>
      </c>
      <c r="AG232">
        <f>IF(AND(AF232="",T232=""),"",IF(AND(AF232&lt;&gt;"",ISNUMBER(SEARCH("token="&amp;AF232&amp;";",T232)),ISNUMBER(SEARCH(AK232,T232)),ISNUMBER(SEARCH("CL basis="&amp;AL232&amp;";",T232))),"VALID","INVALID_OR_INCOMPLETE"))</f>
        <v/>
      </c>
      <c r="AH232">
        <f>COUNTIF(K232:P232,"Adequate for scope")</f>
        <v/>
      </c>
      <c r="AI232">
        <f>IF(COUNTA(K232:P232)=0,"",IF(AA232+AB232+AC232+AD232+AH232=6,"OK","UNRECOGNISED_VALUE"))</f>
        <v/>
      </c>
      <c r="AJ232" s="303" t="n"/>
      <c r="AK232" s="303">
        <f>IF(A232="","",Vocabulary!$B$5)</f>
        <v/>
      </c>
      <c r="AL232" s="303">
        <f>IF(A232="","",Vocabulary!$B$6)</f>
        <v/>
      </c>
      <c r="AM232" s="303">
        <f>IF(AJ232="","OK",IF(COUNTIF(Vocabulary!$O$5:$O$8,AJ232)=1,"OK","UNRECOGNISED_ADMIN_DISPOSITION"))</f>
        <v/>
      </c>
    </row>
    <row r="233">
      <c r="Q233">
        <f>IF(AE233="","",IF(AE233="ADMIN_DISPOSITION",AJ233,IF(OR(AE233="ADMIN_INCOMPLETE",AE233="ADMIN_INVALID",AE233="BURDEN_NOT_FEASIBLE",AE233="UNRECOGNISED_VALUE",AE233="UNRECOGNISED_ADMIN_DISPOSITION"),"Protocol refusal to evaluate",IF(AA233&gt;0,"Stage-A non-admissible - unpatchable for stated claim",IF(AB233&gt;0,"Stage-A non-admissible - patchable",IF(OR(J233="Yes",I233="Indeterminate",AC233&gt;0),"Indeterminate - insufficient evidence",IF(AND(AH233=6,AD233=0),"Stage-A admissible - scoped",IF(AND(AH233+AD233=6,AD233&gt;0),"Stage-A admissible - scoped, control-dependent","Protocol refusal to evaluate"))))))))</f>
        <v/>
      </c>
      <c r="S233">
        <f>IF(AND(Q233="",R233=""),"",IF(AND(Q233&lt;&gt;"",R233=""),"UNRECORDED",IF(AND(Q233="",R233&lt;&gt;""),"ORPHAN_RECORDED",IF(Q233=R233,"MATCH","MISMATCH"))))</f>
        <v/>
      </c>
      <c r="AA233">
        <f>COUNTIF(K233:P233,"Material defect - unpatchable for stated claim")</f>
        <v/>
      </c>
      <c r="AB233">
        <f>COUNTIF(K233:P233,"Material defect - patchable")</f>
        <v/>
      </c>
      <c r="AC233">
        <f>COUNTIF(K233:P233,"Indeterminate")+COUNTIF(K233:P233,"Not reviewed")</f>
        <v/>
      </c>
      <c r="AD233">
        <f>COUNTIF(K233:P233,"Adequate - control-dependent")</f>
        <v/>
      </c>
      <c r="AE233">
        <f>IF(COUNTA(A233:P233)+COUNTA(AJ233)=0,"",IF(AM233&lt;&gt;"OK","UNRECOGNISED_ADMIN_DISPOSITION",IF(AND(AJ233&lt;&gt;"",AJ233&lt;&gt;"None"),IF(OR(LEN(TRIM(A233))=0,LEN(TRIM(B233))=0,LEN(TRIM(C233))=0,LEN(TRIM(F233))=0),"ADMIN_INCOMPLETE","ADMIN_DISPOSITION"),IF(OR(LEN(TRIM(A233))=0,LEN(TRIM(B233))=0,LEN(TRIM(C233))=0,LEN(TRIM(D233))=0,LEN(TRIM(E233))=0,LEN(TRIM(F233))=0,LEN(TRIM(G233))=0,LEN(TRIM(H233))=0,LEN(TRIM(I233))=0,LEN(TRIM(J233))=0,LEN(TRIM(K233))=0,LEN(TRIM(L233))=0,LEN(TRIM(M233))=0,LEN(TRIM(N233))=0,LEN(TRIM(O233))=0,LEN(TRIM(P233))=0),"ADMIN_INCOMPLETE",IF(H233&lt;&gt;"Yes","ADMIN_INVALID",IF(I233="Not feasible","BURDEN_NOT_FEASIBLE",IF(AI233&lt;&gt;"OK","UNRECOGNISED_VALUE","CLEAR")))))))</f>
        <v/>
      </c>
      <c r="AF233">
        <f>IF(AND(Q233="",R233=""),"",IF(IF(Q233&lt;&gt;"",Q233,R233)="Stage-A admissible - scoped","stage_a_admissible_scoped",IF(IF(Q233&lt;&gt;"",Q233,R233)="Stage-A admissible - scoped, control-dependent","stage_a_admissible_scoped_control_dependent",IF(IF(Q233&lt;&gt;"",Q233,R233)="Stage-A non-admissible - patchable","stage_a_non_admissible_patchable",IF(IF(Q233&lt;&gt;"",Q233,R233)="Stage-A non-admissible - unpatchable for stated claim","stage_a_non_admissible_unpatchable_for_stated_claim",IF(IF(Q233&lt;&gt;"",Q233,R233)="Indeterminate - insufficient evidence","indeterminate_insufficient_evidence",IF(IF(Q233&lt;&gt;"",Q233,R233)="Protocol refusal to evaluate","protocol_refusal_to_evaluate",IF(IF(Q233&lt;&gt;"",Q233,R233)="Out of scope","out_of_scope",IF(IF(Q233&lt;&gt;"",Q233,R233)="Withdrawn","withdrawn",IF(IF(Q233&lt;&gt;"",Q233,R233)="Not reviewed","not_reviewed","unknown_status"))))))))))</f>
        <v/>
      </c>
      <c r="AG233">
        <f>IF(AND(AF233="",T233=""),"",IF(AND(AF233&lt;&gt;"",ISNUMBER(SEARCH("token="&amp;AF233&amp;";",T233)),ISNUMBER(SEARCH(AK233,T233)),ISNUMBER(SEARCH("CL basis="&amp;AL233&amp;";",T233))),"VALID","INVALID_OR_INCOMPLETE"))</f>
        <v/>
      </c>
      <c r="AH233">
        <f>COUNTIF(K233:P233,"Adequate for scope")</f>
        <v/>
      </c>
      <c r="AI233">
        <f>IF(COUNTA(K233:P233)=0,"",IF(AA233+AB233+AC233+AD233+AH233=6,"OK","UNRECOGNISED_VALUE"))</f>
        <v/>
      </c>
      <c r="AJ233" s="303" t="n"/>
      <c r="AK233" s="303">
        <f>IF(A233="","",Vocabulary!$B$5)</f>
        <v/>
      </c>
      <c r="AL233" s="303">
        <f>IF(A233="","",Vocabulary!$B$6)</f>
        <v/>
      </c>
      <c r="AM233" s="303">
        <f>IF(AJ233="","OK",IF(COUNTIF(Vocabulary!$O$5:$O$8,AJ233)=1,"OK","UNRECOGNISED_ADMIN_DISPOSITION"))</f>
        <v/>
      </c>
    </row>
    <row r="234">
      <c r="Q234">
        <f>IF(AE234="","",IF(AE234="ADMIN_DISPOSITION",AJ234,IF(OR(AE234="ADMIN_INCOMPLETE",AE234="ADMIN_INVALID",AE234="BURDEN_NOT_FEASIBLE",AE234="UNRECOGNISED_VALUE",AE234="UNRECOGNISED_ADMIN_DISPOSITION"),"Protocol refusal to evaluate",IF(AA234&gt;0,"Stage-A non-admissible - unpatchable for stated claim",IF(AB234&gt;0,"Stage-A non-admissible - patchable",IF(OR(J234="Yes",I234="Indeterminate",AC234&gt;0),"Indeterminate - insufficient evidence",IF(AND(AH234=6,AD234=0),"Stage-A admissible - scoped",IF(AND(AH234+AD234=6,AD234&gt;0),"Stage-A admissible - scoped, control-dependent","Protocol refusal to evaluate"))))))))</f>
        <v/>
      </c>
      <c r="S234">
        <f>IF(AND(Q234="",R234=""),"",IF(AND(Q234&lt;&gt;"",R234=""),"UNRECORDED",IF(AND(Q234="",R234&lt;&gt;""),"ORPHAN_RECORDED",IF(Q234=R234,"MATCH","MISMATCH"))))</f>
        <v/>
      </c>
      <c r="AA234">
        <f>COUNTIF(K234:P234,"Material defect - unpatchable for stated claim")</f>
        <v/>
      </c>
      <c r="AB234">
        <f>COUNTIF(K234:P234,"Material defect - patchable")</f>
        <v/>
      </c>
      <c r="AC234">
        <f>COUNTIF(K234:P234,"Indeterminate")+COUNTIF(K234:P234,"Not reviewed")</f>
        <v/>
      </c>
      <c r="AD234">
        <f>COUNTIF(K234:P234,"Adequate - control-dependent")</f>
        <v/>
      </c>
      <c r="AE234">
        <f>IF(COUNTA(A234:P234)+COUNTA(AJ234)=0,"",IF(AM234&lt;&gt;"OK","UNRECOGNISED_ADMIN_DISPOSITION",IF(AND(AJ234&lt;&gt;"",AJ234&lt;&gt;"None"),IF(OR(LEN(TRIM(A234))=0,LEN(TRIM(B234))=0,LEN(TRIM(C234))=0,LEN(TRIM(F234))=0),"ADMIN_INCOMPLETE","ADMIN_DISPOSITION"),IF(OR(LEN(TRIM(A234))=0,LEN(TRIM(B234))=0,LEN(TRIM(C234))=0,LEN(TRIM(D234))=0,LEN(TRIM(E234))=0,LEN(TRIM(F234))=0,LEN(TRIM(G234))=0,LEN(TRIM(H234))=0,LEN(TRIM(I234))=0,LEN(TRIM(J234))=0,LEN(TRIM(K234))=0,LEN(TRIM(L234))=0,LEN(TRIM(M234))=0,LEN(TRIM(N234))=0,LEN(TRIM(O234))=0,LEN(TRIM(P234))=0),"ADMIN_INCOMPLETE",IF(H234&lt;&gt;"Yes","ADMIN_INVALID",IF(I234="Not feasible","BURDEN_NOT_FEASIBLE",IF(AI234&lt;&gt;"OK","UNRECOGNISED_VALUE","CLEAR")))))))</f>
        <v/>
      </c>
      <c r="AF234">
        <f>IF(AND(Q234="",R234=""),"",IF(IF(Q234&lt;&gt;"",Q234,R234)="Stage-A admissible - scoped","stage_a_admissible_scoped",IF(IF(Q234&lt;&gt;"",Q234,R234)="Stage-A admissible - scoped, control-dependent","stage_a_admissible_scoped_control_dependent",IF(IF(Q234&lt;&gt;"",Q234,R234)="Stage-A non-admissible - patchable","stage_a_non_admissible_patchable",IF(IF(Q234&lt;&gt;"",Q234,R234)="Stage-A non-admissible - unpatchable for stated claim","stage_a_non_admissible_unpatchable_for_stated_claim",IF(IF(Q234&lt;&gt;"",Q234,R234)="Indeterminate - insufficient evidence","indeterminate_insufficient_evidence",IF(IF(Q234&lt;&gt;"",Q234,R234)="Protocol refusal to evaluate","protocol_refusal_to_evaluate",IF(IF(Q234&lt;&gt;"",Q234,R234)="Out of scope","out_of_scope",IF(IF(Q234&lt;&gt;"",Q234,R234)="Withdrawn","withdrawn",IF(IF(Q234&lt;&gt;"",Q234,R234)="Not reviewed","not_reviewed","unknown_status"))))))))))</f>
        <v/>
      </c>
      <c r="AG234">
        <f>IF(AND(AF234="",T234=""),"",IF(AND(AF234&lt;&gt;"",ISNUMBER(SEARCH("token="&amp;AF234&amp;";",T234)),ISNUMBER(SEARCH(AK234,T234)),ISNUMBER(SEARCH("CL basis="&amp;AL234&amp;";",T234))),"VALID","INVALID_OR_INCOMPLETE"))</f>
        <v/>
      </c>
      <c r="AH234">
        <f>COUNTIF(K234:P234,"Adequate for scope")</f>
        <v/>
      </c>
      <c r="AI234">
        <f>IF(COUNTA(K234:P234)=0,"",IF(AA234+AB234+AC234+AD234+AH234=6,"OK","UNRECOGNISED_VALUE"))</f>
        <v/>
      </c>
      <c r="AJ234" s="303" t="n"/>
      <c r="AK234" s="303">
        <f>IF(A234="","",Vocabulary!$B$5)</f>
        <v/>
      </c>
      <c r="AL234" s="303">
        <f>IF(A234="","",Vocabulary!$B$6)</f>
        <v/>
      </c>
      <c r="AM234" s="303">
        <f>IF(AJ234="","OK",IF(COUNTIF(Vocabulary!$O$5:$O$8,AJ234)=1,"OK","UNRECOGNISED_ADMIN_DISPOSITION"))</f>
        <v/>
      </c>
    </row>
    <row r="235">
      <c r="Q235">
        <f>IF(AE235="","",IF(AE235="ADMIN_DISPOSITION",AJ235,IF(OR(AE235="ADMIN_INCOMPLETE",AE235="ADMIN_INVALID",AE235="BURDEN_NOT_FEASIBLE",AE235="UNRECOGNISED_VALUE",AE235="UNRECOGNISED_ADMIN_DISPOSITION"),"Protocol refusal to evaluate",IF(AA235&gt;0,"Stage-A non-admissible - unpatchable for stated claim",IF(AB235&gt;0,"Stage-A non-admissible - patchable",IF(OR(J235="Yes",I235="Indeterminate",AC235&gt;0),"Indeterminate - insufficient evidence",IF(AND(AH235=6,AD235=0),"Stage-A admissible - scoped",IF(AND(AH235+AD235=6,AD235&gt;0),"Stage-A admissible - scoped, control-dependent","Protocol refusal to evaluate"))))))))</f>
        <v/>
      </c>
      <c r="S235">
        <f>IF(AND(Q235="",R235=""),"",IF(AND(Q235&lt;&gt;"",R235=""),"UNRECORDED",IF(AND(Q235="",R235&lt;&gt;""),"ORPHAN_RECORDED",IF(Q235=R235,"MATCH","MISMATCH"))))</f>
        <v/>
      </c>
      <c r="AA235">
        <f>COUNTIF(K235:P235,"Material defect - unpatchable for stated claim")</f>
        <v/>
      </c>
      <c r="AB235">
        <f>COUNTIF(K235:P235,"Material defect - patchable")</f>
        <v/>
      </c>
      <c r="AC235">
        <f>COUNTIF(K235:P235,"Indeterminate")+COUNTIF(K235:P235,"Not reviewed")</f>
        <v/>
      </c>
      <c r="AD235">
        <f>COUNTIF(K235:P235,"Adequate - control-dependent")</f>
        <v/>
      </c>
      <c r="AE235">
        <f>IF(COUNTA(A235:P235)+COUNTA(AJ235)=0,"",IF(AM235&lt;&gt;"OK","UNRECOGNISED_ADMIN_DISPOSITION",IF(AND(AJ235&lt;&gt;"",AJ235&lt;&gt;"None"),IF(OR(LEN(TRIM(A235))=0,LEN(TRIM(B235))=0,LEN(TRIM(C235))=0,LEN(TRIM(F235))=0),"ADMIN_INCOMPLETE","ADMIN_DISPOSITION"),IF(OR(LEN(TRIM(A235))=0,LEN(TRIM(B235))=0,LEN(TRIM(C235))=0,LEN(TRIM(D235))=0,LEN(TRIM(E235))=0,LEN(TRIM(F235))=0,LEN(TRIM(G235))=0,LEN(TRIM(H235))=0,LEN(TRIM(I235))=0,LEN(TRIM(J235))=0,LEN(TRIM(K235))=0,LEN(TRIM(L235))=0,LEN(TRIM(M235))=0,LEN(TRIM(N235))=0,LEN(TRIM(O235))=0,LEN(TRIM(P235))=0),"ADMIN_INCOMPLETE",IF(H235&lt;&gt;"Yes","ADMIN_INVALID",IF(I235="Not feasible","BURDEN_NOT_FEASIBLE",IF(AI235&lt;&gt;"OK","UNRECOGNISED_VALUE","CLEAR")))))))</f>
        <v/>
      </c>
      <c r="AF235">
        <f>IF(AND(Q235="",R235=""),"",IF(IF(Q235&lt;&gt;"",Q235,R235)="Stage-A admissible - scoped","stage_a_admissible_scoped",IF(IF(Q235&lt;&gt;"",Q235,R235)="Stage-A admissible - scoped, control-dependent","stage_a_admissible_scoped_control_dependent",IF(IF(Q235&lt;&gt;"",Q235,R235)="Stage-A non-admissible - patchable","stage_a_non_admissible_patchable",IF(IF(Q235&lt;&gt;"",Q235,R235)="Stage-A non-admissible - unpatchable for stated claim","stage_a_non_admissible_unpatchable_for_stated_claim",IF(IF(Q235&lt;&gt;"",Q235,R235)="Indeterminate - insufficient evidence","indeterminate_insufficient_evidence",IF(IF(Q235&lt;&gt;"",Q235,R235)="Protocol refusal to evaluate","protocol_refusal_to_evaluate",IF(IF(Q235&lt;&gt;"",Q235,R235)="Out of scope","out_of_scope",IF(IF(Q235&lt;&gt;"",Q235,R235)="Withdrawn","withdrawn",IF(IF(Q235&lt;&gt;"",Q235,R235)="Not reviewed","not_reviewed","unknown_status"))))))))))</f>
        <v/>
      </c>
      <c r="AG235">
        <f>IF(AND(AF235="",T235=""),"",IF(AND(AF235&lt;&gt;"",ISNUMBER(SEARCH("token="&amp;AF235&amp;";",T235)),ISNUMBER(SEARCH(AK235,T235)),ISNUMBER(SEARCH("CL basis="&amp;AL235&amp;";",T235))),"VALID","INVALID_OR_INCOMPLETE"))</f>
        <v/>
      </c>
      <c r="AH235">
        <f>COUNTIF(K235:P235,"Adequate for scope")</f>
        <v/>
      </c>
      <c r="AI235">
        <f>IF(COUNTA(K235:P235)=0,"",IF(AA235+AB235+AC235+AD235+AH235=6,"OK","UNRECOGNISED_VALUE"))</f>
        <v/>
      </c>
      <c r="AJ235" s="303" t="n"/>
      <c r="AK235" s="303">
        <f>IF(A235="","",Vocabulary!$B$5)</f>
        <v/>
      </c>
      <c r="AL235" s="303">
        <f>IF(A235="","",Vocabulary!$B$6)</f>
        <v/>
      </c>
      <c r="AM235" s="303">
        <f>IF(AJ235="","OK",IF(COUNTIF(Vocabulary!$O$5:$O$8,AJ235)=1,"OK","UNRECOGNISED_ADMIN_DISPOSITION"))</f>
        <v/>
      </c>
    </row>
    <row r="236">
      <c r="Q236">
        <f>IF(AE236="","",IF(AE236="ADMIN_DISPOSITION",AJ236,IF(OR(AE236="ADMIN_INCOMPLETE",AE236="ADMIN_INVALID",AE236="BURDEN_NOT_FEASIBLE",AE236="UNRECOGNISED_VALUE",AE236="UNRECOGNISED_ADMIN_DISPOSITION"),"Protocol refusal to evaluate",IF(AA236&gt;0,"Stage-A non-admissible - unpatchable for stated claim",IF(AB236&gt;0,"Stage-A non-admissible - patchable",IF(OR(J236="Yes",I236="Indeterminate",AC236&gt;0),"Indeterminate - insufficient evidence",IF(AND(AH236=6,AD236=0),"Stage-A admissible - scoped",IF(AND(AH236+AD236=6,AD236&gt;0),"Stage-A admissible - scoped, control-dependent","Protocol refusal to evaluate"))))))))</f>
        <v/>
      </c>
      <c r="S236">
        <f>IF(AND(Q236="",R236=""),"",IF(AND(Q236&lt;&gt;"",R236=""),"UNRECORDED",IF(AND(Q236="",R236&lt;&gt;""),"ORPHAN_RECORDED",IF(Q236=R236,"MATCH","MISMATCH"))))</f>
        <v/>
      </c>
      <c r="AA236">
        <f>COUNTIF(K236:P236,"Material defect - unpatchable for stated claim")</f>
        <v/>
      </c>
      <c r="AB236">
        <f>COUNTIF(K236:P236,"Material defect - patchable")</f>
        <v/>
      </c>
      <c r="AC236">
        <f>COUNTIF(K236:P236,"Indeterminate")+COUNTIF(K236:P236,"Not reviewed")</f>
        <v/>
      </c>
      <c r="AD236">
        <f>COUNTIF(K236:P236,"Adequate - control-dependent")</f>
        <v/>
      </c>
      <c r="AE236">
        <f>IF(COUNTA(A236:P236)+COUNTA(AJ236)=0,"",IF(AM236&lt;&gt;"OK","UNRECOGNISED_ADMIN_DISPOSITION",IF(AND(AJ236&lt;&gt;"",AJ236&lt;&gt;"None"),IF(OR(LEN(TRIM(A236))=0,LEN(TRIM(B236))=0,LEN(TRIM(C236))=0,LEN(TRIM(F236))=0),"ADMIN_INCOMPLETE","ADMIN_DISPOSITION"),IF(OR(LEN(TRIM(A236))=0,LEN(TRIM(B236))=0,LEN(TRIM(C236))=0,LEN(TRIM(D236))=0,LEN(TRIM(E236))=0,LEN(TRIM(F236))=0,LEN(TRIM(G236))=0,LEN(TRIM(H236))=0,LEN(TRIM(I236))=0,LEN(TRIM(J236))=0,LEN(TRIM(K236))=0,LEN(TRIM(L236))=0,LEN(TRIM(M236))=0,LEN(TRIM(N236))=0,LEN(TRIM(O236))=0,LEN(TRIM(P236))=0),"ADMIN_INCOMPLETE",IF(H236&lt;&gt;"Yes","ADMIN_INVALID",IF(I236="Not feasible","BURDEN_NOT_FEASIBLE",IF(AI236&lt;&gt;"OK","UNRECOGNISED_VALUE","CLEAR")))))))</f>
        <v/>
      </c>
      <c r="AF236">
        <f>IF(AND(Q236="",R236=""),"",IF(IF(Q236&lt;&gt;"",Q236,R236)="Stage-A admissible - scoped","stage_a_admissible_scoped",IF(IF(Q236&lt;&gt;"",Q236,R236)="Stage-A admissible - scoped, control-dependent","stage_a_admissible_scoped_control_dependent",IF(IF(Q236&lt;&gt;"",Q236,R236)="Stage-A non-admissible - patchable","stage_a_non_admissible_patchable",IF(IF(Q236&lt;&gt;"",Q236,R236)="Stage-A non-admissible - unpatchable for stated claim","stage_a_non_admissible_unpatchable_for_stated_claim",IF(IF(Q236&lt;&gt;"",Q236,R236)="Indeterminate - insufficient evidence","indeterminate_insufficient_evidence",IF(IF(Q236&lt;&gt;"",Q236,R236)="Protocol refusal to evaluate","protocol_refusal_to_evaluate",IF(IF(Q236&lt;&gt;"",Q236,R236)="Out of scope","out_of_scope",IF(IF(Q236&lt;&gt;"",Q236,R236)="Withdrawn","withdrawn",IF(IF(Q236&lt;&gt;"",Q236,R236)="Not reviewed","not_reviewed","unknown_status"))))))))))</f>
        <v/>
      </c>
      <c r="AG236">
        <f>IF(AND(AF236="",T236=""),"",IF(AND(AF236&lt;&gt;"",ISNUMBER(SEARCH("token="&amp;AF236&amp;";",T236)),ISNUMBER(SEARCH(AK236,T236)),ISNUMBER(SEARCH("CL basis="&amp;AL236&amp;";",T236))),"VALID","INVALID_OR_INCOMPLETE"))</f>
        <v/>
      </c>
      <c r="AH236">
        <f>COUNTIF(K236:P236,"Adequate for scope")</f>
        <v/>
      </c>
      <c r="AI236">
        <f>IF(COUNTA(K236:P236)=0,"",IF(AA236+AB236+AC236+AD236+AH236=6,"OK","UNRECOGNISED_VALUE"))</f>
        <v/>
      </c>
      <c r="AJ236" s="303" t="n"/>
      <c r="AK236" s="303">
        <f>IF(A236="","",Vocabulary!$B$5)</f>
        <v/>
      </c>
      <c r="AL236" s="303">
        <f>IF(A236="","",Vocabulary!$B$6)</f>
        <v/>
      </c>
      <c r="AM236" s="303">
        <f>IF(AJ236="","OK",IF(COUNTIF(Vocabulary!$O$5:$O$8,AJ236)=1,"OK","UNRECOGNISED_ADMIN_DISPOSITION"))</f>
        <v/>
      </c>
    </row>
    <row r="237">
      <c r="Q237">
        <f>IF(AE237="","",IF(AE237="ADMIN_DISPOSITION",AJ237,IF(OR(AE237="ADMIN_INCOMPLETE",AE237="ADMIN_INVALID",AE237="BURDEN_NOT_FEASIBLE",AE237="UNRECOGNISED_VALUE",AE237="UNRECOGNISED_ADMIN_DISPOSITION"),"Protocol refusal to evaluate",IF(AA237&gt;0,"Stage-A non-admissible - unpatchable for stated claim",IF(AB237&gt;0,"Stage-A non-admissible - patchable",IF(OR(J237="Yes",I237="Indeterminate",AC237&gt;0),"Indeterminate - insufficient evidence",IF(AND(AH237=6,AD237=0),"Stage-A admissible - scoped",IF(AND(AH237+AD237=6,AD237&gt;0),"Stage-A admissible - scoped, control-dependent","Protocol refusal to evaluate"))))))))</f>
        <v/>
      </c>
      <c r="S237">
        <f>IF(AND(Q237="",R237=""),"",IF(AND(Q237&lt;&gt;"",R237=""),"UNRECORDED",IF(AND(Q237="",R237&lt;&gt;""),"ORPHAN_RECORDED",IF(Q237=R237,"MATCH","MISMATCH"))))</f>
        <v/>
      </c>
      <c r="AA237">
        <f>COUNTIF(K237:P237,"Material defect - unpatchable for stated claim")</f>
        <v/>
      </c>
      <c r="AB237">
        <f>COUNTIF(K237:P237,"Material defect - patchable")</f>
        <v/>
      </c>
      <c r="AC237">
        <f>COUNTIF(K237:P237,"Indeterminate")+COUNTIF(K237:P237,"Not reviewed")</f>
        <v/>
      </c>
      <c r="AD237">
        <f>COUNTIF(K237:P237,"Adequate - control-dependent")</f>
        <v/>
      </c>
      <c r="AE237">
        <f>IF(COUNTA(A237:P237)+COUNTA(AJ237)=0,"",IF(AM237&lt;&gt;"OK","UNRECOGNISED_ADMIN_DISPOSITION",IF(AND(AJ237&lt;&gt;"",AJ237&lt;&gt;"None"),IF(OR(LEN(TRIM(A237))=0,LEN(TRIM(B237))=0,LEN(TRIM(C237))=0,LEN(TRIM(F237))=0),"ADMIN_INCOMPLETE","ADMIN_DISPOSITION"),IF(OR(LEN(TRIM(A237))=0,LEN(TRIM(B237))=0,LEN(TRIM(C237))=0,LEN(TRIM(D237))=0,LEN(TRIM(E237))=0,LEN(TRIM(F237))=0,LEN(TRIM(G237))=0,LEN(TRIM(H237))=0,LEN(TRIM(I237))=0,LEN(TRIM(J237))=0,LEN(TRIM(K237))=0,LEN(TRIM(L237))=0,LEN(TRIM(M237))=0,LEN(TRIM(N237))=0,LEN(TRIM(O237))=0,LEN(TRIM(P237))=0),"ADMIN_INCOMPLETE",IF(H237&lt;&gt;"Yes","ADMIN_INVALID",IF(I237="Not feasible","BURDEN_NOT_FEASIBLE",IF(AI237&lt;&gt;"OK","UNRECOGNISED_VALUE","CLEAR")))))))</f>
        <v/>
      </c>
      <c r="AF237">
        <f>IF(AND(Q237="",R237=""),"",IF(IF(Q237&lt;&gt;"",Q237,R237)="Stage-A admissible - scoped","stage_a_admissible_scoped",IF(IF(Q237&lt;&gt;"",Q237,R237)="Stage-A admissible - scoped, control-dependent","stage_a_admissible_scoped_control_dependent",IF(IF(Q237&lt;&gt;"",Q237,R237)="Stage-A non-admissible - patchable","stage_a_non_admissible_patchable",IF(IF(Q237&lt;&gt;"",Q237,R237)="Stage-A non-admissible - unpatchable for stated claim","stage_a_non_admissible_unpatchable_for_stated_claim",IF(IF(Q237&lt;&gt;"",Q237,R237)="Indeterminate - insufficient evidence","indeterminate_insufficient_evidence",IF(IF(Q237&lt;&gt;"",Q237,R237)="Protocol refusal to evaluate","protocol_refusal_to_evaluate",IF(IF(Q237&lt;&gt;"",Q237,R237)="Out of scope","out_of_scope",IF(IF(Q237&lt;&gt;"",Q237,R237)="Withdrawn","withdrawn",IF(IF(Q237&lt;&gt;"",Q237,R237)="Not reviewed","not_reviewed","unknown_status"))))))))))</f>
        <v/>
      </c>
      <c r="AG237">
        <f>IF(AND(AF237="",T237=""),"",IF(AND(AF237&lt;&gt;"",ISNUMBER(SEARCH("token="&amp;AF237&amp;";",T237)),ISNUMBER(SEARCH(AK237,T237)),ISNUMBER(SEARCH("CL basis="&amp;AL237&amp;";",T237))),"VALID","INVALID_OR_INCOMPLETE"))</f>
        <v/>
      </c>
      <c r="AH237">
        <f>COUNTIF(K237:P237,"Adequate for scope")</f>
        <v/>
      </c>
      <c r="AI237">
        <f>IF(COUNTA(K237:P237)=0,"",IF(AA237+AB237+AC237+AD237+AH237=6,"OK","UNRECOGNISED_VALUE"))</f>
        <v/>
      </c>
      <c r="AJ237" s="303" t="n"/>
      <c r="AK237" s="303">
        <f>IF(A237="","",Vocabulary!$B$5)</f>
        <v/>
      </c>
      <c r="AL237" s="303">
        <f>IF(A237="","",Vocabulary!$B$6)</f>
        <v/>
      </c>
      <c r="AM237" s="303">
        <f>IF(AJ237="","OK",IF(COUNTIF(Vocabulary!$O$5:$O$8,AJ237)=1,"OK","UNRECOGNISED_ADMIN_DISPOSITION"))</f>
        <v/>
      </c>
    </row>
    <row r="238">
      <c r="Q238">
        <f>IF(AE238="","",IF(AE238="ADMIN_DISPOSITION",AJ238,IF(OR(AE238="ADMIN_INCOMPLETE",AE238="ADMIN_INVALID",AE238="BURDEN_NOT_FEASIBLE",AE238="UNRECOGNISED_VALUE",AE238="UNRECOGNISED_ADMIN_DISPOSITION"),"Protocol refusal to evaluate",IF(AA238&gt;0,"Stage-A non-admissible - unpatchable for stated claim",IF(AB238&gt;0,"Stage-A non-admissible - patchable",IF(OR(J238="Yes",I238="Indeterminate",AC238&gt;0),"Indeterminate - insufficient evidence",IF(AND(AH238=6,AD238=0),"Stage-A admissible - scoped",IF(AND(AH238+AD238=6,AD238&gt;0),"Stage-A admissible - scoped, control-dependent","Protocol refusal to evaluate"))))))))</f>
        <v/>
      </c>
      <c r="S238">
        <f>IF(AND(Q238="",R238=""),"",IF(AND(Q238&lt;&gt;"",R238=""),"UNRECORDED",IF(AND(Q238="",R238&lt;&gt;""),"ORPHAN_RECORDED",IF(Q238=R238,"MATCH","MISMATCH"))))</f>
        <v/>
      </c>
      <c r="AA238">
        <f>COUNTIF(K238:P238,"Material defect - unpatchable for stated claim")</f>
        <v/>
      </c>
      <c r="AB238">
        <f>COUNTIF(K238:P238,"Material defect - patchable")</f>
        <v/>
      </c>
      <c r="AC238">
        <f>COUNTIF(K238:P238,"Indeterminate")+COUNTIF(K238:P238,"Not reviewed")</f>
        <v/>
      </c>
      <c r="AD238">
        <f>COUNTIF(K238:P238,"Adequate - control-dependent")</f>
        <v/>
      </c>
      <c r="AE238">
        <f>IF(COUNTA(A238:P238)+COUNTA(AJ238)=0,"",IF(AM238&lt;&gt;"OK","UNRECOGNISED_ADMIN_DISPOSITION",IF(AND(AJ238&lt;&gt;"",AJ238&lt;&gt;"None"),IF(OR(LEN(TRIM(A238))=0,LEN(TRIM(B238))=0,LEN(TRIM(C238))=0,LEN(TRIM(F238))=0),"ADMIN_INCOMPLETE","ADMIN_DISPOSITION"),IF(OR(LEN(TRIM(A238))=0,LEN(TRIM(B238))=0,LEN(TRIM(C238))=0,LEN(TRIM(D238))=0,LEN(TRIM(E238))=0,LEN(TRIM(F238))=0,LEN(TRIM(G238))=0,LEN(TRIM(H238))=0,LEN(TRIM(I238))=0,LEN(TRIM(J238))=0,LEN(TRIM(K238))=0,LEN(TRIM(L238))=0,LEN(TRIM(M238))=0,LEN(TRIM(N238))=0,LEN(TRIM(O238))=0,LEN(TRIM(P238))=0),"ADMIN_INCOMPLETE",IF(H238&lt;&gt;"Yes","ADMIN_INVALID",IF(I238="Not feasible","BURDEN_NOT_FEASIBLE",IF(AI238&lt;&gt;"OK","UNRECOGNISED_VALUE","CLEAR")))))))</f>
        <v/>
      </c>
      <c r="AF238">
        <f>IF(AND(Q238="",R238=""),"",IF(IF(Q238&lt;&gt;"",Q238,R238)="Stage-A admissible - scoped","stage_a_admissible_scoped",IF(IF(Q238&lt;&gt;"",Q238,R238)="Stage-A admissible - scoped, control-dependent","stage_a_admissible_scoped_control_dependent",IF(IF(Q238&lt;&gt;"",Q238,R238)="Stage-A non-admissible - patchable","stage_a_non_admissible_patchable",IF(IF(Q238&lt;&gt;"",Q238,R238)="Stage-A non-admissible - unpatchable for stated claim","stage_a_non_admissible_unpatchable_for_stated_claim",IF(IF(Q238&lt;&gt;"",Q238,R238)="Indeterminate - insufficient evidence","indeterminate_insufficient_evidence",IF(IF(Q238&lt;&gt;"",Q238,R238)="Protocol refusal to evaluate","protocol_refusal_to_evaluate",IF(IF(Q238&lt;&gt;"",Q238,R238)="Out of scope","out_of_scope",IF(IF(Q238&lt;&gt;"",Q238,R238)="Withdrawn","withdrawn",IF(IF(Q238&lt;&gt;"",Q238,R238)="Not reviewed","not_reviewed","unknown_status"))))))))))</f>
        <v/>
      </c>
      <c r="AG238">
        <f>IF(AND(AF238="",T238=""),"",IF(AND(AF238&lt;&gt;"",ISNUMBER(SEARCH("token="&amp;AF238&amp;";",T238)),ISNUMBER(SEARCH(AK238,T238)),ISNUMBER(SEARCH("CL basis="&amp;AL238&amp;";",T238))),"VALID","INVALID_OR_INCOMPLETE"))</f>
        <v/>
      </c>
      <c r="AH238">
        <f>COUNTIF(K238:P238,"Adequate for scope")</f>
        <v/>
      </c>
      <c r="AI238">
        <f>IF(COUNTA(K238:P238)=0,"",IF(AA238+AB238+AC238+AD238+AH238=6,"OK","UNRECOGNISED_VALUE"))</f>
        <v/>
      </c>
      <c r="AJ238" s="303" t="n"/>
      <c r="AK238" s="303">
        <f>IF(A238="","",Vocabulary!$B$5)</f>
        <v/>
      </c>
      <c r="AL238" s="303">
        <f>IF(A238="","",Vocabulary!$B$6)</f>
        <v/>
      </c>
      <c r="AM238" s="303">
        <f>IF(AJ238="","OK",IF(COUNTIF(Vocabulary!$O$5:$O$8,AJ238)=1,"OK","UNRECOGNISED_ADMIN_DISPOSITION"))</f>
        <v/>
      </c>
    </row>
    <row r="239">
      <c r="Q239">
        <f>IF(AE239="","",IF(AE239="ADMIN_DISPOSITION",AJ239,IF(OR(AE239="ADMIN_INCOMPLETE",AE239="ADMIN_INVALID",AE239="BURDEN_NOT_FEASIBLE",AE239="UNRECOGNISED_VALUE",AE239="UNRECOGNISED_ADMIN_DISPOSITION"),"Protocol refusal to evaluate",IF(AA239&gt;0,"Stage-A non-admissible - unpatchable for stated claim",IF(AB239&gt;0,"Stage-A non-admissible - patchable",IF(OR(J239="Yes",I239="Indeterminate",AC239&gt;0),"Indeterminate - insufficient evidence",IF(AND(AH239=6,AD239=0),"Stage-A admissible - scoped",IF(AND(AH239+AD239=6,AD239&gt;0),"Stage-A admissible - scoped, control-dependent","Protocol refusal to evaluate"))))))))</f>
        <v/>
      </c>
      <c r="S239">
        <f>IF(AND(Q239="",R239=""),"",IF(AND(Q239&lt;&gt;"",R239=""),"UNRECORDED",IF(AND(Q239="",R239&lt;&gt;""),"ORPHAN_RECORDED",IF(Q239=R239,"MATCH","MISMATCH"))))</f>
        <v/>
      </c>
      <c r="AA239">
        <f>COUNTIF(K239:P239,"Material defect - unpatchable for stated claim")</f>
        <v/>
      </c>
      <c r="AB239">
        <f>COUNTIF(K239:P239,"Material defect - patchable")</f>
        <v/>
      </c>
      <c r="AC239">
        <f>COUNTIF(K239:P239,"Indeterminate")+COUNTIF(K239:P239,"Not reviewed")</f>
        <v/>
      </c>
      <c r="AD239">
        <f>COUNTIF(K239:P239,"Adequate - control-dependent")</f>
        <v/>
      </c>
      <c r="AE239">
        <f>IF(COUNTA(A239:P239)+COUNTA(AJ239)=0,"",IF(AM239&lt;&gt;"OK","UNRECOGNISED_ADMIN_DISPOSITION",IF(AND(AJ239&lt;&gt;"",AJ239&lt;&gt;"None"),IF(OR(LEN(TRIM(A239))=0,LEN(TRIM(B239))=0,LEN(TRIM(C239))=0,LEN(TRIM(F239))=0),"ADMIN_INCOMPLETE","ADMIN_DISPOSITION"),IF(OR(LEN(TRIM(A239))=0,LEN(TRIM(B239))=0,LEN(TRIM(C239))=0,LEN(TRIM(D239))=0,LEN(TRIM(E239))=0,LEN(TRIM(F239))=0,LEN(TRIM(G239))=0,LEN(TRIM(H239))=0,LEN(TRIM(I239))=0,LEN(TRIM(J239))=0,LEN(TRIM(K239))=0,LEN(TRIM(L239))=0,LEN(TRIM(M239))=0,LEN(TRIM(N239))=0,LEN(TRIM(O239))=0,LEN(TRIM(P239))=0),"ADMIN_INCOMPLETE",IF(H239&lt;&gt;"Yes","ADMIN_INVALID",IF(I239="Not feasible","BURDEN_NOT_FEASIBLE",IF(AI239&lt;&gt;"OK","UNRECOGNISED_VALUE","CLEAR")))))))</f>
        <v/>
      </c>
      <c r="AF239">
        <f>IF(AND(Q239="",R239=""),"",IF(IF(Q239&lt;&gt;"",Q239,R239)="Stage-A admissible - scoped","stage_a_admissible_scoped",IF(IF(Q239&lt;&gt;"",Q239,R239)="Stage-A admissible - scoped, control-dependent","stage_a_admissible_scoped_control_dependent",IF(IF(Q239&lt;&gt;"",Q239,R239)="Stage-A non-admissible - patchable","stage_a_non_admissible_patchable",IF(IF(Q239&lt;&gt;"",Q239,R239)="Stage-A non-admissible - unpatchable for stated claim","stage_a_non_admissible_unpatchable_for_stated_claim",IF(IF(Q239&lt;&gt;"",Q239,R239)="Indeterminate - insufficient evidence","indeterminate_insufficient_evidence",IF(IF(Q239&lt;&gt;"",Q239,R239)="Protocol refusal to evaluate","protocol_refusal_to_evaluate",IF(IF(Q239&lt;&gt;"",Q239,R239)="Out of scope","out_of_scope",IF(IF(Q239&lt;&gt;"",Q239,R239)="Withdrawn","withdrawn",IF(IF(Q239&lt;&gt;"",Q239,R239)="Not reviewed","not_reviewed","unknown_status"))))))))))</f>
        <v/>
      </c>
      <c r="AG239">
        <f>IF(AND(AF239="",T239=""),"",IF(AND(AF239&lt;&gt;"",ISNUMBER(SEARCH("token="&amp;AF239&amp;";",T239)),ISNUMBER(SEARCH(AK239,T239)),ISNUMBER(SEARCH("CL basis="&amp;AL239&amp;";",T239))),"VALID","INVALID_OR_INCOMPLETE"))</f>
        <v/>
      </c>
      <c r="AH239">
        <f>COUNTIF(K239:P239,"Adequate for scope")</f>
        <v/>
      </c>
      <c r="AI239">
        <f>IF(COUNTA(K239:P239)=0,"",IF(AA239+AB239+AC239+AD239+AH239=6,"OK","UNRECOGNISED_VALUE"))</f>
        <v/>
      </c>
      <c r="AJ239" s="303" t="n"/>
      <c r="AK239" s="303">
        <f>IF(A239="","",Vocabulary!$B$5)</f>
        <v/>
      </c>
      <c r="AL239" s="303">
        <f>IF(A239="","",Vocabulary!$B$6)</f>
        <v/>
      </c>
      <c r="AM239" s="303">
        <f>IF(AJ239="","OK",IF(COUNTIF(Vocabulary!$O$5:$O$8,AJ239)=1,"OK","UNRECOGNISED_ADMIN_DISPOSITION"))</f>
        <v/>
      </c>
    </row>
    <row r="240">
      <c r="Q240">
        <f>IF(AE240="","",IF(AE240="ADMIN_DISPOSITION",AJ240,IF(OR(AE240="ADMIN_INCOMPLETE",AE240="ADMIN_INVALID",AE240="BURDEN_NOT_FEASIBLE",AE240="UNRECOGNISED_VALUE",AE240="UNRECOGNISED_ADMIN_DISPOSITION"),"Protocol refusal to evaluate",IF(AA240&gt;0,"Stage-A non-admissible - unpatchable for stated claim",IF(AB240&gt;0,"Stage-A non-admissible - patchable",IF(OR(J240="Yes",I240="Indeterminate",AC240&gt;0),"Indeterminate - insufficient evidence",IF(AND(AH240=6,AD240=0),"Stage-A admissible - scoped",IF(AND(AH240+AD240=6,AD240&gt;0),"Stage-A admissible - scoped, control-dependent","Protocol refusal to evaluate"))))))))</f>
        <v/>
      </c>
      <c r="AA240">
        <f>COUNTIF(K240:P240,"Material defect - unpatchable for stated claim")</f>
        <v/>
      </c>
      <c r="AB240">
        <f>COUNTIF(K240:P240,"Material defect - patchable")</f>
        <v/>
      </c>
      <c r="AC240">
        <f>COUNTIF(K240:P240,"Indeterminate")+COUNTIF(K240:P240,"Not reviewed")</f>
        <v/>
      </c>
      <c r="AD240">
        <f>COUNTIF(K240:P240,"Adequate - control-dependent")</f>
        <v/>
      </c>
      <c r="AE240">
        <f>IF(COUNTA(A240:P240)+COUNTA(AJ240)=0,"",IF(AM240&lt;&gt;"OK","UNRECOGNISED_ADMIN_DISPOSITION",IF(AND(AJ240&lt;&gt;"",AJ240&lt;&gt;"None"),IF(OR(LEN(TRIM(A240))=0,LEN(TRIM(B240))=0,LEN(TRIM(C240))=0,LEN(TRIM(F240))=0),"ADMIN_INCOMPLETE","ADMIN_DISPOSITION"),IF(OR(LEN(TRIM(A240))=0,LEN(TRIM(B240))=0,LEN(TRIM(C240))=0,LEN(TRIM(D240))=0,LEN(TRIM(E240))=0,LEN(TRIM(F240))=0,LEN(TRIM(G240))=0,LEN(TRIM(H240))=0,LEN(TRIM(I240))=0,LEN(TRIM(J240))=0,LEN(TRIM(K240))=0,LEN(TRIM(L240))=0,LEN(TRIM(M240))=0,LEN(TRIM(N240))=0,LEN(TRIM(O240))=0,LEN(TRIM(P240))=0),"ADMIN_INCOMPLETE",IF(H240&lt;&gt;"Yes","ADMIN_INVALID",IF(I240="Not feasible","BURDEN_NOT_FEASIBLE",IF(AI240&lt;&gt;"OK","UNRECOGNISED_VALUE","CLEAR")))))))</f>
        <v/>
      </c>
      <c r="AF240">
        <f>IF(AND(Q240="",R240=""),"",IF(IF(Q240&lt;&gt;"",Q240,R240)="Stage-A admissible - scoped","stage_a_admissible_scoped",IF(IF(Q240&lt;&gt;"",Q240,R240)="Stage-A admissible - scoped, control-dependent","stage_a_admissible_scoped_control_dependent",IF(IF(Q240&lt;&gt;"",Q240,R240)="Stage-A non-admissible - patchable","stage_a_non_admissible_patchable",IF(IF(Q240&lt;&gt;"",Q240,R240)="Stage-A non-admissible - unpatchable for stated claim","stage_a_non_admissible_unpatchable_for_stated_claim",IF(IF(Q240&lt;&gt;"",Q240,R240)="Indeterminate - insufficient evidence","indeterminate_insufficient_evidence",IF(IF(Q240&lt;&gt;"",Q240,R240)="Protocol refusal to evaluate","protocol_refusal_to_evaluate",IF(IF(Q240&lt;&gt;"",Q240,R240)="Out of scope","out_of_scope",IF(IF(Q240&lt;&gt;"",Q240,R240)="Withdrawn","withdrawn",IF(IF(Q240&lt;&gt;"",Q240,R240)="Not reviewed","not_reviewed","unknown_status"))))))))))</f>
        <v/>
      </c>
      <c r="AG240">
        <f>IF(AND(AF240="",T240=""),"",IF(AND(AF240&lt;&gt;"",ISNUMBER(SEARCH("token="&amp;AF240&amp;";",T240)),ISNUMBER(SEARCH(AK240,T240)),ISNUMBER(SEARCH("CL basis="&amp;AL240&amp;";",T240))),"VALID","INVALID_OR_INCOMPLETE"))</f>
        <v/>
      </c>
      <c r="AH240">
        <f>COUNTIF(K240:P240,"Adequate for scope")</f>
        <v/>
      </c>
      <c r="AI240">
        <f>IF(COUNTA(K240:P240)=0,"",IF(AA240+AB240+AC240+AD240+AH240=6,"OK","UNRECOGNISED_VALUE"))</f>
        <v/>
      </c>
      <c r="AJ240" s="303" t="n"/>
      <c r="AK240" s="303">
        <f>IF(A240="","",Vocabulary!$B$5)</f>
        <v/>
      </c>
      <c r="AL240" s="303">
        <f>IF(A240="","",Vocabulary!$B$6)</f>
        <v/>
      </c>
      <c r="AM240" s="303">
        <f>IF(AJ240="","OK",IF(COUNTIF(Vocabulary!$O$5:$O$8,AJ240)=1,"OK","UNRECOGNISED_ADMIN_DISPOSITION"))</f>
        <v/>
      </c>
    </row>
    <row r="241">
      <c r="Q241">
        <f>IF(AE241="","",IF(AE241="ADMIN_DISPOSITION",AJ241,IF(OR(AE241="ADMIN_INCOMPLETE",AE241="ADMIN_INVALID",AE241="BURDEN_NOT_FEASIBLE",AE241="UNRECOGNISED_VALUE",AE241="UNRECOGNISED_ADMIN_DISPOSITION"),"Protocol refusal to evaluate",IF(AA241&gt;0,"Stage-A non-admissible - unpatchable for stated claim",IF(AB241&gt;0,"Stage-A non-admissible - patchable",IF(OR(J241="Yes",I241="Indeterminate",AC241&gt;0),"Indeterminate - insufficient evidence",IF(AND(AH241=6,AD241=0),"Stage-A admissible - scoped",IF(AND(AH241+AD241=6,AD241&gt;0),"Stage-A admissible - scoped, control-dependent","Protocol refusal to evaluate"))))))))</f>
        <v/>
      </c>
      <c r="S241">
        <f>IF(AND(Q241="",R241=""),"",IF(AND(Q241&lt;&gt;"",R241=""),"UNRECORDED",IF(AND(Q241="",R241&lt;&gt;""),"ORPHAN_RECORDED",IF(Q241=R241,"MATCH","MISMATCH"))))</f>
        <v/>
      </c>
      <c r="AA241">
        <f>COUNTIF(K241:P241,"Material defect - unpatchable for stated claim")</f>
        <v/>
      </c>
      <c r="AB241">
        <f>COUNTIF(K241:P241,"Material defect - patchable")</f>
        <v/>
      </c>
      <c r="AC241">
        <f>COUNTIF(K241:P241,"Indeterminate")+COUNTIF(K241:P241,"Not reviewed")</f>
        <v/>
      </c>
      <c r="AD241">
        <f>COUNTIF(K241:P241,"Adequate - control-dependent")</f>
        <v/>
      </c>
      <c r="AE241">
        <f>IF(COUNTA(A241:P241)+COUNTA(AJ241)=0,"",IF(AM241&lt;&gt;"OK","UNRECOGNISED_ADMIN_DISPOSITION",IF(AND(AJ241&lt;&gt;"",AJ241&lt;&gt;"None"),IF(OR(LEN(TRIM(A241))=0,LEN(TRIM(B241))=0,LEN(TRIM(C241))=0,LEN(TRIM(F241))=0),"ADMIN_INCOMPLETE","ADMIN_DISPOSITION"),IF(OR(LEN(TRIM(A241))=0,LEN(TRIM(B241))=0,LEN(TRIM(C241))=0,LEN(TRIM(D241))=0,LEN(TRIM(E241))=0,LEN(TRIM(F241))=0,LEN(TRIM(G241))=0,LEN(TRIM(H241))=0,LEN(TRIM(I241))=0,LEN(TRIM(J241))=0,LEN(TRIM(K241))=0,LEN(TRIM(L241))=0,LEN(TRIM(M241))=0,LEN(TRIM(N241))=0,LEN(TRIM(O241))=0,LEN(TRIM(P241))=0),"ADMIN_INCOMPLETE",IF(H241&lt;&gt;"Yes","ADMIN_INVALID",IF(I241="Not feasible","BURDEN_NOT_FEASIBLE",IF(AI241&lt;&gt;"OK","UNRECOGNISED_VALUE","CLEAR")))))))</f>
        <v/>
      </c>
      <c r="AF241">
        <f>IF(AND(Q241="",R241=""),"",IF(IF(Q241&lt;&gt;"",Q241,R241)="Stage-A admissible - scoped","stage_a_admissible_scoped",IF(IF(Q241&lt;&gt;"",Q241,R241)="Stage-A admissible - scoped, control-dependent","stage_a_admissible_scoped_control_dependent",IF(IF(Q241&lt;&gt;"",Q241,R241)="Stage-A non-admissible - patchable","stage_a_non_admissible_patchable",IF(IF(Q241&lt;&gt;"",Q241,R241)="Stage-A non-admissible - unpatchable for stated claim","stage_a_non_admissible_unpatchable_for_stated_claim",IF(IF(Q241&lt;&gt;"",Q241,R241)="Indeterminate - insufficient evidence","indeterminate_insufficient_evidence",IF(IF(Q241&lt;&gt;"",Q241,R241)="Protocol refusal to evaluate","protocol_refusal_to_evaluate",IF(IF(Q241&lt;&gt;"",Q241,R241)="Out of scope","out_of_scope",IF(IF(Q241&lt;&gt;"",Q241,R241)="Withdrawn","withdrawn",IF(IF(Q241&lt;&gt;"",Q241,R241)="Not reviewed","not_reviewed","unknown_status"))))))))))</f>
        <v/>
      </c>
      <c r="AG241">
        <f>IF(AND(AF241="",T241=""),"",IF(AND(AF241&lt;&gt;"",ISNUMBER(SEARCH("token="&amp;AF241&amp;";",T241)),ISNUMBER(SEARCH(AK241,T241)),ISNUMBER(SEARCH("CL basis="&amp;AL241&amp;";",T241))),"VALID","INVALID_OR_INCOMPLETE"))</f>
        <v/>
      </c>
      <c r="AH241">
        <f>COUNTIF(K241:P241,"Adequate for scope")</f>
        <v/>
      </c>
      <c r="AI241">
        <f>IF(COUNTA(K241:P241)=0,"",IF(AA241+AB241+AC241+AD241+AH241=6,"OK","UNRECOGNISED_VALUE"))</f>
        <v/>
      </c>
      <c r="AJ241" s="303" t="n"/>
      <c r="AK241" s="303">
        <f>IF(A241="","",Vocabulary!$B$5)</f>
        <v/>
      </c>
      <c r="AL241" s="303">
        <f>IF(A241="","",Vocabulary!$B$6)</f>
        <v/>
      </c>
      <c r="AM241" s="303">
        <f>IF(AJ241="","OK",IF(COUNTIF(Vocabulary!$O$5:$O$8,AJ241)=1,"OK","UNRECOGNISED_ADMIN_DISPOSITION"))</f>
        <v/>
      </c>
    </row>
    <row r="242">
      <c r="Q242">
        <f>IF(AE242="","",IF(AE242="ADMIN_DISPOSITION",AJ242,IF(OR(AE242="ADMIN_INCOMPLETE",AE242="ADMIN_INVALID",AE242="BURDEN_NOT_FEASIBLE",AE242="UNRECOGNISED_VALUE",AE242="UNRECOGNISED_ADMIN_DISPOSITION"),"Protocol refusal to evaluate",IF(AA242&gt;0,"Stage-A non-admissible - unpatchable for stated claim",IF(AB242&gt;0,"Stage-A non-admissible - patchable",IF(OR(J242="Yes",I242="Indeterminate",AC242&gt;0),"Indeterminate - insufficient evidence",IF(AND(AH242=6,AD242=0),"Stage-A admissible - scoped",IF(AND(AH242+AD242=6,AD242&gt;0),"Stage-A admissible - scoped, control-dependent","Protocol refusal to evaluate"))))))))</f>
        <v/>
      </c>
      <c r="S242">
        <f>IF(AND(Q242="",R242=""),"",IF(AND(Q242&lt;&gt;"",R242=""),"UNRECORDED",IF(AND(Q242="",R242&lt;&gt;""),"ORPHAN_RECORDED",IF(Q242=R242,"MATCH","MISMATCH"))))</f>
        <v/>
      </c>
      <c r="AA242">
        <f>COUNTIF(K242:P242,"Material defect - unpatchable for stated claim")</f>
        <v/>
      </c>
      <c r="AB242">
        <f>COUNTIF(K242:P242,"Material defect - patchable")</f>
        <v/>
      </c>
      <c r="AC242">
        <f>COUNTIF(K242:P242,"Indeterminate")+COUNTIF(K242:P242,"Not reviewed")</f>
        <v/>
      </c>
      <c r="AD242">
        <f>COUNTIF(K242:P242,"Adequate - control-dependent")</f>
        <v/>
      </c>
      <c r="AE242">
        <f>IF(COUNTA(A242:P242)+COUNTA(AJ242)=0,"",IF(AM242&lt;&gt;"OK","UNRECOGNISED_ADMIN_DISPOSITION",IF(AND(AJ242&lt;&gt;"",AJ242&lt;&gt;"None"),IF(OR(LEN(TRIM(A242))=0,LEN(TRIM(B242))=0,LEN(TRIM(C242))=0,LEN(TRIM(F242))=0),"ADMIN_INCOMPLETE","ADMIN_DISPOSITION"),IF(OR(LEN(TRIM(A242))=0,LEN(TRIM(B242))=0,LEN(TRIM(C242))=0,LEN(TRIM(D242))=0,LEN(TRIM(E242))=0,LEN(TRIM(F242))=0,LEN(TRIM(G242))=0,LEN(TRIM(H242))=0,LEN(TRIM(I242))=0,LEN(TRIM(J242))=0,LEN(TRIM(K242))=0,LEN(TRIM(L242))=0,LEN(TRIM(M242))=0,LEN(TRIM(N242))=0,LEN(TRIM(O242))=0,LEN(TRIM(P242))=0),"ADMIN_INCOMPLETE",IF(H242&lt;&gt;"Yes","ADMIN_INVALID",IF(I242="Not feasible","BURDEN_NOT_FEASIBLE",IF(AI242&lt;&gt;"OK","UNRECOGNISED_VALUE","CLEAR")))))))</f>
        <v/>
      </c>
      <c r="AF242">
        <f>IF(AND(Q242="",R242=""),"",IF(IF(Q242&lt;&gt;"",Q242,R242)="Stage-A admissible - scoped","stage_a_admissible_scoped",IF(IF(Q242&lt;&gt;"",Q242,R242)="Stage-A admissible - scoped, control-dependent","stage_a_admissible_scoped_control_dependent",IF(IF(Q242&lt;&gt;"",Q242,R242)="Stage-A non-admissible - patchable","stage_a_non_admissible_patchable",IF(IF(Q242&lt;&gt;"",Q242,R242)="Stage-A non-admissible - unpatchable for stated claim","stage_a_non_admissible_unpatchable_for_stated_claim",IF(IF(Q242&lt;&gt;"",Q242,R242)="Indeterminate - insufficient evidence","indeterminate_insufficient_evidence",IF(IF(Q242&lt;&gt;"",Q242,R242)="Protocol refusal to evaluate","protocol_refusal_to_evaluate",IF(IF(Q242&lt;&gt;"",Q242,R242)="Out of scope","out_of_scope",IF(IF(Q242&lt;&gt;"",Q242,R242)="Withdrawn","withdrawn",IF(IF(Q242&lt;&gt;"",Q242,R242)="Not reviewed","not_reviewed","unknown_status"))))))))))</f>
        <v/>
      </c>
      <c r="AG242">
        <f>IF(AND(AF242="",T242=""),"",IF(AND(AF242&lt;&gt;"",ISNUMBER(SEARCH("token="&amp;AF242&amp;";",T242)),ISNUMBER(SEARCH(AK242,T242)),ISNUMBER(SEARCH("CL basis="&amp;AL242&amp;";",T242))),"VALID","INVALID_OR_INCOMPLETE"))</f>
        <v/>
      </c>
      <c r="AH242">
        <f>COUNTIF(K242:P242,"Adequate for scope")</f>
        <v/>
      </c>
      <c r="AI242">
        <f>IF(COUNTA(K242:P242)=0,"",IF(AA242+AB242+AC242+AD242+AH242=6,"OK","UNRECOGNISED_VALUE"))</f>
        <v/>
      </c>
      <c r="AJ242" s="303" t="n"/>
      <c r="AK242" s="303">
        <f>IF(A242="","",Vocabulary!$B$5)</f>
        <v/>
      </c>
      <c r="AL242" s="303">
        <f>IF(A242="","",Vocabulary!$B$6)</f>
        <v/>
      </c>
      <c r="AM242" s="303">
        <f>IF(AJ242="","OK",IF(COUNTIF(Vocabulary!$O$5:$O$8,AJ242)=1,"OK","UNRECOGNISED_ADMIN_DISPOSITION"))</f>
        <v/>
      </c>
    </row>
    <row r="243">
      <c r="Q243">
        <f>IF(AE243="","",IF(AE243="ADMIN_DISPOSITION",AJ243,IF(OR(AE243="ADMIN_INCOMPLETE",AE243="ADMIN_INVALID",AE243="BURDEN_NOT_FEASIBLE",AE243="UNRECOGNISED_VALUE",AE243="UNRECOGNISED_ADMIN_DISPOSITION"),"Protocol refusal to evaluate",IF(AA243&gt;0,"Stage-A non-admissible - unpatchable for stated claim",IF(AB243&gt;0,"Stage-A non-admissible - patchable",IF(OR(J243="Yes",I243="Indeterminate",AC243&gt;0),"Indeterminate - insufficient evidence",IF(AND(AH243=6,AD243=0),"Stage-A admissible - scoped",IF(AND(AH243+AD243=6,AD243&gt;0),"Stage-A admissible - scoped, control-dependent","Protocol refusal to evaluate"))))))))</f>
        <v/>
      </c>
      <c r="S243">
        <f>IF(AND(Q243="",R243=""),"",IF(AND(Q243&lt;&gt;"",R243=""),"UNRECORDED",IF(AND(Q243="",R243&lt;&gt;""),"ORPHAN_RECORDED",IF(Q243=R243,"MATCH","MISMATCH"))))</f>
        <v/>
      </c>
      <c r="AA243">
        <f>COUNTIF(K243:P243,"Material defect - unpatchable for stated claim")</f>
        <v/>
      </c>
      <c r="AB243">
        <f>COUNTIF(K243:P243,"Material defect - patchable")</f>
        <v/>
      </c>
      <c r="AC243">
        <f>COUNTIF(K243:P243,"Indeterminate")+COUNTIF(K243:P243,"Not reviewed")</f>
        <v/>
      </c>
      <c r="AD243">
        <f>COUNTIF(K243:P243,"Adequate - control-dependent")</f>
        <v/>
      </c>
      <c r="AE243">
        <f>IF(COUNTA(A243:P243)+COUNTA(AJ243)=0,"",IF(AM243&lt;&gt;"OK","UNRECOGNISED_ADMIN_DISPOSITION",IF(AND(AJ243&lt;&gt;"",AJ243&lt;&gt;"None"),IF(OR(LEN(TRIM(A243))=0,LEN(TRIM(B243))=0,LEN(TRIM(C243))=0,LEN(TRIM(F243))=0),"ADMIN_INCOMPLETE","ADMIN_DISPOSITION"),IF(OR(LEN(TRIM(A243))=0,LEN(TRIM(B243))=0,LEN(TRIM(C243))=0,LEN(TRIM(D243))=0,LEN(TRIM(E243))=0,LEN(TRIM(F243))=0,LEN(TRIM(G243))=0,LEN(TRIM(H243))=0,LEN(TRIM(I243))=0,LEN(TRIM(J243))=0,LEN(TRIM(K243))=0,LEN(TRIM(L243))=0,LEN(TRIM(M243))=0,LEN(TRIM(N243))=0,LEN(TRIM(O243))=0,LEN(TRIM(P243))=0),"ADMIN_INCOMPLETE",IF(H243&lt;&gt;"Yes","ADMIN_INVALID",IF(I243="Not feasible","BURDEN_NOT_FEASIBLE",IF(AI243&lt;&gt;"OK","UNRECOGNISED_VALUE","CLEAR")))))))</f>
        <v/>
      </c>
      <c r="AF243">
        <f>IF(AND(Q243="",R243=""),"",IF(IF(Q243&lt;&gt;"",Q243,R243)="Stage-A admissible - scoped","stage_a_admissible_scoped",IF(IF(Q243&lt;&gt;"",Q243,R243)="Stage-A admissible - scoped, control-dependent","stage_a_admissible_scoped_control_dependent",IF(IF(Q243&lt;&gt;"",Q243,R243)="Stage-A non-admissible - patchable","stage_a_non_admissible_patchable",IF(IF(Q243&lt;&gt;"",Q243,R243)="Stage-A non-admissible - unpatchable for stated claim","stage_a_non_admissible_unpatchable_for_stated_claim",IF(IF(Q243&lt;&gt;"",Q243,R243)="Indeterminate - insufficient evidence","indeterminate_insufficient_evidence",IF(IF(Q243&lt;&gt;"",Q243,R243)="Protocol refusal to evaluate","protocol_refusal_to_evaluate",IF(IF(Q243&lt;&gt;"",Q243,R243)="Out of scope","out_of_scope",IF(IF(Q243&lt;&gt;"",Q243,R243)="Withdrawn","withdrawn",IF(IF(Q243&lt;&gt;"",Q243,R243)="Not reviewed","not_reviewed","unknown_status"))))))))))</f>
        <v/>
      </c>
      <c r="AG243">
        <f>IF(AND(AF243="",T243=""),"",IF(AND(AF243&lt;&gt;"",ISNUMBER(SEARCH("token="&amp;AF243&amp;";",T243)),ISNUMBER(SEARCH(AK243,T243)),ISNUMBER(SEARCH("CL basis="&amp;AL243&amp;";",T243))),"VALID","INVALID_OR_INCOMPLETE"))</f>
        <v/>
      </c>
      <c r="AH243">
        <f>COUNTIF(K243:P243,"Adequate for scope")</f>
        <v/>
      </c>
      <c r="AI243">
        <f>IF(COUNTA(K243:P243)=0,"",IF(AA243+AB243+AC243+AD243+AH243=6,"OK","UNRECOGNISED_VALUE"))</f>
        <v/>
      </c>
      <c r="AJ243" s="303" t="n"/>
      <c r="AK243" s="303">
        <f>IF(A243="","",Vocabulary!$B$5)</f>
        <v/>
      </c>
      <c r="AL243" s="303">
        <f>IF(A243="","",Vocabulary!$B$6)</f>
        <v/>
      </c>
      <c r="AM243" s="303">
        <f>IF(AJ243="","OK",IF(COUNTIF(Vocabulary!$O$5:$O$8,AJ243)=1,"OK","UNRECOGNISED_ADMIN_DISPOSITION"))</f>
        <v/>
      </c>
    </row>
    <row r="244">
      <c r="Q244">
        <f>IF(AE244="","",IF(AE244="ADMIN_DISPOSITION",AJ244,IF(OR(AE244="ADMIN_INCOMPLETE",AE244="ADMIN_INVALID",AE244="BURDEN_NOT_FEASIBLE",AE244="UNRECOGNISED_VALUE",AE244="UNRECOGNISED_ADMIN_DISPOSITION"),"Protocol refusal to evaluate",IF(AA244&gt;0,"Stage-A non-admissible - unpatchable for stated claim",IF(AB244&gt;0,"Stage-A non-admissible - patchable",IF(OR(J244="Yes",I244="Indeterminate",AC244&gt;0),"Indeterminate - insufficient evidence",IF(AND(AH244=6,AD244=0),"Stage-A admissible - scoped",IF(AND(AH244+AD244=6,AD244&gt;0),"Stage-A admissible - scoped, control-dependent","Protocol refusal to evaluate"))))))))</f>
        <v/>
      </c>
      <c r="S244">
        <f>IF(AND(Q244="",R244=""),"",IF(AND(Q244&lt;&gt;"",R244=""),"UNRECORDED",IF(AND(Q244="",R244&lt;&gt;""),"ORPHAN_RECORDED",IF(Q244=R244,"MATCH","MISMATCH"))))</f>
        <v/>
      </c>
      <c r="AA244">
        <f>COUNTIF(K244:P244,"Material defect - unpatchable for stated claim")</f>
        <v/>
      </c>
      <c r="AB244">
        <f>COUNTIF(K244:P244,"Material defect - patchable")</f>
        <v/>
      </c>
      <c r="AC244">
        <f>COUNTIF(K244:P244,"Indeterminate")+COUNTIF(K244:P244,"Not reviewed")</f>
        <v/>
      </c>
      <c r="AD244">
        <f>COUNTIF(K244:P244,"Adequate - control-dependent")</f>
        <v/>
      </c>
      <c r="AE244">
        <f>IF(COUNTA(A244:P244)+COUNTA(AJ244)=0,"",IF(AM244&lt;&gt;"OK","UNRECOGNISED_ADMIN_DISPOSITION",IF(AND(AJ244&lt;&gt;"",AJ244&lt;&gt;"None"),IF(OR(LEN(TRIM(A244))=0,LEN(TRIM(B244))=0,LEN(TRIM(C244))=0,LEN(TRIM(F244))=0),"ADMIN_INCOMPLETE","ADMIN_DISPOSITION"),IF(OR(LEN(TRIM(A244))=0,LEN(TRIM(B244))=0,LEN(TRIM(C244))=0,LEN(TRIM(D244))=0,LEN(TRIM(E244))=0,LEN(TRIM(F244))=0,LEN(TRIM(G244))=0,LEN(TRIM(H244))=0,LEN(TRIM(I244))=0,LEN(TRIM(J244))=0,LEN(TRIM(K244))=0,LEN(TRIM(L244))=0,LEN(TRIM(M244))=0,LEN(TRIM(N244))=0,LEN(TRIM(O244))=0,LEN(TRIM(P244))=0),"ADMIN_INCOMPLETE",IF(H244&lt;&gt;"Yes","ADMIN_INVALID",IF(I244="Not feasible","BURDEN_NOT_FEASIBLE",IF(AI244&lt;&gt;"OK","UNRECOGNISED_VALUE","CLEAR")))))))</f>
        <v/>
      </c>
      <c r="AF244">
        <f>IF(AND(Q244="",R244=""),"",IF(IF(Q244&lt;&gt;"",Q244,R244)="Stage-A admissible - scoped","stage_a_admissible_scoped",IF(IF(Q244&lt;&gt;"",Q244,R244)="Stage-A admissible - scoped, control-dependent","stage_a_admissible_scoped_control_dependent",IF(IF(Q244&lt;&gt;"",Q244,R244)="Stage-A non-admissible - patchable","stage_a_non_admissible_patchable",IF(IF(Q244&lt;&gt;"",Q244,R244)="Stage-A non-admissible - unpatchable for stated claim","stage_a_non_admissible_unpatchable_for_stated_claim",IF(IF(Q244&lt;&gt;"",Q244,R244)="Indeterminate - insufficient evidence","indeterminate_insufficient_evidence",IF(IF(Q244&lt;&gt;"",Q244,R244)="Protocol refusal to evaluate","protocol_refusal_to_evaluate",IF(IF(Q244&lt;&gt;"",Q244,R244)="Out of scope","out_of_scope",IF(IF(Q244&lt;&gt;"",Q244,R244)="Withdrawn","withdrawn",IF(IF(Q244&lt;&gt;"",Q244,R244)="Not reviewed","not_reviewed","unknown_status"))))))))))</f>
        <v/>
      </c>
      <c r="AG244">
        <f>IF(AND(AF244="",T244=""),"",IF(AND(AF244&lt;&gt;"",ISNUMBER(SEARCH("token="&amp;AF244&amp;";",T244)),ISNUMBER(SEARCH(AK244,T244)),ISNUMBER(SEARCH("CL basis="&amp;AL244&amp;";",T244))),"VALID","INVALID_OR_INCOMPLETE"))</f>
        <v/>
      </c>
      <c r="AH244">
        <f>COUNTIF(K244:P244,"Adequate for scope")</f>
        <v/>
      </c>
      <c r="AI244">
        <f>IF(COUNTA(K244:P244)=0,"",IF(AA244+AB244+AC244+AD244+AH244=6,"OK","UNRECOGNISED_VALUE"))</f>
        <v/>
      </c>
      <c r="AJ244" s="303" t="n"/>
      <c r="AK244" s="303">
        <f>IF(A244="","",Vocabulary!$B$5)</f>
        <v/>
      </c>
      <c r="AL244" s="303">
        <f>IF(A244="","",Vocabulary!$B$6)</f>
        <v/>
      </c>
      <c r="AM244" s="303">
        <f>IF(AJ244="","OK",IF(COUNTIF(Vocabulary!$O$5:$O$8,AJ244)=1,"OK","UNRECOGNISED_ADMIN_DISPOSITION"))</f>
        <v/>
      </c>
    </row>
    <row r="245">
      <c r="Q245">
        <f>IF(AE245="","",IF(AE245="ADMIN_DISPOSITION",AJ245,IF(OR(AE245="ADMIN_INCOMPLETE",AE245="ADMIN_INVALID",AE245="BURDEN_NOT_FEASIBLE",AE245="UNRECOGNISED_VALUE",AE245="UNRECOGNISED_ADMIN_DISPOSITION"),"Protocol refusal to evaluate",IF(AA245&gt;0,"Stage-A non-admissible - unpatchable for stated claim",IF(AB245&gt;0,"Stage-A non-admissible - patchable",IF(OR(J245="Yes",I245="Indeterminate",AC245&gt;0),"Indeterminate - insufficient evidence",IF(AND(AH245=6,AD245=0),"Stage-A admissible - scoped",IF(AND(AH245+AD245=6,AD245&gt;0),"Stage-A admissible - scoped, control-dependent","Protocol refusal to evaluate"))))))))</f>
        <v/>
      </c>
      <c r="S245">
        <f>IF(AND(Q245="",R245=""),"",IF(AND(Q245&lt;&gt;"",R245=""),"UNRECORDED",IF(AND(Q245="",R245&lt;&gt;""),"ORPHAN_RECORDED",IF(Q245=R245,"MATCH","MISMATCH"))))</f>
        <v/>
      </c>
      <c r="AA245">
        <f>COUNTIF(K245:P245,"Material defect - unpatchable for stated claim")</f>
        <v/>
      </c>
      <c r="AB245">
        <f>COUNTIF(K245:P245,"Material defect - patchable")</f>
        <v/>
      </c>
      <c r="AC245">
        <f>COUNTIF(K245:P245,"Indeterminate")+COUNTIF(K245:P245,"Not reviewed")</f>
        <v/>
      </c>
      <c r="AD245">
        <f>COUNTIF(K245:P245,"Adequate - control-dependent")</f>
        <v/>
      </c>
      <c r="AE245">
        <f>IF(COUNTA(A245:P245)+COUNTA(AJ245)=0,"",IF(AM245&lt;&gt;"OK","UNRECOGNISED_ADMIN_DISPOSITION",IF(AND(AJ245&lt;&gt;"",AJ245&lt;&gt;"None"),IF(OR(LEN(TRIM(A245))=0,LEN(TRIM(B245))=0,LEN(TRIM(C245))=0,LEN(TRIM(F245))=0),"ADMIN_INCOMPLETE","ADMIN_DISPOSITION"),IF(OR(LEN(TRIM(A245))=0,LEN(TRIM(B245))=0,LEN(TRIM(C245))=0,LEN(TRIM(D245))=0,LEN(TRIM(E245))=0,LEN(TRIM(F245))=0,LEN(TRIM(G245))=0,LEN(TRIM(H245))=0,LEN(TRIM(I245))=0,LEN(TRIM(J245))=0,LEN(TRIM(K245))=0,LEN(TRIM(L245))=0,LEN(TRIM(M245))=0,LEN(TRIM(N245))=0,LEN(TRIM(O245))=0,LEN(TRIM(P245))=0),"ADMIN_INCOMPLETE",IF(H245&lt;&gt;"Yes","ADMIN_INVALID",IF(I245="Not feasible","BURDEN_NOT_FEASIBLE",IF(AI245&lt;&gt;"OK","UNRECOGNISED_VALUE","CLEAR")))))))</f>
        <v/>
      </c>
      <c r="AF245">
        <f>IF(AND(Q245="",R245=""),"",IF(IF(Q245&lt;&gt;"",Q245,R245)="Stage-A admissible - scoped","stage_a_admissible_scoped",IF(IF(Q245&lt;&gt;"",Q245,R245)="Stage-A admissible - scoped, control-dependent","stage_a_admissible_scoped_control_dependent",IF(IF(Q245&lt;&gt;"",Q245,R245)="Stage-A non-admissible - patchable","stage_a_non_admissible_patchable",IF(IF(Q245&lt;&gt;"",Q245,R245)="Stage-A non-admissible - unpatchable for stated claim","stage_a_non_admissible_unpatchable_for_stated_claim",IF(IF(Q245&lt;&gt;"",Q245,R245)="Indeterminate - insufficient evidence","indeterminate_insufficient_evidence",IF(IF(Q245&lt;&gt;"",Q245,R245)="Protocol refusal to evaluate","protocol_refusal_to_evaluate",IF(IF(Q245&lt;&gt;"",Q245,R245)="Out of scope","out_of_scope",IF(IF(Q245&lt;&gt;"",Q245,R245)="Withdrawn","withdrawn",IF(IF(Q245&lt;&gt;"",Q245,R245)="Not reviewed","not_reviewed","unknown_status"))))))))))</f>
        <v/>
      </c>
      <c r="AG245">
        <f>IF(AND(AF245="",T245=""),"",IF(AND(AF245&lt;&gt;"",ISNUMBER(SEARCH("token="&amp;AF245&amp;";",T245)),ISNUMBER(SEARCH(AK245,T245)),ISNUMBER(SEARCH("CL basis="&amp;AL245&amp;";",T245))),"VALID","INVALID_OR_INCOMPLETE"))</f>
        <v/>
      </c>
      <c r="AH245">
        <f>COUNTIF(K245:P245,"Adequate for scope")</f>
        <v/>
      </c>
      <c r="AI245">
        <f>IF(COUNTA(K245:P245)=0,"",IF(AA245+AB245+AC245+AD245+AH245=6,"OK","UNRECOGNISED_VALUE"))</f>
        <v/>
      </c>
      <c r="AJ245" s="303" t="n"/>
      <c r="AK245" s="303">
        <f>IF(A245="","",Vocabulary!$B$5)</f>
        <v/>
      </c>
      <c r="AL245" s="303">
        <f>IF(A245="","",Vocabulary!$B$6)</f>
        <v/>
      </c>
      <c r="AM245" s="303">
        <f>IF(AJ245="","OK",IF(COUNTIF(Vocabulary!$O$5:$O$8,AJ245)=1,"OK","UNRECOGNISED_ADMIN_DISPOSITION"))</f>
        <v/>
      </c>
    </row>
    <row r="246">
      <c r="Q246">
        <f>IF(AE246="","",IF(AE246="ADMIN_DISPOSITION",AJ246,IF(OR(AE246="ADMIN_INCOMPLETE",AE246="ADMIN_INVALID",AE246="BURDEN_NOT_FEASIBLE",AE246="UNRECOGNISED_VALUE",AE246="UNRECOGNISED_ADMIN_DISPOSITION"),"Protocol refusal to evaluate",IF(AA246&gt;0,"Stage-A non-admissible - unpatchable for stated claim",IF(AB246&gt;0,"Stage-A non-admissible - patchable",IF(OR(J246="Yes",I246="Indeterminate",AC246&gt;0),"Indeterminate - insufficient evidence",IF(AND(AH246=6,AD246=0),"Stage-A admissible - scoped",IF(AND(AH246+AD246=6,AD246&gt;0),"Stage-A admissible - scoped, control-dependent","Protocol refusal to evaluate"))))))))</f>
        <v/>
      </c>
      <c r="S246">
        <f>IF(AND(Q246="",R246=""),"",IF(AND(Q246&lt;&gt;"",R246=""),"UNRECORDED",IF(AND(Q246="",R246&lt;&gt;""),"ORPHAN_RECORDED",IF(Q246=R246,"MATCH","MISMATCH"))))</f>
        <v/>
      </c>
      <c r="AA246">
        <f>COUNTIF(K246:P246,"Material defect - unpatchable for stated claim")</f>
        <v/>
      </c>
      <c r="AB246">
        <f>COUNTIF(K246:P246,"Material defect - patchable")</f>
        <v/>
      </c>
      <c r="AC246">
        <f>COUNTIF(K246:P246,"Indeterminate")+COUNTIF(K246:P246,"Not reviewed")</f>
        <v/>
      </c>
      <c r="AD246">
        <f>COUNTIF(K246:P246,"Adequate - control-dependent")</f>
        <v/>
      </c>
      <c r="AE246">
        <f>IF(COUNTA(A246:P246)+COUNTA(AJ246)=0,"",IF(AM246&lt;&gt;"OK","UNRECOGNISED_ADMIN_DISPOSITION",IF(AND(AJ246&lt;&gt;"",AJ246&lt;&gt;"None"),IF(OR(LEN(TRIM(A246))=0,LEN(TRIM(B246))=0,LEN(TRIM(C246))=0,LEN(TRIM(F246))=0),"ADMIN_INCOMPLETE","ADMIN_DISPOSITION"),IF(OR(LEN(TRIM(A246))=0,LEN(TRIM(B246))=0,LEN(TRIM(C246))=0,LEN(TRIM(D246))=0,LEN(TRIM(E246))=0,LEN(TRIM(F246))=0,LEN(TRIM(G246))=0,LEN(TRIM(H246))=0,LEN(TRIM(I246))=0,LEN(TRIM(J246))=0,LEN(TRIM(K246))=0,LEN(TRIM(L246))=0,LEN(TRIM(M246))=0,LEN(TRIM(N246))=0,LEN(TRIM(O246))=0,LEN(TRIM(P246))=0),"ADMIN_INCOMPLETE",IF(H246&lt;&gt;"Yes","ADMIN_INVALID",IF(I246="Not feasible","BURDEN_NOT_FEASIBLE",IF(AI246&lt;&gt;"OK","UNRECOGNISED_VALUE","CLEAR")))))))</f>
        <v/>
      </c>
      <c r="AF246">
        <f>IF(AND(Q246="",R246=""),"",IF(IF(Q246&lt;&gt;"",Q246,R246)="Stage-A admissible - scoped","stage_a_admissible_scoped",IF(IF(Q246&lt;&gt;"",Q246,R246)="Stage-A admissible - scoped, control-dependent","stage_a_admissible_scoped_control_dependent",IF(IF(Q246&lt;&gt;"",Q246,R246)="Stage-A non-admissible - patchable","stage_a_non_admissible_patchable",IF(IF(Q246&lt;&gt;"",Q246,R246)="Stage-A non-admissible - unpatchable for stated claim","stage_a_non_admissible_unpatchable_for_stated_claim",IF(IF(Q246&lt;&gt;"",Q246,R246)="Indeterminate - insufficient evidence","indeterminate_insufficient_evidence",IF(IF(Q246&lt;&gt;"",Q246,R246)="Protocol refusal to evaluate","protocol_refusal_to_evaluate",IF(IF(Q246&lt;&gt;"",Q246,R246)="Out of scope","out_of_scope",IF(IF(Q246&lt;&gt;"",Q246,R246)="Withdrawn","withdrawn",IF(IF(Q246&lt;&gt;"",Q246,R246)="Not reviewed","not_reviewed","unknown_status"))))))))))</f>
        <v/>
      </c>
      <c r="AG246">
        <f>IF(AND(AF246="",T246=""),"",IF(AND(AF246&lt;&gt;"",ISNUMBER(SEARCH("token="&amp;AF246&amp;";",T246)),ISNUMBER(SEARCH(AK246,T246)),ISNUMBER(SEARCH("CL basis="&amp;AL246&amp;";",T246))),"VALID","INVALID_OR_INCOMPLETE"))</f>
        <v/>
      </c>
      <c r="AH246">
        <f>COUNTIF(K246:P246,"Adequate for scope")</f>
        <v/>
      </c>
      <c r="AI246">
        <f>IF(COUNTA(K246:P246)=0,"",IF(AA246+AB246+AC246+AD246+AH246=6,"OK","UNRECOGNISED_VALUE"))</f>
        <v/>
      </c>
      <c r="AJ246" s="303" t="n"/>
      <c r="AK246" s="303">
        <f>IF(A246="","",Vocabulary!$B$5)</f>
        <v/>
      </c>
      <c r="AL246" s="303">
        <f>IF(A246="","",Vocabulary!$B$6)</f>
        <v/>
      </c>
      <c r="AM246" s="303">
        <f>IF(AJ246="","OK",IF(COUNTIF(Vocabulary!$O$5:$O$8,AJ246)=1,"OK","UNRECOGNISED_ADMIN_DISPOSITION"))</f>
        <v/>
      </c>
    </row>
    <row r="247">
      <c r="Q247">
        <f>IF(AE247="","",IF(AE247="ADMIN_DISPOSITION",AJ247,IF(OR(AE247="ADMIN_INCOMPLETE",AE247="ADMIN_INVALID",AE247="BURDEN_NOT_FEASIBLE",AE247="UNRECOGNISED_VALUE",AE247="UNRECOGNISED_ADMIN_DISPOSITION"),"Protocol refusal to evaluate",IF(AA247&gt;0,"Stage-A non-admissible - unpatchable for stated claim",IF(AB247&gt;0,"Stage-A non-admissible - patchable",IF(OR(J247="Yes",I247="Indeterminate",AC247&gt;0),"Indeterminate - insufficient evidence",IF(AND(AH247=6,AD247=0),"Stage-A admissible - scoped",IF(AND(AH247+AD247=6,AD247&gt;0),"Stage-A admissible - scoped, control-dependent","Protocol refusal to evaluate"))))))))</f>
        <v/>
      </c>
      <c r="S247">
        <f>IF(AND(Q247="",R247=""),"",IF(AND(Q247&lt;&gt;"",R247=""),"UNRECORDED",IF(AND(Q247="",R247&lt;&gt;""),"ORPHAN_RECORDED",IF(Q247=R247,"MATCH","MISMATCH"))))</f>
        <v/>
      </c>
      <c r="AA247">
        <f>COUNTIF(K247:P247,"Material defect - unpatchable for stated claim")</f>
        <v/>
      </c>
      <c r="AB247">
        <f>COUNTIF(K247:P247,"Material defect - patchable")</f>
        <v/>
      </c>
      <c r="AC247">
        <f>COUNTIF(K247:P247,"Indeterminate")+COUNTIF(K247:P247,"Not reviewed")</f>
        <v/>
      </c>
      <c r="AD247">
        <f>COUNTIF(K247:P247,"Adequate - control-dependent")</f>
        <v/>
      </c>
      <c r="AE247">
        <f>IF(COUNTA(A247:P247)+COUNTA(AJ247)=0,"",IF(AM247&lt;&gt;"OK","UNRECOGNISED_ADMIN_DISPOSITION",IF(AND(AJ247&lt;&gt;"",AJ247&lt;&gt;"None"),IF(OR(LEN(TRIM(A247))=0,LEN(TRIM(B247))=0,LEN(TRIM(C247))=0,LEN(TRIM(F247))=0),"ADMIN_INCOMPLETE","ADMIN_DISPOSITION"),IF(OR(LEN(TRIM(A247))=0,LEN(TRIM(B247))=0,LEN(TRIM(C247))=0,LEN(TRIM(D247))=0,LEN(TRIM(E247))=0,LEN(TRIM(F247))=0,LEN(TRIM(G247))=0,LEN(TRIM(H247))=0,LEN(TRIM(I247))=0,LEN(TRIM(J247))=0,LEN(TRIM(K247))=0,LEN(TRIM(L247))=0,LEN(TRIM(M247))=0,LEN(TRIM(N247))=0,LEN(TRIM(O247))=0,LEN(TRIM(P247))=0),"ADMIN_INCOMPLETE",IF(H247&lt;&gt;"Yes","ADMIN_INVALID",IF(I247="Not feasible","BURDEN_NOT_FEASIBLE",IF(AI247&lt;&gt;"OK","UNRECOGNISED_VALUE","CLEAR")))))))</f>
        <v/>
      </c>
      <c r="AF247">
        <f>IF(AND(Q247="",R247=""),"",IF(IF(Q247&lt;&gt;"",Q247,R247)="Stage-A admissible - scoped","stage_a_admissible_scoped",IF(IF(Q247&lt;&gt;"",Q247,R247)="Stage-A admissible - scoped, control-dependent","stage_a_admissible_scoped_control_dependent",IF(IF(Q247&lt;&gt;"",Q247,R247)="Stage-A non-admissible - patchable","stage_a_non_admissible_patchable",IF(IF(Q247&lt;&gt;"",Q247,R247)="Stage-A non-admissible - unpatchable for stated claim","stage_a_non_admissible_unpatchable_for_stated_claim",IF(IF(Q247&lt;&gt;"",Q247,R247)="Indeterminate - insufficient evidence","indeterminate_insufficient_evidence",IF(IF(Q247&lt;&gt;"",Q247,R247)="Protocol refusal to evaluate","protocol_refusal_to_evaluate",IF(IF(Q247&lt;&gt;"",Q247,R247)="Out of scope","out_of_scope",IF(IF(Q247&lt;&gt;"",Q247,R247)="Withdrawn","withdrawn",IF(IF(Q247&lt;&gt;"",Q247,R247)="Not reviewed","not_reviewed","unknown_status"))))))))))</f>
        <v/>
      </c>
      <c r="AG247">
        <f>IF(AND(AF247="",T247=""),"",IF(AND(AF247&lt;&gt;"",ISNUMBER(SEARCH("token="&amp;AF247&amp;";",T247)),ISNUMBER(SEARCH(AK247,T247)),ISNUMBER(SEARCH("CL basis="&amp;AL247&amp;";",T247))),"VALID","INVALID_OR_INCOMPLETE"))</f>
        <v/>
      </c>
      <c r="AH247">
        <f>COUNTIF(K247:P247,"Adequate for scope")</f>
        <v/>
      </c>
      <c r="AI247">
        <f>IF(COUNTA(K247:P247)=0,"",IF(AA247+AB247+AC247+AD247+AH247=6,"OK","UNRECOGNISED_VALUE"))</f>
        <v/>
      </c>
      <c r="AJ247" s="303" t="n"/>
      <c r="AK247" s="303">
        <f>IF(A247="","",Vocabulary!$B$5)</f>
        <v/>
      </c>
      <c r="AL247" s="303">
        <f>IF(A247="","",Vocabulary!$B$6)</f>
        <v/>
      </c>
      <c r="AM247" s="303">
        <f>IF(AJ247="","OK",IF(COUNTIF(Vocabulary!$O$5:$O$8,AJ247)=1,"OK","UNRECOGNISED_ADMIN_DISPOSITION"))</f>
        <v/>
      </c>
    </row>
    <row r="248">
      <c r="Q248">
        <f>IF(AE248="","",IF(AE248="ADMIN_DISPOSITION",AJ248,IF(OR(AE248="ADMIN_INCOMPLETE",AE248="ADMIN_INVALID",AE248="BURDEN_NOT_FEASIBLE",AE248="UNRECOGNISED_VALUE",AE248="UNRECOGNISED_ADMIN_DISPOSITION"),"Protocol refusal to evaluate",IF(AA248&gt;0,"Stage-A non-admissible - unpatchable for stated claim",IF(AB248&gt;0,"Stage-A non-admissible - patchable",IF(OR(J248="Yes",I248="Indeterminate",AC248&gt;0),"Indeterminate - insufficient evidence",IF(AND(AH248=6,AD248=0),"Stage-A admissible - scoped",IF(AND(AH248+AD248=6,AD248&gt;0),"Stage-A admissible - scoped, control-dependent","Protocol refusal to evaluate"))))))))</f>
        <v/>
      </c>
      <c r="S248">
        <f>IF(AND(Q248="",R248=""),"",IF(AND(Q248&lt;&gt;"",R248=""),"UNRECORDED",IF(AND(Q248="",R248&lt;&gt;""),"ORPHAN_RECORDED",IF(Q248=R248,"MATCH","MISMATCH"))))</f>
        <v/>
      </c>
      <c r="AA248">
        <f>COUNTIF(K248:P248,"Material defect - unpatchable for stated claim")</f>
        <v/>
      </c>
      <c r="AB248">
        <f>COUNTIF(K248:P248,"Material defect - patchable")</f>
        <v/>
      </c>
      <c r="AC248">
        <f>COUNTIF(K248:P248,"Indeterminate")+COUNTIF(K248:P248,"Not reviewed")</f>
        <v/>
      </c>
      <c r="AD248">
        <f>COUNTIF(K248:P248,"Adequate - control-dependent")</f>
        <v/>
      </c>
      <c r="AE248">
        <f>IF(COUNTA(A248:P248)+COUNTA(AJ248)=0,"",IF(AM248&lt;&gt;"OK","UNRECOGNISED_ADMIN_DISPOSITION",IF(AND(AJ248&lt;&gt;"",AJ248&lt;&gt;"None"),IF(OR(LEN(TRIM(A248))=0,LEN(TRIM(B248))=0,LEN(TRIM(C248))=0,LEN(TRIM(F248))=0),"ADMIN_INCOMPLETE","ADMIN_DISPOSITION"),IF(OR(LEN(TRIM(A248))=0,LEN(TRIM(B248))=0,LEN(TRIM(C248))=0,LEN(TRIM(D248))=0,LEN(TRIM(E248))=0,LEN(TRIM(F248))=0,LEN(TRIM(G248))=0,LEN(TRIM(H248))=0,LEN(TRIM(I248))=0,LEN(TRIM(J248))=0,LEN(TRIM(K248))=0,LEN(TRIM(L248))=0,LEN(TRIM(M248))=0,LEN(TRIM(N248))=0,LEN(TRIM(O248))=0,LEN(TRIM(P248))=0),"ADMIN_INCOMPLETE",IF(H248&lt;&gt;"Yes","ADMIN_INVALID",IF(I248="Not feasible","BURDEN_NOT_FEASIBLE",IF(AI248&lt;&gt;"OK","UNRECOGNISED_VALUE","CLEAR")))))))</f>
        <v/>
      </c>
      <c r="AF248">
        <f>IF(AND(Q248="",R248=""),"",IF(IF(Q248&lt;&gt;"",Q248,R248)="Stage-A admissible - scoped","stage_a_admissible_scoped",IF(IF(Q248&lt;&gt;"",Q248,R248)="Stage-A admissible - scoped, control-dependent","stage_a_admissible_scoped_control_dependent",IF(IF(Q248&lt;&gt;"",Q248,R248)="Stage-A non-admissible - patchable","stage_a_non_admissible_patchable",IF(IF(Q248&lt;&gt;"",Q248,R248)="Stage-A non-admissible - unpatchable for stated claim","stage_a_non_admissible_unpatchable_for_stated_claim",IF(IF(Q248&lt;&gt;"",Q248,R248)="Indeterminate - insufficient evidence","indeterminate_insufficient_evidence",IF(IF(Q248&lt;&gt;"",Q248,R248)="Protocol refusal to evaluate","protocol_refusal_to_evaluate",IF(IF(Q248&lt;&gt;"",Q248,R248)="Out of scope","out_of_scope",IF(IF(Q248&lt;&gt;"",Q248,R248)="Withdrawn","withdrawn",IF(IF(Q248&lt;&gt;"",Q248,R248)="Not reviewed","not_reviewed","unknown_status"))))))))))</f>
        <v/>
      </c>
      <c r="AG248">
        <f>IF(AND(AF248="",T248=""),"",IF(AND(AF248&lt;&gt;"",ISNUMBER(SEARCH("token="&amp;AF248&amp;";",T248)),ISNUMBER(SEARCH(AK248,T248)),ISNUMBER(SEARCH("CL basis="&amp;AL248&amp;";",T248))),"VALID","INVALID_OR_INCOMPLETE"))</f>
        <v/>
      </c>
      <c r="AH248">
        <f>COUNTIF(K248:P248,"Adequate for scope")</f>
        <v/>
      </c>
      <c r="AI248">
        <f>IF(COUNTA(K248:P248)=0,"",IF(AA248+AB248+AC248+AD248+AH248=6,"OK","UNRECOGNISED_VALUE"))</f>
        <v/>
      </c>
      <c r="AJ248" s="303" t="n"/>
      <c r="AK248" s="303">
        <f>IF(A248="","",Vocabulary!$B$5)</f>
        <v/>
      </c>
      <c r="AL248" s="303">
        <f>IF(A248="","",Vocabulary!$B$6)</f>
        <v/>
      </c>
      <c r="AM248" s="303">
        <f>IF(AJ248="","OK",IF(COUNTIF(Vocabulary!$O$5:$O$8,AJ248)=1,"OK","UNRECOGNISED_ADMIN_DISPOSITION"))</f>
        <v/>
      </c>
    </row>
    <row r="249">
      <c r="Q249">
        <f>IF(AE249="","",IF(AE249="ADMIN_DISPOSITION",AJ249,IF(OR(AE249="ADMIN_INCOMPLETE",AE249="ADMIN_INVALID",AE249="BURDEN_NOT_FEASIBLE",AE249="UNRECOGNISED_VALUE",AE249="UNRECOGNISED_ADMIN_DISPOSITION"),"Protocol refusal to evaluate",IF(AA249&gt;0,"Stage-A non-admissible - unpatchable for stated claim",IF(AB249&gt;0,"Stage-A non-admissible - patchable",IF(OR(J249="Yes",I249="Indeterminate",AC249&gt;0),"Indeterminate - insufficient evidence",IF(AND(AH249=6,AD249=0),"Stage-A admissible - scoped",IF(AND(AH249+AD249=6,AD249&gt;0),"Stage-A admissible - scoped, control-dependent","Protocol refusal to evaluate"))))))))</f>
        <v/>
      </c>
      <c r="S249">
        <f>IF(AND(Q249="",R249=""),"",IF(AND(Q249&lt;&gt;"",R249=""),"UNRECORDED",IF(AND(Q249="",R249&lt;&gt;""),"ORPHAN_RECORDED",IF(Q249=R249,"MATCH","MISMATCH"))))</f>
        <v/>
      </c>
      <c r="AA249">
        <f>COUNTIF(K249:P249,"Material defect - unpatchable for stated claim")</f>
        <v/>
      </c>
      <c r="AB249">
        <f>COUNTIF(K249:P249,"Material defect - patchable")</f>
        <v/>
      </c>
      <c r="AC249">
        <f>COUNTIF(K249:P249,"Indeterminate")+COUNTIF(K249:P249,"Not reviewed")</f>
        <v/>
      </c>
      <c r="AD249">
        <f>COUNTIF(K249:P249,"Adequate - control-dependent")</f>
        <v/>
      </c>
      <c r="AE249">
        <f>IF(COUNTA(A249:P249)+COUNTA(AJ249)=0,"",IF(AM249&lt;&gt;"OK","UNRECOGNISED_ADMIN_DISPOSITION",IF(AND(AJ249&lt;&gt;"",AJ249&lt;&gt;"None"),IF(OR(LEN(TRIM(A249))=0,LEN(TRIM(B249))=0,LEN(TRIM(C249))=0,LEN(TRIM(F249))=0),"ADMIN_INCOMPLETE","ADMIN_DISPOSITION"),IF(OR(LEN(TRIM(A249))=0,LEN(TRIM(B249))=0,LEN(TRIM(C249))=0,LEN(TRIM(D249))=0,LEN(TRIM(E249))=0,LEN(TRIM(F249))=0,LEN(TRIM(G249))=0,LEN(TRIM(H249))=0,LEN(TRIM(I249))=0,LEN(TRIM(J249))=0,LEN(TRIM(K249))=0,LEN(TRIM(L249))=0,LEN(TRIM(M249))=0,LEN(TRIM(N249))=0,LEN(TRIM(O249))=0,LEN(TRIM(P249))=0),"ADMIN_INCOMPLETE",IF(H249&lt;&gt;"Yes","ADMIN_INVALID",IF(I249="Not feasible","BURDEN_NOT_FEASIBLE",IF(AI249&lt;&gt;"OK","UNRECOGNISED_VALUE","CLEAR")))))))</f>
        <v/>
      </c>
      <c r="AF249">
        <f>IF(AND(Q249="",R249=""),"",IF(IF(Q249&lt;&gt;"",Q249,R249)="Stage-A admissible - scoped","stage_a_admissible_scoped",IF(IF(Q249&lt;&gt;"",Q249,R249)="Stage-A admissible - scoped, control-dependent","stage_a_admissible_scoped_control_dependent",IF(IF(Q249&lt;&gt;"",Q249,R249)="Stage-A non-admissible - patchable","stage_a_non_admissible_patchable",IF(IF(Q249&lt;&gt;"",Q249,R249)="Stage-A non-admissible - unpatchable for stated claim","stage_a_non_admissible_unpatchable_for_stated_claim",IF(IF(Q249&lt;&gt;"",Q249,R249)="Indeterminate - insufficient evidence","indeterminate_insufficient_evidence",IF(IF(Q249&lt;&gt;"",Q249,R249)="Protocol refusal to evaluate","protocol_refusal_to_evaluate",IF(IF(Q249&lt;&gt;"",Q249,R249)="Out of scope","out_of_scope",IF(IF(Q249&lt;&gt;"",Q249,R249)="Withdrawn","withdrawn",IF(IF(Q249&lt;&gt;"",Q249,R249)="Not reviewed","not_reviewed","unknown_status"))))))))))</f>
        <v/>
      </c>
      <c r="AG249">
        <f>IF(AND(AF249="",T249=""),"",IF(AND(AF249&lt;&gt;"",ISNUMBER(SEARCH("token="&amp;AF249&amp;";",T249)),ISNUMBER(SEARCH(AK249,T249)),ISNUMBER(SEARCH("CL basis="&amp;AL249&amp;";",T249))),"VALID","INVALID_OR_INCOMPLETE"))</f>
        <v/>
      </c>
      <c r="AH249">
        <f>COUNTIF(K249:P249,"Adequate for scope")</f>
        <v/>
      </c>
      <c r="AI249">
        <f>IF(COUNTA(K249:P249)=0,"",IF(AA249+AB249+AC249+AD249+AH249=6,"OK","UNRECOGNISED_VALUE"))</f>
        <v/>
      </c>
      <c r="AJ249" s="303" t="n"/>
      <c r="AK249" s="303">
        <f>IF(A249="","",Vocabulary!$B$5)</f>
        <v/>
      </c>
      <c r="AL249" s="303">
        <f>IF(A249="","",Vocabulary!$B$6)</f>
        <v/>
      </c>
      <c r="AM249" s="303">
        <f>IF(AJ249="","OK",IF(COUNTIF(Vocabulary!$O$5:$O$8,AJ249)=1,"OK","UNRECOGNISED_ADMIN_DISPOSITION"))</f>
        <v/>
      </c>
    </row>
    <row r="250">
      <c r="Q250">
        <f>IF(AE250="","",IF(AE250="ADMIN_DISPOSITION",AJ250,IF(OR(AE250="ADMIN_INCOMPLETE",AE250="ADMIN_INVALID",AE250="BURDEN_NOT_FEASIBLE",AE250="UNRECOGNISED_VALUE",AE250="UNRECOGNISED_ADMIN_DISPOSITION"),"Protocol refusal to evaluate",IF(AA250&gt;0,"Stage-A non-admissible - unpatchable for stated claim",IF(AB250&gt;0,"Stage-A non-admissible - patchable",IF(OR(J250="Yes",I250="Indeterminate",AC250&gt;0),"Indeterminate - insufficient evidence",IF(AND(AH250=6,AD250=0),"Stage-A admissible - scoped",IF(AND(AH250+AD250=6,AD250&gt;0),"Stage-A admissible - scoped, control-dependent","Protocol refusal to evaluate"))))))))</f>
        <v/>
      </c>
      <c r="S250">
        <f>IF(AND(Q250="",R250=""),"",IF(AND(Q250&lt;&gt;"",R250=""),"UNRECORDED",IF(AND(Q250="",R250&lt;&gt;""),"ORPHAN_RECORDED",IF(Q250=R250,"MATCH","MISMATCH"))))</f>
        <v/>
      </c>
      <c r="AA250">
        <f>COUNTIF(K250:P250,"Material defect - unpatchable for stated claim")</f>
        <v/>
      </c>
      <c r="AB250">
        <f>COUNTIF(K250:P250,"Material defect - patchable")</f>
        <v/>
      </c>
      <c r="AC250">
        <f>COUNTIF(K250:P250,"Indeterminate")+COUNTIF(K250:P250,"Not reviewed")</f>
        <v/>
      </c>
      <c r="AD250">
        <f>COUNTIF(K250:P250,"Adequate - control-dependent")</f>
        <v/>
      </c>
      <c r="AE250">
        <f>IF(COUNTA(A250:P250)+COUNTA(AJ250)=0,"",IF(AM250&lt;&gt;"OK","UNRECOGNISED_ADMIN_DISPOSITION",IF(AND(AJ250&lt;&gt;"",AJ250&lt;&gt;"None"),IF(OR(LEN(TRIM(A250))=0,LEN(TRIM(B250))=0,LEN(TRIM(C250))=0,LEN(TRIM(F250))=0),"ADMIN_INCOMPLETE","ADMIN_DISPOSITION"),IF(OR(LEN(TRIM(A250))=0,LEN(TRIM(B250))=0,LEN(TRIM(C250))=0,LEN(TRIM(D250))=0,LEN(TRIM(E250))=0,LEN(TRIM(F250))=0,LEN(TRIM(G250))=0,LEN(TRIM(H250))=0,LEN(TRIM(I250))=0,LEN(TRIM(J250))=0,LEN(TRIM(K250))=0,LEN(TRIM(L250))=0,LEN(TRIM(M250))=0,LEN(TRIM(N250))=0,LEN(TRIM(O250))=0,LEN(TRIM(P250))=0),"ADMIN_INCOMPLETE",IF(H250&lt;&gt;"Yes","ADMIN_INVALID",IF(I250="Not feasible","BURDEN_NOT_FEASIBLE",IF(AI250&lt;&gt;"OK","UNRECOGNISED_VALUE","CLEAR")))))))</f>
        <v/>
      </c>
      <c r="AF250">
        <f>IF(AND(Q250="",R250=""),"",IF(IF(Q250&lt;&gt;"",Q250,R250)="Stage-A admissible - scoped","stage_a_admissible_scoped",IF(IF(Q250&lt;&gt;"",Q250,R250)="Stage-A admissible - scoped, control-dependent","stage_a_admissible_scoped_control_dependent",IF(IF(Q250&lt;&gt;"",Q250,R250)="Stage-A non-admissible - patchable","stage_a_non_admissible_patchable",IF(IF(Q250&lt;&gt;"",Q250,R250)="Stage-A non-admissible - unpatchable for stated claim","stage_a_non_admissible_unpatchable_for_stated_claim",IF(IF(Q250&lt;&gt;"",Q250,R250)="Indeterminate - insufficient evidence","indeterminate_insufficient_evidence",IF(IF(Q250&lt;&gt;"",Q250,R250)="Protocol refusal to evaluate","protocol_refusal_to_evaluate",IF(IF(Q250&lt;&gt;"",Q250,R250)="Out of scope","out_of_scope",IF(IF(Q250&lt;&gt;"",Q250,R250)="Withdrawn","withdrawn",IF(IF(Q250&lt;&gt;"",Q250,R250)="Not reviewed","not_reviewed","unknown_status"))))))))))</f>
        <v/>
      </c>
      <c r="AG250">
        <f>IF(AND(AF250="",T250=""),"",IF(AND(AF250&lt;&gt;"",ISNUMBER(SEARCH("token="&amp;AF250&amp;";",T250)),ISNUMBER(SEARCH(AK250,T250)),ISNUMBER(SEARCH("CL basis="&amp;AL250&amp;";",T250))),"VALID","INVALID_OR_INCOMPLETE"))</f>
        <v/>
      </c>
      <c r="AH250">
        <f>COUNTIF(K250:P250,"Adequate for scope")</f>
        <v/>
      </c>
      <c r="AI250">
        <f>IF(COUNTA(K250:P250)=0,"",IF(AA250+AB250+AC250+AD250+AH250=6,"OK","UNRECOGNISED_VALUE"))</f>
        <v/>
      </c>
      <c r="AJ250" s="303" t="n"/>
      <c r="AK250" s="303">
        <f>IF(A250="","",Vocabulary!$B$5)</f>
        <v/>
      </c>
      <c r="AL250" s="303">
        <f>IF(A250="","",Vocabulary!$B$6)</f>
        <v/>
      </c>
      <c r="AM250" s="303">
        <f>IF(AJ250="","OK",IF(COUNTIF(Vocabulary!$O$5:$O$8,AJ250)=1,"OK","UNRECOGNISED_ADMIN_DISPOSITION"))</f>
        <v/>
      </c>
    </row>
  </sheetData>
  <mergeCells count="1">
    <mergeCell ref="A1:AM1"/>
  </mergeCells>
  <conditionalFormatting sqref="S4:S60">
    <cfRule type="expression" priority="1" dxfId="1">
      <formula>S4="MATCH"</formula>
    </cfRule>
    <cfRule type="expression" priority="2" dxfId="0">
      <formula>OR(S4="MISMATCH",S4="UNRECORDED",S4="ORPHAN_RECORDED")</formula>
    </cfRule>
  </conditionalFormatting>
  <conditionalFormatting sqref="AG4:AG60">
    <cfRule type="expression" priority="3" dxfId="1">
      <formula>AG4="VALID"</formula>
    </cfRule>
    <cfRule type="expression" priority="4" dxfId="0">
      <formula>AG4="INVALID_OR_INCOMPLETE"</formula>
    </cfRule>
  </conditionalFormatting>
  <conditionalFormatting sqref="S4:S250">
    <cfRule type="expression" priority="5" dxfId="0">
      <formula>OR(S4="MISMATCH",S4="UNRECORDED",S4="ORPHAN_RECORDED")</formula>
    </cfRule>
    <cfRule type="expression" priority="6" dxfId="1">
      <formula>S4="MATCH"</formula>
    </cfRule>
  </conditionalFormatting>
  <conditionalFormatting sqref="AG4:AG250">
    <cfRule type="expression" priority="7" dxfId="0">
      <formula>AG4="INVALID_OR_INCOMPLETE"</formula>
    </cfRule>
    <cfRule type="expression" priority="8" dxfId="1">
      <formula>AG4="VALID"</formula>
    </cfRule>
  </conditionalFormatting>
  <conditionalFormatting sqref="AM4:AM250">
    <cfRule type="expression" priority="9" dxfId="0">
      <formula>AM4="UNRECOGNISED_ADMIN_DISPOSITION"</formula>
    </cfRule>
    <cfRule type="expression" priority="10" dxfId="1">
      <formula>AM4="OK"</formula>
    </cfRule>
  </conditionalFormatting>
  <dataValidations count="24">
    <dataValidation sqref="K4:K6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L4:L6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M4:M6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N4:N6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O4:O6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P4:P6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H4:H60" showDropDown="0" showInputMessage="0" showErrorMessage="1" allowBlank="0" errorTitle="Invalid administration-valid value" error="Select an exact controlled value from the Vocabulary sheet." type="list" errorStyle="stop">
      <formula1>INDIRECT("Vocabulary!$J$5:$J$6")</formula1>
    </dataValidation>
    <dataValidation sqref="I4:I60" showDropDown="0" showInputMessage="0" showErrorMessage="1" allowBlank="0" errorTitle="Invalid burden-feasibility value" error="Select an exact controlled value from the Vocabulary sheet." type="list" errorStyle="stop">
      <formula1>INDIRECT("Vocabulary!$P$5:$P$8")</formula1>
    </dataValidation>
    <dataValidation sqref="J4:J60" showDropDown="0" showInputMessage="0" showErrorMessage="1" allowBlank="0" errorTitle="Invalid protected-floor value" error="Select an exact controlled value from the Vocabulary sheet." type="list" errorStyle="stop">
      <formula1>INDIRECT("Vocabulary!$J$5:$J$6")</formula1>
    </dataValidation>
    <dataValidation sqref="R4:R60" showDropDown="0" showInputMessage="0" showErrorMessage="1" allowBlank="0" errorTitle="Invalid Stage A public status" error="Select an exact controlled value from the Vocabulary sheet." type="list" errorStyle="stop">
      <formula1>INDIRECT("Vocabulary!$N$5:$N$13")</formula1>
    </dataValidation>
    <dataValidation sqref="D4:D60" showDropDown="0" showInputMessage="0" showErrorMessage="1" allowBlank="0" errorTitle="Invalid AF profile" error="Select an exact controlled value from the Vocabulary sheet." type="list" errorStyle="stop">
      <formula1>INDIRECT("Vocabulary!$K$7:$K$9")</formula1>
    </dataValidation>
    <dataValidation sqref="AJ4:AJ60" showDropDown="0" showInputMessage="0" showErrorMessage="1" allowBlank="0" errorTitle="Invalid administrative disposition" error="Select an exact controlled value from the Vocabulary sheet." type="list" errorStyle="stop">
      <formula1>INDIRECT("Vocabulary!$O$5:$O$8")</formula1>
    </dataValidation>
    <dataValidation sqref="D4:D250" showDropDown="0" showInputMessage="0" showErrorMessage="1" allowBlank="0" errorTitle="Invalid AF profile" error="Select an exact controlled value from the Vocabulary sheet." type="list" errorStyle="stop">
      <formula1>INDIRECT("Vocabulary!$K$7:$K$9")</formula1>
    </dataValidation>
    <dataValidation sqref="H4:H250" showDropDown="0" showInputMessage="0" showErrorMessage="1" allowBlank="0" errorTitle="Invalid administration-valid value" error="Select an exact controlled value from the Vocabulary sheet." type="list" errorStyle="stop">
      <formula1>INDIRECT("Vocabulary!$J$5:$J$6")</formula1>
    </dataValidation>
    <dataValidation sqref="I4:I250" showDropDown="0" showInputMessage="0" showErrorMessage="1" allowBlank="0" errorTitle="Invalid burden-feasibility value" error="Select an exact controlled value from the Vocabulary sheet." type="list" errorStyle="stop">
      <formula1>INDIRECT("Vocabulary!$P$5:$P$8")</formula1>
    </dataValidation>
    <dataValidation sqref="J4:J250" showDropDown="0" showInputMessage="0" showErrorMessage="1" allowBlank="0" errorTitle="Invalid protected-floor value" error="Select an exact controlled value from the Vocabulary sheet." type="list" errorStyle="stop">
      <formula1>INDIRECT("Vocabulary!$J$5:$J$6")</formula1>
    </dataValidation>
    <dataValidation sqref="K4:K25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L4:L25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M4:M25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N4:N25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O4:O25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P4:P250" showDropDown="0" showInputMessage="0" showErrorMessage="1" allowBlank="0" errorTitle="Invalid Stage A criterion state" error="Select one exact criterion state. Free text, legacy labels, punctuation variants and whitespace variants are rejected." type="list" errorStyle="stop">
      <formula1>INDIRECT("Vocabulary!$M$5:$M$10")</formula1>
    </dataValidation>
    <dataValidation sqref="R4:R250" showDropDown="0" showInputMessage="0" showErrorMessage="1" allowBlank="0" errorTitle="Invalid Stage A public status" error="Select an exact controlled value from the Vocabulary sheet." type="list" errorStyle="stop">
      <formula1>INDIRECT("Vocabulary!$N$5:$N$13")</formula1>
    </dataValidation>
    <dataValidation sqref="AJ4:AJ250" showDropDown="0" showInputMessage="0" showErrorMessage="1" allowBlank="0" errorTitle="Invalid administrative disposition" error="Select an exact controlled value from the Vocabulary sheet." type="list" errorStyle="stop">
      <formula1>INDIRECT("Vocabulary!$O$5:$O$8")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cols>
    <col width="16" customWidth="1" style="215" min="1" max="1"/>
    <col width="18" customWidth="1" style="215" min="2" max="2"/>
    <col width="24" customWidth="1" style="215" min="3" max="3"/>
    <col width="38" customWidth="1" style="215" min="4" max="4"/>
    <col width="28" customWidth="1" style="215" min="5" max="5"/>
    <col width="36" customWidth="1" style="215" min="6" max="6"/>
    <col width="22" customWidth="1" style="215" min="7" max="7"/>
    <col width="24" customWidth="1" style="215" min="8" max="8"/>
    <col width="18" customWidth="1" style="215" min="9" max="9"/>
    <col width="18" customWidth="1" style="215" min="10" max="10"/>
    <col width="30" customWidth="1" style="215" min="11" max="11"/>
    <col width="30" customWidth="1" style="215" min="12" max="12"/>
    <col width="25" customWidth="1" style="215" min="13" max="13"/>
  </cols>
  <sheetData>
    <row r="1" ht="28" customHeight="1" s="215">
      <c r="A1" s="536" t="inlineStr">
        <is>
          <t>Authority-Specific Verdict Vector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</row>
    <row r="2"/>
    <row r="3" ht="34" customHeight="1" s="215">
      <c r="A3" s="421" t="inlineStr">
        <is>
          <t>Record_ID</t>
        </is>
      </c>
      <c r="B3" s="421" t="inlineStr">
        <is>
          <t>Candidate_ID</t>
        </is>
      </c>
      <c r="C3" s="421" t="inlineStr">
        <is>
          <t>Component</t>
        </is>
      </c>
      <c r="D3" s="421" t="inlineStr">
        <is>
          <t>Status</t>
        </is>
      </c>
      <c r="E3" s="421" t="inlineStr">
        <is>
          <t>Issuing_Authority</t>
        </is>
      </c>
      <c r="F3" s="421" t="inlineStr">
        <is>
          <t>Authority_Basis</t>
        </is>
      </c>
      <c r="G3" s="421" t="inlineStr">
        <is>
          <t>Scope</t>
        </is>
      </c>
      <c r="H3" s="421" t="inlineStr">
        <is>
          <t>Evidence_Refs</t>
        </is>
      </c>
      <c r="I3" s="421" t="inlineStr">
        <is>
          <t>Issued_At</t>
        </is>
      </c>
      <c r="J3" s="421" t="inlineStr">
        <is>
          <t>Expiry_or_Review</t>
        </is>
      </c>
      <c r="K3" s="421" t="inlineStr">
        <is>
          <t>Conditions</t>
        </is>
      </c>
      <c r="L3" s="421" t="inlineStr">
        <is>
          <t>Appeal_Route</t>
        </is>
      </c>
      <c r="M3" s="421" t="inlineStr">
        <is>
          <t>Inference_Firewall_Check</t>
        </is>
      </c>
    </row>
    <row r="4">
      <c r="A4" s="81" t="inlineStr">
        <is>
          <t>VV-ILL-001</t>
        </is>
      </c>
      <c r="B4" s="356" t="inlineStr">
        <is>
          <t>SYNTH-CAND-HC</t>
        </is>
      </c>
      <c r="C4" s="356" t="inlineStr">
        <is>
          <t>AF eligibility</t>
        </is>
      </c>
      <c r="D4" s="356" t="inlineStr">
        <is>
          <t>Stage-A non-admissible - patchable</t>
        </is>
      </c>
      <c r="E4" s="356" t="inlineStr">
        <is>
          <t>Independent AF host</t>
        </is>
      </c>
      <c r="F4" s="356" t="inlineStr">
        <is>
          <t>AF v6.2 protocol-relative review</t>
        </is>
      </c>
      <c r="G4" s="356" t="inlineStr">
        <is>
          <t>SCOPE-ILL-001</t>
        </is>
      </c>
      <c r="H4" s="356" t="inlineStr">
        <is>
          <t>SAR-ILL-001</t>
        </is>
      </c>
      <c r="I4" s="356" t="inlineStr">
        <is>
          <t>2026-08-11</t>
        </is>
      </c>
      <c r="J4" s="356" t="inlineStr">
        <is>
          <t>2027-02-11</t>
        </is>
      </c>
      <c r="K4" s="356" t="inlineStr">
        <is>
          <t>Patch C3 defect</t>
        </is>
      </c>
      <c r="L4" s="356" t="inlineStr">
        <is>
          <t>Independent appeal panel</t>
        </is>
      </c>
      <c r="M4" s="111">
        <f>IF(COUNTA(A4:L4)=0,"",IF(OR(LOWER(TRIM(D4))="approved",LOWER(TRIM(D4))="certified",LOWER(TRIM(D4))="safe",LOWER(TRIM(D4))="ethical",LOWER(TRIM(D4))="legitimate",LOWER(TRIM(D4))="compliant",LOWER(TRIM(D4))="due diligence"),"PROHIBITED GENERIC STATUS","OK"))</f>
        <v/>
      </c>
    </row>
    <row r="5">
      <c r="A5" s="81" t="inlineStr">
        <is>
          <t>VV-ILL-001</t>
        </is>
      </c>
      <c r="B5" s="356" t="inlineStr">
        <is>
          <t>SYNTH-CAND-HC</t>
        </is>
      </c>
      <c r="C5" s="356" t="inlineStr">
        <is>
          <t>Legal conformity</t>
        </is>
      </c>
      <c r="D5" s="356" t="inlineStr">
        <is>
          <t>Not assessed</t>
        </is>
      </c>
      <c r="E5" s="356" t="inlineStr">
        <is>
          <t>No AF legal authority</t>
        </is>
      </c>
      <c r="F5" s="356" t="inlineStr">
        <is>
          <t>Separate competent legal authority required</t>
        </is>
      </c>
      <c r="G5" s="356" t="inlineStr">
        <is>
          <t>SCOPE-ILL-001</t>
        </is>
      </c>
      <c r="H5" s="356" t="str"/>
      <c r="I5" s="356" t="inlineStr">
        <is>
          <t>2026-08-11</t>
        </is>
      </c>
      <c r="J5" s="356" t="inlineStr">
        <is>
          <t>2027-02-11</t>
        </is>
      </c>
      <c r="K5" s="356" t="str"/>
      <c r="L5" s="356" t="inlineStr">
        <is>
          <t>Competent legal route</t>
        </is>
      </c>
      <c r="M5" s="111">
        <f>IF(COUNTA(A5:L5)=0,"",IF(OR(LOWER(TRIM(D5))="approved",LOWER(TRIM(D5))="certified",LOWER(TRIM(D5))="safe",LOWER(TRIM(D5))="ethical",LOWER(TRIM(D5))="legitimate",LOWER(TRIM(D5))="compliant",LOWER(TRIM(D5))="due diligence"),"PROHIBITED GENERIC STATUS","OK"))</f>
        <v/>
      </c>
    </row>
    <row r="6">
      <c r="A6" s="81" t="inlineStr">
        <is>
          <t>VV-ILL-001</t>
        </is>
      </c>
      <c r="B6" s="356" t="inlineStr">
        <is>
          <t>SYNTH-CAND-HC</t>
        </is>
      </c>
      <c r="C6" s="356" t="inlineStr">
        <is>
          <t>Moral adequacy</t>
        </is>
      </c>
      <c r="D6" s="356" t="inlineStr">
        <is>
          <t>Not assessed</t>
        </is>
      </c>
      <c r="E6" s="356" t="inlineStr">
        <is>
          <t>No AF moral authority</t>
        </is>
      </c>
      <c r="F6" s="356" t="inlineStr">
        <is>
          <t>Separate plural moral process required</t>
        </is>
      </c>
      <c r="G6" s="356" t="inlineStr">
        <is>
          <t>SCOPE-ILL-001</t>
        </is>
      </c>
      <c r="H6" s="356" t="str"/>
      <c r="I6" s="356" t="inlineStr">
        <is>
          <t>2026-08-11</t>
        </is>
      </c>
      <c r="J6" s="356" t="inlineStr">
        <is>
          <t>2027-02-11</t>
        </is>
      </c>
      <c r="K6" s="356" t="str"/>
      <c r="L6" s="356" t="inlineStr">
        <is>
          <t>Plural deliberative route</t>
        </is>
      </c>
      <c r="M6" s="111">
        <f>IF(COUNTA(A6:L6)=0,"",IF(OR(LOWER(TRIM(D6))="approved",LOWER(TRIM(D6))="certified",LOWER(TRIM(D6))="safe",LOWER(TRIM(D6))="ethical",LOWER(TRIM(D6))="legitimate",LOWER(TRIM(D6))="compliant",LOWER(TRIM(D6))="due diligence"),"PROHIBITED GENERIC STATUS","OK"))</f>
        <v/>
      </c>
    </row>
    <row r="7">
      <c r="A7" s="81" t="inlineStr">
        <is>
          <t>VV-ILL-001</t>
        </is>
      </c>
      <c r="B7" s="356" t="inlineStr">
        <is>
          <t>SYNTH-CAND-HC</t>
        </is>
      </c>
      <c r="C7" s="356" t="inlineStr">
        <is>
          <t>Community legitimacy</t>
        </is>
      </c>
      <c r="D7" s="356" t="inlineStr">
        <is>
          <t>Consultation incomplete</t>
        </is>
      </c>
      <c r="E7" s="356" t="inlineStr">
        <is>
          <t>Affected-party body</t>
        </is>
      </c>
      <c r="F7" s="356" t="inlineStr">
        <is>
          <t>Community process record</t>
        </is>
      </c>
      <c r="G7" s="356" t="inlineStr">
        <is>
          <t>SCOPE-ILL-001</t>
        </is>
      </c>
      <c r="H7" s="356" t="inlineStr">
        <is>
          <t>AP-ILL-001</t>
        </is>
      </c>
      <c r="I7" s="356" t="inlineStr">
        <is>
          <t>2026-08-11</t>
        </is>
      </c>
      <c r="J7" s="356" t="inlineStr">
        <is>
          <t>2027-02-11</t>
        </is>
      </c>
      <c r="K7" s="356" t="inlineStr">
        <is>
          <t>Further consultation</t>
        </is>
      </c>
      <c r="L7" s="356" t="inlineStr">
        <is>
          <t>Community appeal route</t>
        </is>
      </c>
      <c r="M7" s="111">
        <f>IF(COUNTA(A7:L7)=0,"",IF(OR(LOWER(TRIM(D7))="approved",LOWER(TRIM(D7))="certified",LOWER(TRIM(D7))="safe",LOWER(TRIM(D7))="ethical",LOWER(TRIM(D7))="legitimate",LOWER(TRIM(D7))="compliant",LOWER(TRIM(D7))="due diligence"),"PROHIBITED GENERIC STATUS","OK"))</f>
        <v/>
      </c>
    </row>
    <row r="8">
      <c r="A8" s="81" t="inlineStr">
        <is>
          <t>VV-ILL-001</t>
        </is>
      </c>
      <c r="B8" s="356" t="inlineStr">
        <is>
          <t>SYNTH-CAND-HC</t>
        </is>
      </c>
      <c r="C8" s="356" t="inlineStr">
        <is>
          <t>Deployment authorization</t>
        </is>
      </c>
      <c r="D8" s="356" t="inlineStr">
        <is>
          <t>Not authorized</t>
        </is>
      </c>
      <c r="E8" s="356" t="inlineStr">
        <is>
          <t>Competent operating authority</t>
        </is>
      </c>
      <c r="F8" s="356" t="inlineStr">
        <is>
          <t>Separate authorization absent</t>
        </is>
      </c>
      <c r="G8" s="356" t="inlineStr">
        <is>
          <t>SCOPE-ILL-001</t>
        </is>
      </c>
      <c r="H8" s="356" t="str"/>
      <c r="I8" s="356" t="inlineStr">
        <is>
          <t>2026-08-11</t>
        </is>
      </c>
      <c r="J8" s="356" t="inlineStr">
        <is>
          <t>2027-02-11</t>
        </is>
      </c>
      <c r="K8" s="356" t="str"/>
      <c r="L8" s="356" t="inlineStr">
        <is>
          <t>Operating-authority appeal</t>
        </is>
      </c>
      <c r="M8" s="111">
        <f>IF(COUNTA(A8:L8)=0,"",IF(OR(LOWER(TRIM(D8))="approved",LOWER(TRIM(D8))="certified",LOWER(TRIM(D8))="safe",LOWER(TRIM(D8))="ethical",LOWER(TRIM(D8))="legitimate",LOWER(TRIM(D8))="compliant",LOWER(TRIM(D8))="due diligence"),"PROHIBITED GENERIC STATUS","OK"))</f>
        <v/>
      </c>
    </row>
    <row r="9">
      <c r="A9" s="81" t="n"/>
      <c r="B9" s="356" t="n"/>
      <c r="C9" s="356" t="n"/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111">
        <f>IF(COUNTA(A9:L9)=0,"",IF(OR(LOWER(TRIM(D9))="approved",LOWER(TRIM(D9))="certified",LOWER(TRIM(D9))="safe",LOWER(TRIM(D9))="ethical",LOWER(TRIM(D9))="legitimate",LOWER(TRIM(D9))="compliant",LOWER(TRIM(D9))="due diligence"),"PROHIBITED GENERIC STATUS","OK"))</f>
        <v/>
      </c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111">
        <f>IF(COUNTA(A10:L10)=0,"",IF(OR(LOWER(TRIM(D10))="approved",LOWER(TRIM(D10))="certified",LOWER(TRIM(D10))="safe",LOWER(TRIM(D10))="ethical",LOWER(TRIM(D10))="legitimate",LOWER(TRIM(D10))="compliant",LOWER(TRIM(D10))="due diligence"),"PROHIBITED GENERIC STATUS","OK"))</f>
        <v/>
      </c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111">
        <f>IF(COUNTA(A11:L11)=0,"",IF(OR(LOWER(TRIM(D11))="approved",LOWER(TRIM(D11))="certified",LOWER(TRIM(D11))="safe",LOWER(TRIM(D11))="ethical",LOWER(TRIM(D11))="legitimate",LOWER(TRIM(D11))="compliant",LOWER(TRIM(D11))="due diligence"),"PROHIBITED GENERIC STATUS","OK"))</f>
        <v/>
      </c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111">
        <f>IF(COUNTA(A12:L12)=0,"",IF(OR(LOWER(TRIM(D12))="approved",LOWER(TRIM(D12))="certified",LOWER(TRIM(D12))="safe",LOWER(TRIM(D12))="ethical",LOWER(TRIM(D12))="legitimate",LOWER(TRIM(D12))="compliant",LOWER(TRIM(D12))="due diligence"),"PROHIBITED GENERIC STATUS","OK"))</f>
        <v/>
      </c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111">
        <f>IF(COUNTA(A13:L13)=0,"",IF(OR(LOWER(TRIM(D13))="approved",LOWER(TRIM(D13))="certified",LOWER(TRIM(D13))="safe",LOWER(TRIM(D13))="ethical",LOWER(TRIM(D13))="legitimate",LOWER(TRIM(D13))="compliant",LOWER(TRIM(D13))="due diligence"),"PROHIBITED GENERIC STATUS","OK"))</f>
        <v/>
      </c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56" t="n"/>
      <c r="I14" s="356" t="n"/>
      <c r="J14" s="356" t="n"/>
      <c r="K14" s="356" t="n"/>
      <c r="L14" s="356" t="n"/>
      <c r="M14" s="111">
        <f>IF(COUNTA(A14:L14)=0,"",IF(OR(LOWER(TRIM(D14))="approved",LOWER(TRIM(D14))="certified",LOWER(TRIM(D14))="safe",LOWER(TRIM(D14))="ethical",LOWER(TRIM(D14))="legitimate",LOWER(TRIM(D14))="compliant",LOWER(TRIM(D14))="due diligence"),"PROHIBITED GENERIC STATUS","OK"))</f>
        <v/>
      </c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56" t="n"/>
      <c r="I15" s="356" t="n"/>
      <c r="J15" s="356" t="n"/>
      <c r="K15" s="356" t="n"/>
      <c r="L15" s="356" t="n"/>
      <c r="M15" s="111">
        <f>IF(COUNTA(A15:L15)=0,"",IF(OR(LOWER(TRIM(D15))="approved",LOWER(TRIM(D15))="certified",LOWER(TRIM(D15))="safe",LOWER(TRIM(D15))="ethical",LOWER(TRIM(D15))="legitimate",LOWER(TRIM(D15))="compliant",LOWER(TRIM(D15))="due diligence"),"PROHIBITED GENERIC STATUS","OK"))</f>
        <v/>
      </c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L16" s="356" t="n"/>
      <c r="M16" s="111">
        <f>IF(COUNTA(A16:L16)=0,"",IF(OR(LOWER(TRIM(D16))="approved",LOWER(TRIM(D16))="certified",LOWER(TRIM(D16))="safe",LOWER(TRIM(D16))="ethical",LOWER(TRIM(D16))="legitimate",LOWER(TRIM(D16))="compliant",LOWER(TRIM(D16))="due diligence"),"PROHIBITED GENERIC STATUS","OK"))</f>
        <v/>
      </c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  <c r="M17" s="111">
        <f>IF(COUNTA(A17:L17)=0,"",IF(OR(LOWER(TRIM(D17))="approved",LOWER(TRIM(D17))="certified",LOWER(TRIM(D17))="safe",LOWER(TRIM(D17))="ethical",LOWER(TRIM(D17))="legitimate",LOWER(TRIM(D17))="compliant",LOWER(TRIM(D17))="due diligence"),"PROHIBITED GENERIC STATUS","OK"))</f>
        <v/>
      </c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  <c r="M18" s="111">
        <f>IF(COUNTA(A18:L18)=0,"",IF(OR(LOWER(TRIM(D18))="approved",LOWER(TRIM(D18))="certified",LOWER(TRIM(D18))="safe",LOWER(TRIM(D18))="ethical",LOWER(TRIM(D18))="legitimate",LOWER(TRIM(D18))="compliant",LOWER(TRIM(D18))="due diligence"),"PROHIBITED GENERIC STATUS","OK"))</f>
        <v/>
      </c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  <c r="M19" s="111">
        <f>IF(COUNTA(A19:L19)=0,"",IF(OR(LOWER(TRIM(D19))="approved",LOWER(TRIM(D19))="certified",LOWER(TRIM(D19))="safe",LOWER(TRIM(D19))="ethical",LOWER(TRIM(D19))="legitimate",LOWER(TRIM(D19))="compliant",LOWER(TRIM(D19))="due diligence"),"PROHIBITED GENERIC STATUS","OK"))</f>
        <v/>
      </c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56" t="n"/>
      <c r="I20" s="356" t="n"/>
      <c r="J20" s="356" t="n"/>
      <c r="K20" s="356" t="n"/>
      <c r="L20" s="356" t="n"/>
      <c r="M20" s="111">
        <f>IF(COUNTA(A20:L20)=0,"",IF(OR(LOWER(TRIM(D20))="approved",LOWER(TRIM(D20))="certified",LOWER(TRIM(D20))="safe",LOWER(TRIM(D20))="ethical",LOWER(TRIM(D20))="legitimate",LOWER(TRIM(D20))="compliant",LOWER(TRIM(D20))="due diligence"),"PROHIBITED GENERIC STATUS","OK"))</f>
        <v/>
      </c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56" t="n"/>
      <c r="I21" s="356" t="n"/>
      <c r="J21" s="356" t="n"/>
      <c r="K21" s="356" t="n"/>
      <c r="L21" s="356" t="n"/>
      <c r="M21" s="111">
        <f>IF(COUNTA(A21:L21)=0,"",IF(OR(LOWER(TRIM(D21))="approved",LOWER(TRIM(D21))="certified",LOWER(TRIM(D21))="safe",LOWER(TRIM(D21))="ethical",LOWER(TRIM(D21))="legitimate",LOWER(TRIM(D21))="compliant",LOWER(TRIM(D21))="due diligence"),"PROHIBITED GENERIC STATUS","OK"))</f>
        <v/>
      </c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111">
        <f>IF(COUNTA(A22:L22)=0,"",IF(OR(LOWER(TRIM(D22))="approved",LOWER(TRIM(D22))="certified",LOWER(TRIM(D22))="safe",LOWER(TRIM(D22))="ethical",LOWER(TRIM(D22))="legitimate",LOWER(TRIM(D22))="compliant",LOWER(TRIM(D22))="due diligence"),"PROHIBITED GENERIC STATUS","OK"))</f>
        <v/>
      </c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56" t="n"/>
      <c r="I23" s="356" t="n"/>
      <c r="J23" s="356" t="n"/>
      <c r="K23" s="356" t="n"/>
      <c r="L23" s="356" t="n"/>
      <c r="M23" s="111">
        <f>IF(COUNTA(A23:L23)=0,"",IF(OR(LOWER(TRIM(D23))="approved",LOWER(TRIM(D23))="certified",LOWER(TRIM(D23))="safe",LOWER(TRIM(D23))="ethical",LOWER(TRIM(D23))="legitimate",LOWER(TRIM(D23))="compliant",LOWER(TRIM(D23))="due diligence"),"PROHIBITED GENERIC STATUS","OK"))</f>
        <v/>
      </c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56" t="n"/>
      <c r="I24" s="356" t="n"/>
      <c r="J24" s="356" t="n"/>
      <c r="K24" s="356" t="n"/>
      <c r="L24" s="356" t="n"/>
      <c r="M24" s="111">
        <f>IF(COUNTA(A24:L24)=0,"",IF(OR(LOWER(TRIM(D24))="approved",LOWER(TRIM(D24))="certified",LOWER(TRIM(D24))="safe",LOWER(TRIM(D24))="ethical",LOWER(TRIM(D24))="legitimate",LOWER(TRIM(D24))="compliant",LOWER(TRIM(D24))="due diligence"),"PROHIBITED GENERIC STATUS","OK"))</f>
        <v/>
      </c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111">
        <f>IF(COUNTA(A25:L25)=0,"",IF(OR(LOWER(TRIM(D25))="approved",LOWER(TRIM(D25))="certified",LOWER(TRIM(D25))="safe",LOWER(TRIM(D25))="ethical",LOWER(TRIM(D25))="legitimate",LOWER(TRIM(D25))="compliant",LOWER(TRIM(D25))="due diligence"),"PROHIBITED GENERIC STATUS","OK"))</f>
        <v/>
      </c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56" t="n"/>
      <c r="I26" s="356" t="n"/>
      <c r="J26" s="356" t="n"/>
      <c r="K26" s="356" t="n"/>
      <c r="L26" s="356" t="n"/>
      <c r="M26" s="111">
        <f>IF(COUNTA(A26:L26)=0,"",IF(OR(LOWER(TRIM(D26))="approved",LOWER(TRIM(D26))="certified",LOWER(TRIM(D26))="safe",LOWER(TRIM(D26))="ethical",LOWER(TRIM(D26))="legitimate",LOWER(TRIM(D26))="compliant",LOWER(TRIM(D26))="due diligence"),"PROHIBITED GENERIC STATUS","OK"))</f>
        <v/>
      </c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56" t="n"/>
      <c r="I27" s="356" t="n"/>
      <c r="J27" s="356" t="n"/>
      <c r="K27" s="356" t="n"/>
      <c r="L27" s="356" t="n"/>
      <c r="M27" s="111">
        <f>IF(COUNTA(A27:L27)=0,"",IF(OR(LOWER(TRIM(D27))="approved",LOWER(TRIM(D27))="certified",LOWER(TRIM(D27))="safe",LOWER(TRIM(D27))="ethical",LOWER(TRIM(D27))="legitimate",LOWER(TRIM(D27))="compliant",LOWER(TRIM(D27))="due diligence"),"PROHIBITED GENERIC STATUS","OK"))</f>
        <v/>
      </c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56" t="n"/>
      <c r="I28" s="356" t="n"/>
      <c r="J28" s="356" t="n"/>
      <c r="K28" s="356" t="n"/>
      <c r="L28" s="356" t="n"/>
      <c r="M28" s="111">
        <f>IF(COUNTA(A28:L28)=0,"",IF(OR(LOWER(TRIM(D28))="approved",LOWER(TRIM(D28))="certified",LOWER(TRIM(D28))="safe",LOWER(TRIM(D28))="ethical",LOWER(TRIM(D28))="legitimate",LOWER(TRIM(D28))="compliant",LOWER(TRIM(D28))="due diligence"),"PROHIBITED GENERIC STATUS","OK"))</f>
        <v/>
      </c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56" t="n"/>
      <c r="I29" s="356" t="n"/>
      <c r="J29" s="356" t="n"/>
      <c r="K29" s="356" t="n"/>
      <c r="L29" s="356" t="n"/>
      <c r="M29" s="111">
        <f>IF(COUNTA(A29:L29)=0,"",IF(OR(LOWER(TRIM(D29))="approved",LOWER(TRIM(D29))="certified",LOWER(TRIM(D29))="safe",LOWER(TRIM(D29))="ethical",LOWER(TRIM(D29))="legitimate",LOWER(TRIM(D29))="compliant",LOWER(TRIM(D29))="due diligence"),"PROHIBITED GENERIC STATUS","OK"))</f>
        <v/>
      </c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111">
        <f>IF(COUNTA(A30:L30)=0,"",IF(OR(LOWER(TRIM(D30))="approved",LOWER(TRIM(D30))="certified",LOWER(TRIM(D30))="safe",LOWER(TRIM(D30))="ethical",LOWER(TRIM(D30))="legitimate",LOWER(TRIM(D30))="compliant",LOWER(TRIM(D30))="due diligence"),"PROHIBITED GENERIC STATUS","OK"))</f>
        <v/>
      </c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56" t="n"/>
      <c r="I31" s="356" t="n"/>
      <c r="J31" s="356" t="n"/>
      <c r="K31" s="356" t="n"/>
      <c r="L31" s="356" t="n"/>
      <c r="M31" s="111">
        <f>IF(COUNTA(A31:L31)=0,"",IF(OR(LOWER(TRIM(D31))="approved",LOWER(TRIM(D31))="certified",LOWER(TRIM(D31))="safe",LOWER(TRIM(D31))="ethical",LOWER(TRIM(D31))="legitimate",LOWER(TRIM(D31))="compliant",LOWER(TRIM(D31))="due diligence"),"PROHIBITED GENERIC STATUS","OK"))</f>
        <v/>
      </c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56" t="n"/>
      <c r="I32" s="356" t="n"/>
      <c r="J32" s="356" t="n"/>
      <c r="K32" s="356" t="n"/>
      <c r="L32" s="356" t="n"/>
      <c r="M32" s="111">
        <f>IF(COUNTA(A32:L32)=0,"",IF(OR(LOWER(TRIM(D32))="approved",LOWER(TRIM(D32))="certified",LOWER(TRIM(D32))="safe",LOWER(TRIM(D32))="ethical",LOWER(TRIM(D32))="legitimate",LOWER(TRIM(D32))="compliant",LOWER(TRIM(D32))="due diligence"),"PROHIBITED GENERIC STATUS","OK"))</f>
        <v/>
      </c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111">
        <f>IF(COUNTA(A33:L33)=0,"",IF(OR(LOWER(TRIM(D33))="approved",LOWER(TRIM(D33))="certified",LOWER(TRIM(D33))="safe",LOWER(TRIM(D33))="ethical",LOWER(TRIM(D33))="legitimate",LOWER(TRIM(D33))="compliant",LOWER(TRIM(D33))="due diligence"),"PROHIBITED GENERIC STATUS","OK"))</f>
        <v/>
      </c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111">
        <f>IF(COUNTA(A34:L34)=0,"",IF(OR(LOWER(TRIM(D34))="approved",LOWER(TRIM(D34))="certified",LOWER(TRIM(D34))="safe",LOWER(TRIM(D34))="ethical",LOWER(TRIM(D34))="legitimate",LOWER(TRIM(D34))="compliant",LOWER(TRIM(D34))="due diligence"),"PROHIBITED GENERIC STATUS","OK"))</f>
        <v/>
      </c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6" t="n"/>
      <c r="L35" s="356" t="n"/>
      <c r="M35" s="111">
        <f>IF(COUNTA(A35:L35)=0,"",IF(OR(LOWER(TRIM(D35))="approved",LOWER(TRIM(D35))="certified",LOWER(TRIM(D35))="safe",LOWER(TRIM(D35))="ethical",LOWER(TRIM(D35))="legitimate",LOWER(TRIM(D35))="compliant",LOWER(TRIM(D35))="due diligence"),"PROHIBITED GENERIC STATUS","OK"))</f>
        <v/>
      </c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56" t="n"/>
      <c r="I36" s="356" t="n"/>
      <c r="J36" s="356" t="n"/>
      <c r="K36" s="356" t="n"/>
      <c r="L36" s="356" t="n"/>
      <c r="M36" s="111">
        <f>IF(COUNTA(A36:L36)=0,"",IF(OR(LOWER(TRIM(D36))="approved",LOWER(TRIM(D36))="certified",LOWER(TRIM(D36))="safe",LOWER(TRIM(D36))="ethical",LOWER(TRIM(D36))="legitimate",LOWER(TRIM(D36))="compliant",LOWER(TRIM(D36))="due diligence"),"PROHIBITED GENERIC STATUS","OK"))</f>
        <v/>
      </c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6" t="n"/>
      <c r="L37" s="356" t="n"/>
      <c r="M37" s="111">
        <f>IF(COUNTA(A37:L37)=0,"",IF(OR(LOWER(TRIM(D37))="approved",LOWER(TRIM(D37))="certified",LOWER(TRIM(D37))="safe",LOWER(TRIM(D37))="ethical",LOWER(TRIM(D37))="legitimate",LOWER(TRIM(D37))="compliant",LOWER(TRIM(D37))="due diligence"),"PROHIBITED GENERIC STATUS","OK"))</f>
        <v/>
      </c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56" t="n"/>
      <c r="I38" s="356" t="n"/>
      <c r="J38" s="356" t="n"/>
      <c r="K38" s="356" t="n"/>
      <c r="L38" s="356" t="n"/>
      <c r="M38" s="111">
        <f>IF(COUNTA(A38:L38)=0,"",IF(OR(LOWER(TRIM(D38))="approved",LOWER(TRIM(D38))="certified",LOWER(TRIM(D38))="safe",LOWER(TRIM(D38))="ethical",LOWER(TRIM(D38))="legitimate",LOWER(TRIM(D38))="compliant",LOWER(TRIM(D38))="due diligence"),"PROHIBITED GENERIC STATUS","OK"))</f>
        <v/>
      </c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56" t="n"/>
      <c r="I39" s="356" t="n"/>
      <c r="J39" s="356" t="n"/>
      <c r="K39" s="356" t="n"/>
      <c r="L39" s="356" t="n"/>
      <c r="M39" s="111">
        <f>IF(COUNTA(A39:L39)=0,"",IF(OR(LOWER(TRIM(D39))="approved",LOWER(TRIM(D39))="certified",LOWER(TRIM(D39))="safe",LOWER(TRIM(D39))="ethical",LOWER(TRIM(D39))="legitimate",LOWER(TRIM(D39))="compliant",LOWER(TRIM(D39))="due diligence"),"PROHIBITED GENERIC STATUS","OK"))</f>
        <v/>
      </c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56" t="n"/>
      <c r="I40" s="356" t="n"/>
      <c r="J40" s="356" t="n"/>
      <c r="K40" s="356" t="n"/>
      <c r="L40" s="356" t="n"/>
      <c r="M40" s="111">
        <f>IF(COUNTA(A40:L40)=0,"",IF(OR(LOWER(TRIM(D40))="approved",LOWER(TRIM(D40))="certified",LOWER(TRIM(D40))="safe",LOWER(TRIM(D40))="ethical",LOWER(TRIM(D40))="legitimate",LOWER(TRIM(D40))="compliant",LOWER(TRIM(D40))="due diligence"),"PROHIBITED GENERIC STATUS","OK"))</f>
        <v/>
      </c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111">
        <f>IF(COUNTA(A41:L41)=0,"",IF(OR(LOWER(TRIM(D41))="approved",LOWER(TRIM(D41))="certified",LOWER(TRIM(D41))="safe",LOWER(TRIM(D41))="ethical",LOWER(TRIM(D41))="legitimate",LOWER(TRIM(D41))="compliant",LOWER(TRIM(D41))="due diligence"),"PROHIBITED GENERIC STATUS","OK"))</f>
        <v/>
      </c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111">
        <f>IF(COUNTA(A42:L42)=0,"",IF(OR(LOWER(TRIM(D42))="approved",LOWER(TRIM(D42))="certified",LOWER(TRIM(D42))="safe",LOWER(TRIM(D42))="ethical",LOWER(TRIM(D42))="legitimate",LOWER(TRIM(D42))="compliant",LOWER(TRIM(D42))="due diligence"),"PROHIBITED GENERIC STATUS","OK"))</f>
        <v/>
      </c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56" t="n"/>
      <c r="I43" s="356" t="n"/>
      <c r="J43" s="356" t="n"/>
      <c r="K43" s="356" t="n"/>
      <c r="L43" s="356" t="n"/>
      <c r="M43" s="111">
        <f>IF(COUNTA(A43:L43)=0,"",IF(OR(LOWER(TRIM(D43))="approved",LOWER(TRIM(D43))="certified",LOWER(TRIM(D43))="safe",LOWER(TRIM(D43))="ethical",LOWER(TRIM(D43))="legitimate",LOWER(TRIM(D43))="compliant",LOWER(TRIM(D43))="due diligence"),"PROHIBITED GENERIC STATUS","OK"))</f>
        <v/>
      </c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56" t="n"/>
      <c r="I44" s="356" t="n"/>
      <c r="J44" s="356" t="n"/>
      <c r="K44" s="356" t="n"/>
      <c r="L44" s="356" t="n"/>
      <c r="M44" s="111">
        <f>IF(COUNTA(A44:L44)=0,"",IF(OR(LOWER(TRIM(D44))="approved",LOWER(TRIM(D44))="certified",LOWER(TRIM(D44))="safe",LOWER(TRIM(D44))="ethical",LOWER(TRIM(D44))="legitimate",LOWER(TRIM(D44))="compliant",LOWER(TRIM(D44))="due diligence"),"PROHIBITED GENERIC STATUS","OK"))</f>
        <v/>
      </c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56" t="n"/>
      <c r="I45" s="356" t="n"/>
      <c r="J45" s="356" t="n"/>
      <c r="K45" s="356" t="n"/>
      <c r="L45" s="356" t="n"/>
      <c r="M45" s="111">
        <f>IF(COUNTA(A45:L45)=0,"",IF(OR(LOWER(TRIM(D45))="approved",LOWER(TRIM(D45))="certified",LOWER(TRIM(D45))="safe",LOWER(TRIM(D45))="ethical",LOWER(TRIM(D45))="legitimate",LOWER(TRIM(D45))="compliant",LOWER(TRIM(D45))="due diligence"),"PROHIBITED GENERIC STATUS","OK"))</f>
        <v/>
      </c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111">
        <f>IF(COUNTA(A46:L46)=0,"",IF(OR(LOWER(TRIM(D46))="approved",LOWER(TRIM(D46))="certified",LOWER(TRIM(D46))="safe",LOWER(TRIM(D46))="ethical",LOWER(TRIM(D46))="legitimate",LOWER(TRIM(D46))="compliant",LOWER(TRIM(D46))="due diligence"),"PROHIBITED GENERIC STATUS","OK"))</f>
        <v/>
      </c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56" t="n"/>
      <c r="I47" s="356" t="n"/>
      <c r="J47" s="356" t="n"/>
      <c r="K47" s="356" t="n"/>
      <c r="L47" s="356" t="n"/>
      <c r="M47" s="111">
        <f>IF(COUNTA(A47:L47)=0,"",IF(OR(LOWER(TRIM(D47))="approved",LOWER(TRIM(D47))="certified",LOWER(TRIM(D47))="safe",LOWER(TRIM(D47))="ethical",LOWER(TRIM(D47))="legitimate",LOWER(TRIM(D47))="compliant",LOWER(TRIM(D47))="due diligence"),"PROHIBITED GENERIC STATUS","OK"))</f>
        <v/>
      </c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111">
        <f>IF(COUNTA(A48:L48)=0,"",IF(OR(LOWER(TRIM(D48))="approved",LOWER(TRIM(D48))="certified",LOWER(TRIM(D48))="safe",LOWER(TRIM(D48))="ethical",LOWER(TRIM(D48))="legitimate",LOWER(TRIM(D48))="compliant",LOWER(TRIM(D48))="due diligence"),"PROHIBITED GENERIC STATUS","OK"))</f>
        <v/>
      </c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56" t="n"/>
      <c r="I49" s="356" t="n"/>
      <c r="J49" s="356" t="n"/>
      <c r="K49" s="356" t="n"/>
      <c r="L49" s="356" t="n"/>
      <c r="M49" s="111">
        <f>IF(COUNTA(A49:L49)=0,"",IF(OR(LOWER(TRIM(D49))="approved",LOWER(TRIM(D49))="certified",LOWER(TRIM(D49))="safe",LOWER(TRIM(D49))="ethical",LOWER(TRIM(D49))="legitimate",LOWER(TRIM(D49))="compliant",LOWER(TRIM(D49))="due diligence"),"PROHIBITED GENERIC STATUS","OK"))</f>
        <v/>
      </c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56" t="n"/>
      <c r="I50" s="356" t="n"/>
      <c r="J50" s="356" t="n"/>
      <c r="K50" s="356" t="n"/>
      <c r="L50" s="356" t="n"/>
      <c r="M50" s="111">
        <f>IF(COUNTA(A50:L50)=0,"",IF(OR(LOWER(TRIM(D50))="approved",LOWER(TRIM(D50))="certified",LOWER(TRIM(D50))="safe",LOWER(TRIM(D50))="ethical",LOWER(TRIM(D50))="legitimate",LOWER(TRIM(D50))="compliant",LOWER(TRIM(D50))="due diligence"),"PROHIBITED GENERIC STATUS","OK"))</f>
        <v/>
      </c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56" t="n"/>
      <c r="I51" s="356" t="n"/>
      <c r="J51" s="356" t="n"/>
      <c r="K51" s="356" t="n"/>
      <c r="L51" s="356" t="n"/>
      <c r="M51" s="111">
        <f>IF(COUNTA(A51:L51)=0,"",IF(OR(LOWER(TRIM(D51))="approved",LOWER(TRIM(D51))="certified",LOWER(TRIM(D51))="safe",LOWER(TRIM(D51))="ethical",LOWER(TRIM(D51))="legitimate",LOWER(TRIM(D51))="compliant",LOWER(TRIM(D51))="due diligence"),"PROHIBITED GENERIC STATUS","OK"))</f>
        <v/>
      </c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56" t="n"/>
      <c r="I52" s="356" t="n"/>
      <c r="J52" s="356" t="n"/>
      <c r="K52" s="356" t="n"/>
      <c r="L52" s="356" t="n"/>
      <c r="M52" s="111">
        <f>IF(COUNTA(A52:L52)=0,"",IF(OR(LOWER(TRIM(D52))="approved",LOWER(TRIM(D52))="certified",LOWER(TRIM(D52))="safe",LOWER(TRIM(D52))="ethical",LOWER(TRIM(D52))="legitimate",LOWER(TRIM(D52))="compliant",LOWER(TRIM(D52))="due diligence"),"PROHIBITED GENERIC STATUS","OK"))</f>
        <v/>
      </c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56" t="n"/>
      <c r="I53" s="356" t="n"/>
      <c r="J53" s="356" t="n"/>
      <c r="K53" s="356" t="n"/>
      <c r="L53" s="356" t="n"/>
      <c r="M53" s="111">
        <f>IF(COUNTA(A53:L53)=0,"",IF(OR(LOWER(TRIM(D53))="approved",LOWER(TRIM(D53))="certified",LOWER(TRIM(D53))="safe",LOWER(TRIM(D53))="ethical",LOWER(TRIM(D53))="legitimate",LOWER(TRIM(D53))="compliant",LOWER(TRIM(D53))="due diligence"),"PROHIBITED GENERIC STATUS","OK"))</f>
        <v/>
      </c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56" t="n"/>
      <c r="I54" s="356" t="n"/>
      <c r="J54" s="356" t="n"/>
      <c r="K54" s="356" t="n"/>
      <c r="L54" s="356" t="n"/>
      <c r="M54" s="111">
        <f>IF(COUNTA(A54:L54)=0,"",IF(OR(LOWER(TRIM(D54))="approved",LOWER(TRIM(D54))="certified",LOWER(TRIM(D54))="safe",LOWER(TRIM(D54))="ethical",LOWER(TRIM(D54))="legitimate",LOWER(TRIM(D54))="compliant",LOWER(TRIM(D54))="due diligence"),"PROHIBITED GENERIC STATUS","OK"))</f>
        <v/>
      </c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56" t="n"/>
      <c r="I55" s="356" t="n"/>
      <c r="J55" s="356" t="n"/>
      <c r="K55" s="356" t="n"/>
      <c r="L55" s="356" t="n"/>
      <c r="M55" s="111">
        <f>IF(COUNTA(A55:L55)=0,"",IF(OR(LOWER(TRIM(D55))="approved",LOWER(TRIM(D55))="certified",LOWER(TRIM(D55))="safe",LOWER(TRIM(D55))="ethical",LOWER(TRIM(D55))="legitimate",LOWER(TRIM(D55))="compliant",LOWER(TRIM(D55))="due diligence"),"PROHIBITED GENERIC STATUS","OK"))</f>
        <v/>
      </c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111">
        <f>IF(COUNTA(A56:L56)=0,"",IF(OR(LOWER(TRIM(D56))="approved",LOWER(TRIM(D56))="certified",LOWER(TRIM(D56))="safe",LOWER(TRIM(D56))="ethical",LOWER(TRIM(D56))="legitimate",LOWER(TRIM(D56))="compliant",LOWER(TRIM(D56))="due diligence"),"PROHIBITED GENERIC STATUS","OK"))</f>
        <v/>
      </c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56" t="n"/>
      <c r="I57" s="356" t="n"/>
      <c r="J57" s="356" t="n"/>
      <c r="K57" s="356" t="n"/>
      <c r="L57" s="356" t="n"/>
      <c r="M57" s="111">
        <f>IF(COUNTA(A57:L57)=0,"",IF(OR(LOWER(TRIM(D57))="approved",LOWER(TRIM(D57))="certified",LOWER(TRIM(D57))="safe",LOWER(TRIM(D57))="ethical",LOWER(TRIM(D57))="legitimate",LOWER(TRIM(D57))="compliant",LOWER(TRIM(D57))="due diligence"),"PROHIBITED GENERIC STATUS","OK"))</f>
        <v/>
      </c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111">
        <f>IF(COUNTA(A58:L58)=0,"",IF(OR(LOWER(TRIM(D58))="approved",LOWER(TRIM(D58))="certified",LOWER(TRIM(D58))="safe",LOWER(TRIM(D58))="ethical",LOWER(TRIM(D58))="legitimate",LOWER(TRIM(D58))="compliant",LOWER(TRIM(D58))="due diligence"),"PROHIBITED GENERIC STATUS","OK"))</f>
        <v/>
      </c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56" t="n"/>
      <c r="I59" s="356" t="n"/>
      <c r="J59" s="356" t="n"/>
      <c r="K59" s="356" t="n"/>
      <c r="L59" s="356" t="n"/>
      <c r="M59" s="111">
        <f>IF(COUNTA(A59:L59)=0,"",IF(OR(LOWER(TRIM(D59))="approved",LOWER(TRIM(D59))="certified",LOWER(TRIM(D59))="safe",LOWER(TRIM(D59))="ethical",LOWER(TRIM(D59))="legitimate",LOWER(TRIM(D59))="compliant",LOWER(TRIM(D59))="due diligence"),"PROHIBITED GENERIC STATUS","OK"))</f>
        <v/>
      </c>
    </row>
    <row r="60">
      <c r="A60" s="83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112">
        <f>IF(COUNTA(A60:L60)=0,"",IF(OR(LOWER(TRIM(D60))="approved",LOWER(TRIM(D60))="certified",LOWER(TRIM(D60))="safe",LOWER(TRIM(D60))="ethical",LOWER(TRIM(D60))="legitimate",LOWER(TRIM(D60))="compliant",LOWER(TRIM(D60))="due diligence"),"PROHIBITED GENERIC STATUS","OK"))</f>
        <v/>
      </c>
    </row>
    <row r="61">
      <c r="M61">
        <f>IF(COUNTA(A61:L61)=0,"",IF(OR(LOWER(TRIM(D61))="approved",LOWER(TRIM(D61))="certified",LOWER(TRIM(D61))="safe",LOWER(TRIM(D61))="ethical",LOWER(TRIM(D61))="legitimate",LOWER(TRIM(D61))="compliant",LOWER(TRIM(D61))="due diligence"),"PROHIBITED GENERIC STATUS","OK"))</f>
        <v/>
      </c>
    </row>
    <row r="62">
      <c r="M62">
        <f>IF(COUNTA(A62:L62)=0,"",IF(OR(LOWER(TRIM(D62))="approved",LOWER(TRIM(D62))="certified",LOWER(TRIM(D62))="safe",LOWER(TRIM(D62))="ethical",LOWER(TRIM(D62))="legitimate",LOWER(TRIM(D62))="compliant",LOWER(TRIM(D62))="due diligence"),"PROHIBITED GENERIC STATUS","OK"))</f>
        <v/>
      </c>
    </row>
    <row r="63">
      <c r="M63">
        <f>IF(COUNTA(A63:L63)=0,"",IF(OR(LOWER(TRIM(D63))="approved",LOWER(TRIM(D63))="certified",LOWER(TRIM(D63))="safe",LOWER(TRIM(D63))="ethical",LOWER(TRIM(D63))="legitimate",LOWER(TRIM(D63))="compliant",LOWER(TRIM(D63))="due diligence"),"PROHIBITED GENERIC STATUS","OK"))</f>
        <v/>
      </c>
    </row>
    <row r="64">
      <c r="M64">
        <f>IF(COUNTA(A64:L64)=0,"",IF(OR(LOWER(TRIM(D64))="approved",LOWER(TRIM(D64))="certified",LOWER(TRIM(D64))="safe",LOWER(TRIM(D64))="ethical",LOWER(TRIM(D64))="legitimate",LOWER(TRIM(D64))="compliant",LOWER(TRIM(D64))="due diligence"),"PROHIBITED GENERIC STATUS","OK"))</f>
        <v/>
      </c>
    </row>
    <row r="65">
      <c r="M65">
        <f>IF(COUNTA(A65:L65)=0,"",IF(OR(LOWER(TRIM(D65))="approved",LOWER(TRIM(D65))="certified",LOWER(TRIM(D65))="safe",LOWER(TRIM(D65))="ethical",LOWER(TRIM(D65))="legitimate",LOWER(TRIM(D65))="compliant",LOWER(TRIM(D65))="due diligence"),"PROHIBITED GENERIC STATUS","OK"))</f>
        <v/>
      </c>
    </row>
    <row r="66">
      <c r="M66">
        <f>IF(COUNTA(A66:L66)=0,"",IF(OR(LOWER(TRIM(D66))="approved",LOWER(TRIM(D66))="certified",LOWER(TRIM(D66))="safe",LOWER(TRIM(D66))="ethical",LOWER(TRIM(D66))="legitimate",LOWER(TRIM(D66))="compliant",LOWER(TRIM(D66))="due diligence"),"PROHIBITED GENERIC STATUS","OK"))</f>
        <v/>
      </c>
    </row>
    <row r="67">
      <c r="M67">
        <f>IF(COUNTA(A67:L67)=0,"",IF(OR(LOWER(TRIM(D67))="approved",LOWER(TRIM(D67))="certified",LOWER(TRIM(D67))="safe",LOWER(TRIM(D67))="ethical",LOWER(TRIM(D67))="legitimate",LOWER(TRIM(D67))="compliant",LOWER(TRIM(D67))="due diligence"),"PROHIBITED GENERIC STATUS","OK"))</f>
        <v/>
      </c>
    </row>
    <row r="68">
      <c r="M68">
        <f>IF(COUNTA(A68:L68)=0,"",IF(OR(LOWER(TRIM(D68))="approved",LOWER(TRIM(D68))="certified",LOWER(TRIM(D68))="safe",LOWER(TRIM(D68))="ethical",LOWER(TRIM(D68))="legitimate",LOWER(TRIM(D68))="compliant",LOWER(TRIM(D68))="due diligence"),"PROHIBITED GENERIC STATUS","OK"))</f>
        <v/>
      </c>
    </row>
    <row r="69">
      <c r="M69">
        <f>IF(COUNTA(A69:L69)=0,"",IF(OR(LOWER(TRIM(D69))="approved",LOWER(TRIM(D69))="certified",LOWER(TRIM(D69))="safe",LOWER(TRIM(D69))="ethical",LOWER(TRIM(D69))="legitimate",LOWER(TRIM(D69))="compliant",LOWER(TRIM(D69))="due diligence"),"PROHIBITED GENERIC STATUS","OK"))</f>
        <v/>
      </c>
    </row>
    <row r="70">
      <c r="M70">
        <f>IF(COUNTA(A70:L70)=0,"",IF(OR(LOWER(TRIM(D70))="approved",LOWER(TRIM(D70))="certified",LOWER(TRIM(D70))="safe",LOWER(TRIM(D70))="ethical",LOWER(TRIM(D70))="legitimate",LOWER(TRIM(D70))="compliant",LOWER(TRIM(D70))="due diligence"),"PROHIBITED GENERIC STATUS","OK"))</f>
        <v/>
      </c>
    </row>
    <row r="71">
      <c r="M71">
        <f>IF(COUNTA(A71:L71)=0,"",IF(OR(LOWER(TRIM(D71))="approved",LOWER(TRIM(D71))="certified",LOWER(TRIM(D71))="safe",LOWER(TRIM(D71))="ethical",LOWER(TRIM(D71))="legitimate",LOWER(TRIM(D71))="compliant",LOWER(TRIM(D71))="due diligence"),"PROHIBITED GENERIC STATUS","OK"))</f>
        <v/>
      </c>
    </row>
    <row r="72">
      <c r="M72">
        <f>IF(COUNTA(A72:L72)=0,"",IF(OR(LOWER(TRIM(D72))="approved",LOWER(TRIM(D72))="certified",LOWER(TRIM(D72))="safe",LOWER(TRIM(D72))="ethical",LOWER(TRIM(D72))="legitimate",LOWER(TRIM(D72))="compliant",LOWER(TRIM(D72))="due diligence"),"PROHIBITED GENERIC STATUS","OK"))</f>
        <v/>
      </c>
    </row>
    <row r="73">
      <c r="M73">
        <f>IF(COUNTA(A73:L73)=0,"",IF(OR(LOWER(TRIM(D73))="approved",LOWER(TRIM(D73))="certified",LOWER(TRIM(D73))="safe",LOWER(TRIM(D73))="ethical",LOWER(TRIM(D73))="legitimate",LOWER(TRIM(D73))="compliant",LOWER(TRIM(D73))="due diligence"),"PROHIBITED GENERIC STATUS","OK"))</f>
        <v/>
      </c>
    </row>
    <row r="74">
      <c r="M74">
        <f>IF(COUNTA(A74:L74)=0,"",IF(OR(LOWER(TRIM(D74))="approved",LOWER(TRIM(D74))="certified",LOWER(TRIM(D74))="safe",LOWER(TRIM(D74))="ethical",LOWER(TRIM(D74))="legitimate",LOWER(TRIM(D74))="compliant",LOWER(TRIM(D74))="due diligence"),"PROHIBITED GENERIC STATUS","OK"))</f>
        <v/>
      </c>
    </row>
    <row r="75">
      <c r="M75">
        <f>IF(COUNTA(A75:L75)=0,"",IF(OR(LOWER(TRIM(D75))="approved",LOWER(TRIM(D75))="certified",LOWER(TRIM(D75))="safe",LOWER(TRIM(D75))="ethical",LOWER(TRIM(D75))="legitimate",LOWER(TRIM(D75))="compliant",LOWER(TRIM(D75))="due diligence"),"PROHIBITED GENERIC STATUS","OK"))</f>
        <v/>
      </c>
    </row>
    <row r="76">
      <c r="M76">
        <f>IF(COUNTA(A76:L76)=0,"",IF(OR(LOWER(TRIM(D76))="approved",LOWER(TRIM(D76))="certified",LOWER(TRIM(D76))="safe",LOWER(TRIM(D76))="ethical",LOWER(TRIM(D76))="legitimate",LOWER(TRIM(D76))="compliant",LOWER(TRIM(D76))="due diligence"),"PROHIBITED GENERIC STATUS","OK"))</f>
        <v/>
      </c>
    </row>
    <row r="77">
      <c r="M77">
        <f>IF(COUNTA(A77:L77)=0,"",IF(OR(LOWER(TRIM(D77))="approved",LOWER(TRIM(D77))="certified",LOWER(TRIM(D77))="safe",LOWER(TRIM(D77))="ethical",LOWER(TRIM(D77))="legitimate",LOWER(TRIM(D77))="compliant",LOWER(TRIM(D77))="due diligence"),"PROHIBITED GENERIC STATUS","OK"))</f>
        <v/>
      </c>
    </row>
    <row r="78">
      <c r="M78">
        <f>IF(COUNTA(A78:L78)=0,"",IF(OR(LOWER(TRIM(D78))="approved",LOWER(TRIM(D78))="certified",LOWER(TRIM(D78))="safe",LOWER(TRIM(D78))="ethical",LOWER(TRIM(D78))="legitimate",LOWER(TRIM(D78))="compliant",LOWER(TRIM(D78))="due diligence"),"PROHIBITED GENERIC STATUS","OK"))</f>
        <v/>
      </c>
    </row>
    <row r="79">
      <c r="M79">
        <f>IF(COUNTA(A79:L79)=0,"",IF(OR(LOWER(TRIM(D79))="approved",LOWER(TRIM(D79))="certified",LOWER(TRIM(D79))="safe",LOWER(TRIM(D79))="ethical",LOWER(TRIM(D79))="legitimate",LOWER(TRIM(D79))="compliant",LOWER(TRIM(D79))="due diligence"),"PROHIBITED GENERIC STATUS","OK"))</f>
        <v/>
      </c>
    </row>
    <row r="80">
      <c r="M80">
        <f>IF(COUNTA(A80:L80)=0,"",IF(OR(LOWER(TRIM(D80))="approved",LOWER(TRIM(D80))="certified",LOWER(TRIM(D80))="safe",LOWER(TRIM(D80))="ethical",LOWER(TRIM(D80))="legitimate",LOWER(TRIM(D80))="compliant",LOWER(TRIM(D80))="due diligence"),"PROHIBITED GENERIC STATUS","OK"))</f>
        <v/>
      </c>
    </row>
    <row r="81">
      <c r="M81">
        <f>IF(COUNTA(A81:L81)=0,"",IF(OR(LOWER(TRIM(D81))="approved",LOWER(TRIM(D81))="certified",LOWER(TRIM(D81))="safe",LOWER(TRIM(D81))="ethical",LOWER(TRIM(D81))="legitimate",LOWER(TRIM(D81))="compliant",LOWER(TRIM(D81))="due diligence"),"PROHIBITED GENERIC STATUS","OK"))</f>
        <v/>
      </c>
    </row>
    <row r="82">
      <c r="M82">
        <f>IF(COUNTA(A82:L82)=0,"",IF(OR(LOWER(TRIM(D82))="approved",LOWER(TRIM(D82))="certified",LOWER(TRIM(D82))="safe",LOWER(TRIM(D82))="ethical",LOWER(TRIM(D82))="legitimate",LOWER(TRIM(D82))="compliant",LOWER(TRIM(D82))="due diligence"),"PROHIBITED GENERIC STATUS","OK"))</f>
        <v/>
      </c>
    </row>
    <row r="83">
      <c r="M83">
        <f>IF(COUNTA(A83:L83)=0,"",IF(OR(LOWER(TRIM(D83))="approved",LOWER(TRIM(D83))="certified",LOWER(TRIM(D83))="safe",LOWER(TRIM(D83))="ethical",LOWER(TRIM(D83))="legitimate",LOWER(TRIM(D83))="compliant",LOWER(TRIM(D83))="due diligence"),"PROHIBITED GENERIC STATUS","OK"))</f>
        <v/>
      </c>
    </row>
    <row r="84">
      <c r="M84">
        <f>IF(COUNTA(A84:L84)=0,"",IF(OR(LOWER(TRIM(D84))="approved",LOWER(TRIM(D84))="certified",LOWER(TRIM(D84))="safe",LOWER(TRIM(D84))="ethical",LOWER(TRIM(D84))="legitimate",LOWER(TRIM(D84))="compliant",LOWER(TRIM(D84))="due diligence"),"PROHIBITED GENERIC STATUS","OK"))</f>
        <v/>
      </c>
    </row>
    <row r="85">
      <c r="M85">
        <f>IF(COUNTA(A85:L85)=0,"",IF(OR(LOWER(TRIM(D85))="approved",LOWER(TRIM(D85))="certified",LOWER(TRIM(D85))="safe",LOWER(TRIM(D85))="ethical",LOWER(TRIM(D85))="legitimate",LOWER(TRIM(D85))="compliant",LOWER(TRIM(D85))="due diligence"),"PROHIBITED GENERIC STATUS","OK"))</f>
        <v/>
      </c>
    </row>
    <row r="86">
      <c r="M86">
        <f>IF(COUNTA(A86:L86)=0,"",IF(OR(LOWER(TRIM(D86))="approved",LOWER(TRIM(D86))="certified",LOWER(TRIM(D86))="safe",LOWER(TRIM(D86))="ethical",LOWER(TRIM(D86))="legitimate",LOWER(TRIM(D86))="compliant",LOWER(TRIM(D86))="due diligence"),"PROHIBITED GENERIC STATUS","OK"))</f>
        <v/>
      </c>
    </row>
    <row r="87">
      <c r="M87">
        <f>IF(COUNTA(A87:L87)=0,"",IF(OR(LOWER(TRIM(D87))="approved",LOWER(TRIM(D87))="certified",LOWER(TRIM(D87))="safe",LOWER(TRIM(D87))="ethical",LOWER(TRIM(D87))="legitimate",LOWER(TRIM(D87))="compliant",LOWER(TRIM(D87))="due diligence"),"PROHIBITED GENERIC STATUS","OK"))</f>
        <v/>
      </c>
    </row>
    <row r="88">
      <c r="M88">
        <f>IF(COUNTA(A88:L88)=0,"",IF(OR(LOWER(TRIM(D88))="approved",LOWER(TRIM(D88))="certified",LOWER(TRIM(D88))="safe",LOWER(TRIM(D88))="ethical",LOWER(TRIM(D88))="legitimate",LOWER(TRIM(D88))="compliant",LOWER(TRIM(D88))="due diligence"),"PROHIBITED GENERIC STATUS","OK"))</f>
        <v/>
      </c>
    </row>
    <row r="89">
      <c r="M89">
        <f>IF(COUNTA(A89:L89)=0,"",IF(OR(LOWER(TRIM(D89))="approved",LOWER(TRIM(D89))="certified",LOWER(TRIM(D89))="safe",LOWER(TRIM(D89))="ethical",LOWER(TRIM(D89))="legitimate",LOWER(TRIM(D89))="compliant",LOWER(TRIM(D89))="due diligence"),"PROHIBITED GENERIC STATUS","OK"))</f>
        <v/>
      </c>
    </row>
    <row r="90">
      <c r="M90">
        <f>IF(COUNTA(A90:L90)=0,"",IF(OR(LOWER(TRIM(D90))="approved",LOWER(TRIM(D90))="certified",LOWER(TRIM(D90))="safe",LOWER(TRIM(D90))="ethical",LOWER(TRIM(D90))="legitimate",LOWER(TRIM(D90))="compliant",LOWER(TRIM(D90))="due diligence"),"PROHIBITED GENERIC STATUS","OK"))</f>
        <v/>
      </c>
    </row>
    <row r="91">
      <c r="M91">
        <f>IF(COUNTA(A91:L91)=0,"",IF(OR(LOWER(TRIM(D91))="approved",LOWER(TRIM(D91))="certified",LOWER(TRIM(D91))="safe",LOWER(TRIM(D91))="ethical",LOWER(TRIM(D91))="legitimate",LOWER(TRIM(D91))="compliant",LOWER(TRIM(D91))="due diligence"),"PROHIBITED GENERIC STATUS","OK"))</f>
        <v/>
      </c>
    </row>
    <row r="92">
      <c r="M92">
        <f>IF(COUNTA(A92:L92)=0,"",IF(OR(LOWER(TRIM(D92))="approved",LOWER(TRIM(D92))="certified",LOWER(TRIM(D92))="safe",LOWER(TRIM(D92))="ethical",LOWER(TRIM(D92))="legitimate",LOWER(TRIM(D92))="compliant",LOWER(TRIM(D92))="due diligence"),"PROHIBITED GENERIC STATUS","OK"))</f>
        <v/>
      </c>
    </row>
    <row r="93">
      <c r="M93">
        <f>IF(COUNTA(A93:L93)=0,"",IF(OR(LOWER(TRIM(D93))="approved",LOWER(TRIM(D93))="certified",LOWER(TRIM(D93))="safe",LOWER(TRIM(D93))="ethical",LOWER(TRIM(D93))="legitimate",LOWER(TRIM(D93))="compliant",LOWER(TRIM(D93))="due diligence"),"PROHIBITED GENERIC STATUS","OK"))</f>
        <v/>
      </c>
    </row>
    <row r="94">
      <c r="M94">
        <f>IF(COUNTA(A94:L94)=0,"",IF(OR(LOWER(TRIM(D94))="approved",LOWER(TRIM(D94))="certified",LOWER(TRIM(D94))="safe",LOWER(TRIM(D94))="ethical",LOWER(TRIM(D94))="legitimate",LOWER(TRIM(D94))="compliant",LOWER(TRIM(D94))="due diligence"),"PROHIBITED GENERIC STATUS","OK"))</f>
        <v/>
      </c>
    </row>
    <row r="95">
      <c r="M95">
        <f>IF(COUNTA(A95:L95)=0,"",IF(OR(LOWER(TRIM(D95))="approved",LOWER(TRIM(D95))="certified",LOWER(TRIM(D95))="safe",LOWER(TRIM(D95))="ethical",LOWER(TRIM(D95))="legitimate",LOWER(TRIM(D95))="compliant",LOWER(TRIM(D95))="due diligence"),"PROHIBITED GENERIC STATUS","OK"))</f>
        <v/>
      </c>
    </row>
    <row r="96">
      <c r="M96">
        <f>IF(COUNTA(A96:L96)=0,"",IF(OR(LOWER(TRIM(D96))="approved",LOWER(TRIM(D96))="certified",LOWER(TRIM(D96))="safe",LOWER(TRIM(D96))="ethical",LOWER(TRIM(D96))="legitimate",LOWER(TRIM(D96))="compliant",LOWER(TRIM(D96))="due diligence"),"PROHIBITED GENERIC STATUS","OK"))</f>
        <v/>
      </c>
    </row>
    <row r="97">
      <c r="M97">
        <f>IF(COUNTA(A97:L97)=0,"",IF(OR(LOWER(TRIM(D97))="approved",LOWER(TRIM(D97))="certified",LOWER(TRIM(D97))="safe",LOWER(TRIM(D97))="ethical",LOWER(TRIM(D97))="legitimate",LOWER(TRIM(D97))="compliant",LOWER(TRIM(D97))="due diligence"),"PROHIBITED GENERIC STATUS","OK"))</f>
        <v/>
      </c>
    </row>
    <row r="98">
      <c r="M98">
        <f>IF(COUNTA(A98:L98)=0,"",IF(OR(LOWER(TRIM(D98))="approved",LOWER(TRIM(D98))="certified",LOWER(TRIM(D98))="safe",LOWER(TRIM(D98))="ethical",LOWER(TRIM(D98))="legitimate",LOWER(TRIM(D98))="compliant",LOWER(TRIM(D98))="due diligence"),"PROHIBITED GENERIC STATUS","OK"))</f>
        <v/>
      </c>
    </row>
    <row r="99">
      <c r="M99">
        <f>IF(COUNTA(A99:L99)=0,"",IF(OR(LOWER(TRIM(D99))="approved",LOWER(TRIM(D99))="certified",LOWER(TRIM(D99))="safe",LOWER(TRIM(D99))="ethical",LOWER(TRIM(D99))="legitimate",LOWER(TRIM(D99))="compliant",LOWER(TRIM(D99))="due diligence"),"PROHIBITED GENERIC STATUS","OK"))</f>
        <v/>
      </c>
    </row>
    <row r="100">
      <c r="M100">
        <f>IF(COUNTA(A100:L100)=0,"",IF(OR(LOWER(TRIM(D100))="approved",LOWER(TRIM(D100))="certified",LOWER(TRIM(D100))="safe",LOWER(TRIM(D100))="ethical",LOWER(TRIM(D100))="legitimate",LOWER(TRIM(D100))="compliant",LOWER(TRIM(D100))="due diligence"),"PROHIBITED GENERIC STATUS","OK"))</f>
        <v/>
      </c>
    </row>
    <row r="101">
      <c r="M101">
        <f>IF(COUNTA(A101:L101)=0,"",IF(OR(LOWER(TRIM(D101))="approved",LOWER(TRIM(D101))="certified",LOWER(TRIM(D101))="safe",LOWER(TRIM(D101))="ethical",LOWER(TRIM(D101))="legitimate",LOWER(TRIM(D101))="compliant",LOWER(TRIM(D101))="due diligence"),"PROHIBITED GENERIC STATUS","OK"))</f>
        <v/>
      </c>
    </row>
    <row r="102">
      <c r="M102">
        <f>IF(COUNTA(A102:L102)=0,"",IF(OR(LOWER(TRIM(D102))="approved",LOWER(TRIM(D102))="certified",LOWER(TRIM(D102))="safe",LOWER(TRIM(D102))="ethical",LOWER(TRIM(D102))="legitimate",LOWER(TRIM(D102))="compliant",LOWER(TRIM(D102))="due diligence"),"PROHIBITED GENERIC STATUS","OK"))</f>
        <v/>
      </c>
    </row>
    <row r="103">
      <c r="M103">
        <f>IF(COUNTA(A103:L103)=0,"",IF(OR(LOWER(TRIM(D103))="approved",LOWER(TRIM(D103))="certified",LOWER(TRIM(D103))="safe",LOWER(TRIM(D103))="ethical",LOWER(TRIM(D103))="legitimate",LOWER(TRIM(D103))="compliant",LOWER(TRIM(D103))="due diligence"),"PROHIBITED GENERIC STATUS","OK"))</f>
        <v/>
      </c>
    </row>
    <row r="104">
      <c r="M104">
        <f>IF(COUNTA(A104:L104)=0,"",IF(OR(LOWER(TRIM(D104))="approved",LOWER(TRIM(D104))="certified",LOWER(TRIM(D104))="safe",LOWER(TRIM(D104))="ethical",LOWER(TRIM(D104))="legitimate",LOWER(TRIM(D104))="compliant",LOWER(TRIM(D104))="due diligence"),"PROHIBITED GENERIC STATUS","OK"))</f>
        <v/>
      </c>
    </row>
    <row r="105">
      <c r="M105">
        <f>IF(COUNTA(A105:L105)=0,"",IF(OR(LOWER(TRIM(D105))="approved",LOWER(TRIM(D105))="certified",LOWER(TRIM(D105))="safe",LOWER(TRIM(D105))="ethical",LOWER(TRIM(D105))="legitimate",LOWER(TRIM(D105))="compliant",LOWER(TRIM(D105))="due diligence"),"PROHIBITED GENERIC STATUS","OK"))</f>
        <v/>
      </c>
    </row>
    <row r="106">
      <c r="M106">
        <f>IF(COUNTA(A106:L106)=0,"",IF(OR(LOWER(TRIM(D106))="approved",LOWER(TRIM(D106))="certified",LOWER(TRIM(D106))="safe",LOWER(TRIM(D106))="ethical",LOWER(TRIM(D106))="legitimate",LOWER(TRIM(D106))="compliant",LOWER(TRIM(D106))="due diligence"),"PROHIBITED GENERIC STATUS","OK"))</f>
        <v/>
      </c>
    </row>
    <row r="107">
      <c r="M107">
        <f>IF(COUNTA(A107:L107)=0,"",IF(OR(LOWER(TRIM(D107))="approved",LOWER(TRIM(D107))="certified",LOWER(TRIM(D107))="safe",LOWER(TRIM(D107))="ethical",LOWER(TRIM(D107))="legitimate",LOWER(TRIM(D107))="compliant",LOWER(TRIM(D107))="due diligence"),"PROHIBITED GENERIC STATUS","OK"))</f>
        <v/>
      </c>
    </row>
    <row r="108">
      <c r="M108">
        <f>IF(COUNTA(A108:L108)=0,"",IF(OR(LOWER(TRIM(D108))="approved",LOWER(TRIM(D108))="certified",LOWER(TRIM(D108))="safe",LOWER(TRIM(D108))="ethical",LOWER(TRIM(D108))="legitimate",LOWER(TRIM(D108))="compliant",LOWER(TRIM(D108))="due diligence"),"PROHIBITED GENERIC STATUS","OK"))</f>
        <v/>
      </c>
    </row>
    <row r="109">
      <c r="M109">
        <f>IF(COUNTA(A109:L109)=0,"",IF(OR(LOWER(TRIM(D109))="approved",LOWER(TRIM(D109))="certified",LOWER(TRIM(D109))="safe",LOWER(TRIM(D109))="ethical",LOWER(TRIM(D109))="legitimate",LOWER(TRIM(D109))="compliant",LOWER(TRIM(D109))="due diligence"),"PROHIBITED GENERIC STATUS","OK"))</f>
        <v/>
      </c>
    </row>
    <row r="110">
      <c r="M110">
        <f>IF(COUNTA(A110:L110)=0,"",IF(OR(LOWER(TRIM(D110))="approved",LOWER(TRIM(D110))="certified",LOWER(TRIM(D110))="safe",LOWER(TRIM(D110))="ethical",LOWER(TRIM(D110))="legitimate",LOWER(TRIM(D110))="compliant",LOWER(TRIM(D110))="due diligence"),"PROHIBITED GENERIC STATUS","OK"))</f>
        <v/>
      </c>
    </row>
    <row r="111">
      <c r="M111">
        <f>IF(COUNTA(A111:L111)=0,"",IF(OR(LOWER(TRIM(D111))="approved",LOWER(TRIM(D111))="certified",LOWER(TRIM(D111))="safe",LOWER(TRIM(D111))="ethical",LOWER(TRIM(D111))="legitimate",LOWER(TRIM(D111))="compliant",LOWER(TRIM(D111))="due diligence"),"PROHIBITED GENERIC STATUS","OK"))</f>
        <v/>
      </c>
    </row>
    <row r="112">
      <c r="M112">
        <f>IF(COUNTA(A112:L112)=0,"",IF(OR(LOWER(TRIM(D112))="approved",LOWER(TRIM(D112))="certified",LOWER(TRIM(D112))="safe",LOWER(TRIM(D112))="ethical",LOWER(TRIM(D112))="legitimate",LOWER(TRIM(D112))="compliant",LOWER(TRIM(D112))="due diligence"),"PROHIBITED GENERIC STATUS","OK"))</f>
        <v/>
      </c>
    </row>
    <row r="113">
      <c r="M113">
        <f>IF(COUNTA(A113:L113)=0,"",IF(OR(LOWER(TRIM(D113))="approved",LOWER(TRIM(D113))="certified",LOWER(TRIM(D113))="safe",LOWER(TRIM(D113))="ethical",LOWER(TRIM(D113))="legitimate",LOWER(TRIM(D113))="compliant",LOWER(TRIM(D113))="due diligence"),"PROHIBITED GENERIC STATUS","OK"))</f>
        <v/>
      </c>
    </row>
    <row r="114">
      <c r="M114">
        <f>IF(COUNTA(A114:L114)=0,"",IF(OR(LOWER(TRIM(D114))="approved",LOWER(TRIM(D114))="certified",LOWER(TRIM(D114))="safe",LOWER(TRIM(D114))="ethical",LOWER(TRIM(D114))="legitimate",LOWER(TRIM(D114))="compliant",LOWER(TRIM(D114))="due diligence"),"PROHIBITED GENERIC STATUS","OK"))</f>
        <v/>
      </c>
    </row>
    <row r="115">
      <c r="M115">
        <f>IF(COUNTA(A115:L115)=0,"",IF(OR(LOWER(TRIM(D115))="approved",LOWER(TRIM(D115))="certified",LOWER(TRIM(D115))="safe",LOWER(TRIM(D115))="ethical",LOWER(TRIM(D115))="legitimate",LOWER(TRIM(D115))="compliant",LOWER(TRIM(D115))="due diligence"),"PROHIBITED GENERIC STATUS","OK"))</f>
        <v/>
      </c>
    </row>
    <row r="116">
      <c r="M116">
        <f>IF(COUNTA(A116:L116)=0,"",IF(OR(LOWER(TRIM(D116))="approved",LOWER(TRIM(D116))="certified",LOWER(TRIM(D116))="safe",LOWER(TRIM(D116))="ethical",LOWER(TRIM(D116))="legitimate",LOWER(TRIM(D116))="compliant",LOWER(TRIM(D116))="due diligence"),"PROHIBITED GENERIC STATUS","OK"))</f>
        <v/>
      </c>
    </row>
    <row r="117">
      <c r="M117">
        <f>IF(COUNTA(A117:L117)=0,"",IF(OR(LOWER(TRIM(D117))="approved",LOWER(TRIM(D117))="certified",LOWER(TRIM(D117))="safe",LOWER(TRIM(D117))="ethical",LOWER(TRIM(D117))="legitimate",LOWER(TRIM(D117))="compliant",LOWER(TRIM(D117))="due diligence"),"PROHIBITED GENERIC STATUS","OK"))</f>
        <v/>
      </c>
    </row>
    <row r="118">
      <c r="M118">
        <f>IF(COUNTA(A118:L118)=0,"",IF(OR(LOWER(TRIM(D118))="approved",LOWER(TRIM(D118))="certified",LOWER(TRIM(D118))="safe",LOWER(TRIM(D118))="ethical",LOWER(TRIM(D118))="legitimate",LOWER(TRIM(D118))="compliant",LOWER(TRIM(D118))="due diligence"),"PROHIBITED GENERIC STATUS","OK"))</f>
        <v/>
      </c>
    </row>
    <row r="119">
      <c r="M119">
        <f>IF(COUNTA(A119:L119)=0,"",IF(OR(LOWER(TRIM(D119))="approved",LOWER(TRIM(D119))="certified",LOWER(TRIM(D119))="safe",LOWER(TRIM(D119))="ethical",LOWER(TRIM(D119))="legitimate",LOWER(TRIM(D119))="compliant",LOWER(TRIM(D119))="due diligence"),"PROHIBITED GENERIC STATUS","OK"))</f>
        <v/>
      </c>
    </row>
    <row r="120">
      <c r="M120">
        <f>IF(COUNTA(A120:L120)=0,"",IF(OR(LOWER(TRIM(D120))="approved",LOWER(TRIM(D120))="certified",LOWER(TRIM(D120))="safe",LOWER(TRIM(D120))="ethical",LOWER(TRIM(D120))="legitimate",LOWER(TRIM(D120))="compliant",LOWER(TRIM(D120))="due diligence"),"PROHIBITED GENERIC STATUS","OK"))</f>
        <v/>
      </c>
    </row>
    <row r="121">
      <c r="M121">
        <f>IF(COUNTA(A121:L121)=0,"",IF(OR(LOWER(TRIM(D121))="approved",LOWER(TRIM(D121))="certified",LOWER(TRIM(D121))="safe",LOWER(TRIM(D121))="ethical",LOWER(TRIM(D121))="legitimate",LOWER(TRIM(D121))="compliant",LOWER(TRIM(D121))="due diligence"),"PROHIBITED GENERIC STATUS","OK"))</f>
        <v/>
      </c>
    </row>
    <row r="122">
      <c r="M122">
        <f>IF(COUNTA(A122:L122)=0,"",IF(OR(LOWER(TRIM(D122))="approved",LOWER(TRIM(D122))="certified",LOWER(TRIM(D122))="safe",LOWER(TRIM(D122))="ethical",LOWER(TRIM(D122))="legitimate",LOWER(TRIM(D122))="compliant",LOWER(TRIM(D122))="due diligence"),"PROHIBITED GENERIC STATUS","OK"))</f>
        <v/>
      </c>
    </row>
    <row r="123">
      <c r="M123">
        <f>IF(COUNTA(A123:L123)=0,"",IF(OR(LOWER(TRIM(D123))="approved",LOWER(TRIM(D123))="certified",LOWER(TRIM(D123))="safe",LOWER(TRIM(D123))="ethical",LOWER(TRIM(D123))="legitimate",LOWER(TRIM(D123))="compliant",LOWER(TRIM(D123))="due diligence"),"PROHIBITED GENERIC STATUS","OK"))</f>
        <v/>
      </c>
    </row>
    <row r="124">
      <c r="M124">
        <f>IF(COUNTA(A124:L124)=0,"",IF(OR(LOWER(TRIM(D124))="approved",LOWER(TRIM(D124))="certified",LOWER(TRIM(D124))="safe",LOWER(TRIM(D124))="ethical",LOWER(TRIM(D124))="legitimate",LOWER(TRIM(D124))="compliant",LOWER(TRIM(D124))="due diligence"),"PROHIBITED GENERIC STATUS","OK"))</f>
        <v/>
      </c>
    </row>
    <row r="125">
      <c r="M125">
        <f>IF(COUNTA(A125:L125)=0,"",IF(OR(LOWER(TRIM(D125))="approved",LOWER(TRIM(D125))="certified",LOWER(TRIM(D125))="safe",LOWER(TRIM(D125))="ethical",LOWER(TRIM(D125))="legitimate",LOWER(TRIM(D125))="compliant",LOWER(TRIM(D125))="due diligence"),"PROHIBITED GENERIC STATUS","OK"))</f>
        <v/>
      </c>
    </row>
    <row r="126">
      <c r="M126">
        <f>IF(COUNTA(A126:L126)=0,"",IF(OR(LOWER(TRIM(D126))="approved",LOWER(TRIM(D126))="certified",LOWER(TRIM(D126))="safe",LOWER(TRIM(D126))="ethical",LOWER(TRIM(D126))="legitimate",LOWER(TRIM(D126))="compliant",LOWER(TRIM(D126))="due diligence"),"PROHIBITED GENERIC STATUS","OK"))</f>
        <v/>
      </c>
    </row>
    <row r="127">
      <c r="M127">
        <f>IF(COUNTA(A127:L127)=0,"",IF(OR(LOWER(TRIM(D127))="approved",LOWER(TRIM(D127))="certified",LOWER(TRIM(D127))="safe",LOWER(TRIM(D127))="ethical",LOWER(TRIM(D127))="legitimate",LOWER(TRIM(D127))="compliant",LOWER(TRIM(D127))="due diligence"),"PROHIBITED GENERIC STATUS","OK"))</f>
        <v/>
      </c>
    </row>
    <row r="128">
      <c r="M128">
        <f>IF(COUNTA(A128:L128)=0,"",IF(OR(LOWER(TRIM(D128))="approved",LOWER(TRIM(D128))="certified",LOWER(TRIM(D128))="safe",LOWER(TRIM(D128))="ethical",LOWER(TRIM(D128))="legitimate",LOWER(TRIM(D128))="compliant",LOWER(TRIM(D128))="due diligence"),"PROHIBITED GENERIC STATUS","OK"))</f>
        <v/>
      </c>
    </row>
    <row r="129">
      <c r="M129">
        <f>IF(COUNTA(A129:L129)=0,"",IF(OR(LOWER(TRIM(D129))="approved",LOWER(TRIM(D129))="certified",LOWER(TRIM(D129))="safe",LOWER(TRIM(D129))="ethical",LOWER(TRIM(D129))="legitimate",LOWER(TRIM(D129))="compliant",LOWER(TRIM(D129))="due diligence"),"PROHIBITED GENERIC STATUS","OK"))</f>
        <v/>
      </c>
    </row>
    <row r="130">
      <c r="M130">
        <f>IF(COUNTA(A130:L130)=0,"",IF(OR(LOWER(TRIM(D130))="approved",LOWER(TRIM(D130))="certified",LOWER(TRIM(D130))="safe",LOWER(TRIM(D130))="ethical",LOWER(TRIM(D130))="legitimate",LOWER(TRIM(D130))="compliant",LOWER(TRIM(D130))="due diligence"),"PROHIBITED GENERIC STATUS","OK"))</f>
        <v/>
      </c>
    </row>
    <row r="131">
      <c r="M131">
        <f>IF(COUNTA(A131:L131)=0,"",IF(OR(LOWER(TRIM(D131))="approved",LOWER(TRIM(D131))="certified",LOWER(TRIM(D131))="safe",LOWER(TRIM(D131))="ethical",LOWER(TRIM(D131))="legitimate",LOWER(TRIM(D131))="compliant",LOWER(TRIM(D131))="due diligence"),"PROHIBITED GENERIC STATUS","OK"))</f>
        <v/>
      </c>
    </row>
    <row r="132">
      <c r="M132">
        <f>IF(COUNTA(A132:L132)=0,"",IF(OR(LOWER(TRIM(D132))="approved",LOWER(TRIM(D132))="certified",LOWER(TRIM(D132))="safe",LOWER(TRIM(D132))="ethical",LOWER(TRIM(D132))="legitimate",LOWER(TRIM(D132))="compliant",LOWER(TRIM(D132))="due diligence"),"PROHIBITED GENERIC STATUS","OK"))</f>
        <v/>
      </c>
    </row>
    <row r="133">
      <c r="M133">
        <f>IF(COUNTA(A133:L133)=0,"",IF(OR(LOWER(TRIM(D133))="approved",LOWER(TRIM(D133))="certified",LOWER(TRIM(D133))="safe",LOWER(TRIM(D133))="ethical",LOWER(TRIM(D133))="legitimate",LOWER(TRIM(D133))="compliant",LOWER(TRIM(D133))="due diligence"),"PROHIBITED GENERIC STATUS","OK"))</f>
        <v/>
      </c>
    </row>
    <row r="134">
      <c r="M134">
        <f>IF(COUNTA(A134:L134)=0,"",IF(OR(LOWER(TRIM(D134))="approved",LOWER(TRIM(D134))="certified",LOWER(TRIM(D134))="safe",LOWER(TRIM(D134))="ethical",LOWER(TRIM(D134))="legitimate",LOWER(TRIM(D134))="compliant",LOWER(TRIM(D134))="due diligence"),"PROHIBITED GENERIC STATUS","OK"))</f>
        <v/>
      </c>
    </row>
    <row r="135">
      <c r="M135">
        <f>IF(COUNTA(A135:L135)=0,"",IF(OR(LOWER(TRIM(D135))="approved",LOWER(TRIM(D135))="certified",LOWER(TRIM(D135))="safe",LOWER(TRIM(D135))="ethical",LOWER(TRIM(D135))="legitimate",LOWER(TRIM(D135))="compliant",LOWER(TRIM(D135))="due diligence"),"PROHIBITED GENERIC STATUS","OK"))</f>
        <v/>
      </c>
    </row>
    <row r="136">
      <c r="M136">
        <f>IF(COUNTA(A136:L136)=0,"",IF(OR(LOWER(TRIM(D136))="approved",LOWER(TRIM(D136))="certified",LOWER(TRIM(D136))="safe",LOWER(TRIM(D136))="ethical",LOWER(TRIM(D136))="legitimate",LOWER(TRIM(D136))="compliant",LOWER(TRIM(D136))="due diligence"),"PROHIBITED GENERIC STATUS","OK"))</f>
        <v/>
      </c>
    </row>
    <row r="137">
      <c r="M137">
        <f>IF(COUNTA(A137:L137)=0,"",IF(OR(LOWER(TRIM(D137))="approved",LOWER(TRIM(D137))="certified",LOWER(TRIM(D137))="safe",LOWER(TRIM(D137))="ethical",LOWER(TRIM(D137))="legitimate",LOWER(TRIM(D137))="compliant",LOWER(TRIM(D137))="due diligence"),"PROHIBITED GENERIC STATUS","OK"))</f>
        <v/>
      </c>
    </row>
    <row r="138">
      <c r="M138">
        <f>IF(COUNTA(A138:L138)=0,"",IF(OR(LOWER(TRIM(D138))="approved",LOWER(TRIM(D138))="certified",LOWER(TRIM(D138))="safe",LOWER(TRIM(D138))="ethical",LOWER(TRIM(D138))="legitimate",LOWER(TRIM(D138))="compliant",LOWER(TRIM(D138))="due diligence"),"PROHIBITED GENERIC STATUS","OK"))</f>
        <v/>
      </c>
    </row>
    <row r="139">
      <c r="M139">
        <f>IF(COUNTA(A139:L139)=0,"",IF(OR(LOWER(TRIM(D139))="approved",LOWER(TRIM(D139))="certified",LOWER(TRIM(D139))="safe",LOWER(TRIM(D139))="ethical",LOWER(TRIM(D139))="legitimate",LOWER(TRIM(D139))="compliant",LOWER(TRIM(D139))="due diligence"),"PROHIBITED GENERIC STATUS","OK"))</f>
        <v/>
      </c>
    </row>
    <row r="140">
      <c r="M140">
        <f>IF(COUNTA(A140:L140)=0,"",IF(OR(LOWER(TRIM(D140))="approved",LOWER(TRIM(D140))="certified",LOWER(TRIM(D140))="safe",LOWER(TRIM(D140))="ethical",LOWER(TRIM(D140))="legitimate",LOWER(TRIM(D140))="compliant",LOWER(TRIM(D140))="due diligence"),"PROHIBITED GENERIC STATUS","OK"))</f>
        <v/>
      </c>
    </row>
    <row r="141">
      <c r="M141">
        <f>IF(COUNTA(A141:L141)=0,"",IF(OR(LOWER(TRIM(D141))="approved",LOWER(TRIM(D141))="certified",LOWER(TRIM(D141))="safe",LOWER(TRIM(D141))="ethical",LOWER(TRIM(D141))="legitimate",LOWER(TRIM(D141))="compliant",LOWER(TRIM(D141))="due diligence"),"PROHIBITED GENERIC STATUS","OK"))</f>
        <v/>
      </c>
    </row>
    <row r="142">
      <c r="M142">
        <f>IF(COUNTA(A142:L142)=0,"",IF(OR(LOWER(TRIM(D142))="approved",LOWER(TRIM(D142))="certified",LOWER(TRIM(D142))="safe",LOWER(TRIM(D142))="ethical",LOWER(TRIM(D142))="legitimate",LOWER(TRIM(D142))="compliant",LOWER(TRIM(D142))="due diligence"),"PROHIBITED GENERIC STATUS","OK"))</f>
        <v/>
      </c>
    </row>
    <row r="143">
      <c r="M143">
        <f>IF(COUNTA(A143:L143)=0,"",IF(OR(LOWER(TRIM(D143))="approved",LOWER(TRIM(D143))="certified",LOWER(TRIM(D143))="safe",LOWER(TRIM(D143))="ethical",LOWER(TRIM(D143))="legitimate",LOWER(TRIM(D143))="compliant",LOWER(TRIM(D143))="due diligence"),"PROHIBITED GENERIC STATUS","OK"))</f>
        <v/>
      </c>
    </row>
    <row r="144">
      <c r="M144">
        <f>IF(COUNTA(A144:L144)=0,"",IF(OR(LOWER(TRIM(D144))="approved",LOWER(TRIM(D144))="certified",LOWER(TRIM(D144))="safe",LOWER(TRIM(D144))="ethical",LOWER(TRIM(D144))="legitimate",LOWER(TRIM(D144))="compliant",LOWER(TRIM(D144))="due diligence"),"PROHIBITED GENERIC STATUS","OK"))</f>
        <v/>
      </c>
    </row>
    <row r="145">
      <c r="M145">
        <f>IF(COUNTA(A145:L145)=0,"",IF(OR(LOWER(TRIM(D145))="approved",LOWER(TRIM(D145))="certified",LOWER(TRIM(D145))="safe",LOWER(TRIM(D145))="ethical",LOWER(TRIM(D145))="legitimate",LOWER(TRIM(D145))="compliant",LOWER(TRIM(D145))="due diligence"),"PROHIBITED GENERIC STATUS","OK"))</f>
        <v/>
      </c>
    </row>
    <row r="146">
      <c r="M146">
        <f>IF(COUNTA(A146:L146)=0,"",IF(OR(LOWER(TRIM(D146))="approved",LOWER(TRIM(D146))="certified",LOWER(TRIM(D146))="safe",LOWER(TRIM(D146))="ethical",LOWER(TRIM(D146))="legitimate",LOWER(TRIM(D146))="compliant",LOWER(TRIM(D146))="due diligence"),"PROHIBITED GENERIC STATUS","OK"))</f>
        <v/>
      </c>
    </row>
    <row r="147">
      <c r="M147">
        <f>IF(COUNTA(A147:L147)=0,"",IF(OR(LOWER(TRIM(D147))="approved",LOWER(TRIM(D147))="certified",LOWER(TRIM(D147))="safe",LOWER(TRIM(D147))="ethical",LOWER(TRIM(D147))="legitimate",LOWER(TRIM(D147))="compliant",LOWER(TRIM(D147))="due diligence"),"PROHIBITED GENERIC STATUS","OK"))</f>
        <v/>
      </c>
    </row>
    <row r="148">
      <c r="M148">
        <f>IF(COUNTA(A148:L148)=0,"",IF(OR(LOWER(TRIM(D148))="approved",LOWER(TRIM(D148))="certified",LOWER(TRIM(D148))="safe",LOWER(TRIM(D148))="ethical",LOWER(TRIM(D148))="legitimate",LOWER(TRIM(D148))="compliant",LOWER(TRIM(D148))="due diligence"),"PROHIBITED GENERIC STATUS","OK"))</f>
        <v/>
      </c>
    </row>
    <row r="149">
      <c r="M149">
        <f>IF(COUNTA(A149:L149)=0,"",IF(OR(LOWER(TRIM(D149))="approved",LOWER(TRIM(D149))="certified",LOWER(TRIM(D149))="safe",LOWER(TRIM(D149))="ethical",LOWER(TRIM(D149))="legitimate",LOWER(TRIM(D149))="compliant",LOWER(TRIM(D149))="due diligence"),"PROHIBITED GENERIC STATUS","OK"))</f>
        <v/>
      </c>
    </row>
    <row r="150">
      <c r="M150">
        <f>IF(COUNTA(A150:L150)=0,"",IF(OR(LOWER(TRIM(D150))="approved",LOWER(TRIM(D150))="certified",LOWER(TRIM(D150))="safe",LOWER(TRIM(D150))="ethical",LOWER(TRIM(D150))="legitimate",LOWER(TRIM(D150))="compliant",LOWER(TRIM(D150))="due diligence"),"PROHIBITED GENERIC STATUS","OK"))</f>
        <v/>
      </c>
    </row>
    <row r="151">
      <c r="M151">
        <f>IF(COUNTA(A151:L151)=0,"",IF(OR(LOWER(TRIM(D151))="approved",LOWER(TRIM(D151))="certified",LOWER(TRIM(D151))="safe",LOWER(TRIM(D151))="ethical",LOWER(TRIM(D151))="legitimate",LOWER(TRIM(D151))="compliant",LOWER(TRIM(D151))="due diligence"),"PROHIBITED GENERIC STATUS","OK"))</f>
        <v/>
      </c>
    </row>
    <row r="152">
      <c r="M152">
        <f>IF(COUNTA(A152:L152)=0,"",IF(OR(LOWER(TRIM(D152))="approved",LOWER(TRIM(D152))="certified",LOWER(TRIM(D152))="safe",LOWER(TRIM(D152))="ethical",LOWER(TRIM(D152))="legitimate",LOWER(TRIM(D152))="compliant",LOWER(TRIM(D152))="due diligence"),"PROHIBITED GENERIC STATUS","OK"))</f>
        <v/>
      </c>
    </row>
    <row r="153">
      <c r="M153">
        <f>IF(COUNTA(A153:L153)=0,"",IF(OR(LOWER(TRIM(D153))="approved",LOWER(TRIM(D153))="certified",LOWER(TRIM(D153))="safe",LOWER(TRIM(D153))="ethical",LOWER(TRIM(D153))="legitimate",LOWER(TRIM(D153))="compliant",LOWER(TRIM(D153))="due diligence"),"PROHIBITED GENERIC STATUS","OK"))</f>
        <v/>
      </c>
    </row>
    <row r="154">
      <c r="M154">
        <f>IF(COUNTA(A154:L154)=0,"",IF(OR(LOWER(TRIM(D154))="approved",LOWER(TRIM(D154))="certified",LOWER(TRIM(D154))="safe",LOWER(TRIM(D154))="ethical",LOWER(TRIM(D154))="legitimate",LOWER(TRIM(D154))="compliant",LOWER(TRIM(D154))="due diligence"),"PROHIBITED GENERIC STATUS","OK"))</f>
        <v/>
      </c>
    </row>
    <row r="155">
      <c r="M155">
        <f>IF(COUNTA(A155:L155)=0,"",IF(OR(LOWER(TRIM(D155))="approved",LOWER(TRIM(D155))="certified",LOWER(TRIM(D155))="safe",LOWER(TRIM(D155))="ethical",LOWER(TRIM(D155))="legitimate",LOWER(TRIM(D155))="compliant",LOWER(TRIM(D155))="due diligence"),"PROHIBITED GENERIC STATUS","OK"))</f>
        <v/>
      </c>
    </row>
    <row r="156">
      <c r="M156">
        <f>IF(COUNTA(A156:L156)=0,"",IF(OR(LOWER(TRIM(D156))="approved",LOWER(TRIM(D156))="certified",LOWER(TRIM(D156))="safe",LOWER(TRIM(D156))="ethical",LOWER(TRIM(D156))="legitimate",LOWER(TRIM(D156))="compliant",LOWER(TRIM(D156))="due diligence"),"PROHIBITED GENERIC STATUS","OK"))</f>
        <v/>
      </c>
    </row>
    <row r="157">
      <c r="M157">
        <f>IF(COUNTA(A157:L157)=0,"",IF(OR(LOWER(TRIM(D157))="approved",LOWER(TRIM(D157))="certified",LOWER(TRIM(D157))="safe",LOWER(TRIM(D157))="ethical",LOWER(TRIM(D157))="legitimate",LOWER(TRIM(D157))="compliant",LOWER(TRIM(D157))="due diligence"),"PROHIBITED GENERIC STATUS","OK"))</f>
        <v/>
      </c>
    </row>
    <row r="158">
      <c r="M158">
        <f>IF(COUNTA(A158:L158)=0,"",IF(OR(LOWER(TRIM(D158))="approved",LOWER(TRIM(D158))="certified",LOWER(TRIM(D158))="safe",LOWER(TRIM(D158))="ethical",LOWER(TRIM(D158))="legitimate",LOWER(TRIM(D158))="compliant",LOWER(TRIM(D158))="due diligence"),"PROHIBITED GENERIC STATUS","OK"))</f>
        <v/>
      </c>
    </row>
    <row r="159">
      <c r="M159">
        <f>IF(COUNTA(A159:L159)=0,"",IF(OR(LOWER(TRIM(D159))="approved",LOWER(TRIM(D159))="certified",LOWER(TRIM(D159))="safe",LOWER(TRIM(D159))="ethical",LOWER(TRIM(D159))="legitimate",LOWER(TRIM(D159))="compliant",LOWER(TRIM(D159))="due diligence"),"PROHIBITED GENERIC STATUS","OK"))</f>
        <v/>
      </c>
    </row>
    <row r="160">
      <c r="M160">
        <f>IF(COUNTA(A160:L160)=0,"",IF(OR(LOWER(TRIM(D160))="approved",LOWER(TRIM(D160))="certified",LOWER(TRIM(D160))="safe",LOWER(TRIM(D160))="ethical",LOWER(TRIM(D160))="legitimate",LOWER(TRIM(D160))="compliant",LOWER(TRIM(D160))="due diligence"),"PROHIBITED GENERIC STATUS","OK"))</f>
        <v/>
      </c>
    </row>
    <row r="161">
      <c r="M161">
        <f>IF(COUNTA(A161:L161)=0,"",IF(OR(LOWER(TRIM(D161))="approved",LOWER(TRIM(D161))="certified",LOWER(TRIM(D161))="safe",LOWER(TRIM(D161))="ethical",LOWER(TRIM(D161))="legitimate",LOWER(TRIM(D161))="compliant",LOWER(TRIM(D161))="due diligence"),"PROHIBITED GENERIC STATUS","OK"))</f>
        <v/>
      </c>
    </row>
    <row r="162">
      <c r="M162">
        <f>IF(COUNTA(A162:L162)=0,"",IF(OR(LOWER(TRIM(D162))="approved",LOWER(TRIM(D162))="certified",LOWER(TRIM(D162))="safe",LOWER(TRIM(D162))="ethical",LOWER(TRIM(D162))="legitimate",LOWER(TRIM(D162))="compliant",LOWER(TRIM(D162))="due diligence"),"PROHIBITED GENERIC STATUS","OK"))</f>
        <v/>
      </c>
    </row>
    <row r="163">
      <c r="M163">
        <f>IF(COUNTA(A163:L163)=0,"",IF(OR(LOWER(TRIM(D163))="approved",LOWER(TRIM(D163))="certified",LOWER(TRIM(D163))="safe",LOWER(TRIM(D163))="ethical",LOWER(TRIM(D163))="legitimate",LOWER(TRIM(D163))="compliant",LOWER(TRIM(D163))="due diligence"),"PROHIBITED GENERIC STATUS","OK"))</f>
        <v/>
      </c>
    </row>
    <row r="164">
      <c r="M164">
        <f>IF(COUNTA(A164:L164)=0,"",IF(OR(LOWER(TRIM(D164))="approved",LOWER(TRIM(D164))="certified",LOWER(TRIM(D164))="safe",LOWER(TRIM(D164))="ethical",LOWER(TRIM(D164))="legitimate",LOWER(TRIM(D164))="compliant",LOWER(TRIM(D164))="due diligence"),"PROHIBITED GENERIC STATUS","OK"))</f>
        <v/>
      </c>
    </row>
    <row r="165">
      <c r="M165">
        <f>IF(COUNTA(A165:L165)=0,"",IF(OR(LOWER(TRIM(D165))="approved",LOWER(TRIM(D165))="certified",LOWER(TRIM(D165))="safe",LOWER(TRIM(D165))="ethical",LOWER(TRIM(D165))="legitimate",LOWER(TRIM(D165))="compliant",LOWER(TRIM(D165))="due diligence"),"PROHIBITED GENERIC STATUS","OK"))</f>
        <v/>
      </c>
    </row>
    <row r="166">
      <c r="M166">
        <f>IF(COUNTA(A166:L166)=0,"",IF(OR(LOWER(TRIM(D166))="approved",LOWER(TRIM(D166))="certified",LOWER(TRIM(D166))="safe",LOWER(TRIM(D166))="ethical",LOWER(TRIM(D166))="legitimate",LOWER(TRIM(D166))="compliant",LOWER(TRIM(D166))="due diligence"),"PROHIBITED GENERIC STATUS","OK"))</f>
        <v/>
      </c>
    </row>
    <row r="167">
      <c r="M167">
        <f>IF(COUNTA(A167:L167)=0,"",IF(OR(LOWER(TRIM(D167))="approved",LOWER(TRIM(D167))="certified",LOWER(TRIM(D167))="safe",LOWER(TRIM(D167))="ethical",LOWER(TRIM(D167))="legitimate",LOWER(TRIM(D167))="compliant",LOWER(TRIM(D167))="due diligence"),"PROHIBITED GENERIC STATUS","OK"))</f>
        <v/>
      </c>
    </row>
    <row r="168">
      <c r="M168">
        <f>IF(COUNTA(A168:L168)=0,"",IF(OR(LOWER(TRIM(D168))="approved",LOWER(TRIM(D168))="certified",LOWER(TRIM(D168))="safe",LOWER(TRIM(D168))="ethical",LOWER(TRIM(D168))="legitimate",LOWER(TRIM(D168))="compliant",LOWER(TRIM(D168))="due diligence"),"PROHIBITED GENERIC STATUS","OK"))</f>
        <v/>
      </c>
    </row>
    <row r="169">
      <c r="M169">
        <f>IF(COUNTA(A169:L169)=0,"",IF(OR(LOWER(TRIM(D169))="approved",LOWER(TRIM(D169))="certified",LOWER(TRIM(D169))="safe",LOWER(TRIM(D169))="ethical",LOWER(TRIM(D169))="legitimate",LOWER(TRIM(D169))="compliant",LOWER(TRIM(D169))="due diligence"),"PROHIBITED GENERIC STATUS","OK"))</f>
        <v/>
      </c>
    </row>
    <row r="170">
      <c r="M170">
        <f>IF(COUNTA(A170:L170)=0,"",IF(OR(LOWER(TRIM(D170))="approved",LOWER(TRIM(D170))="certified",LOWER(TRIM(D170))="safe",LOWER(TRIM(D170))="ethical",LOWER(TRIM(D170))="legitimate",LOWER(TRIM(D170))="compliant",LOWER(TRIM(D170))="due diligence"),"PROHIBITED GENERIC STATUS","OK"))</f>
        <v/>
      </c>
    </row>
    <row r="171">
      <c r="M171">
        <f>IF(COUNTA(A171:L171)=0,"",IF(OR(LOWER(TRIM(D171))="approved",LOWER(TRIM(D171))="certified",LOWER(TRIM(D171))="safe",LOWER(TRIM(D171))="ethical",LOWER(TRIM(D171))="legitimate",LOWER(TRIM(D171))="compliant",LOWER(TRIM(D171))="due diligence"),"PROHIBITED GENERIC STATUS","OK"))</f>
        <v/>
      </c>
    </row>
    <row r="172">
      <c r="M172">
        <f>IF(COUNTA(A172:L172)=0,"",IF(OR(LOWER(TRIM(D172))="approved",LOWER(TRIM(D172))="certified",LOWER(TRIM(D172))="safe",LOWER(TRIM(D172))="ethical",LOWER(TRIM(D172))="legitimate",LOWER(TRIM(D172))="compliant",LOWER(TRIM(D172))="due diligence"),"PROHIBITED GENERIC STATUS","OK"))</f>
        <v/>
      </c>
    </row>
    <row r="173">
      <c r="M173">
        <f>IF(COUNTA(A173:L173)=0,"",IF(OR(LOWER(TRIM(D173))="approved",LOWER(TRIM(D173))="certified",LOWER(TRIM(D173))="safe",LOWER(TRIM(D173))="ethical",LOWER(TRIM(D173))="legitimate",LOWER(TRIM(D173))="compliant",LOWER(TRIM(D173))="due diligence"),"PROHIBITED GENERIC STATUS","OK"))</f>
        <v/>
      </c>
    </row>
    <row r="174">
      <c r="M174">
        <f>IF(COUNTA(A174:L174)=0,"",IF(OR(LOWER(TRIM(D174))="approved",LOWER(TRIM(D174))="certified",LOWER(TRIM(D174))="safe",LOWER(TRIM(D174))="ethical",LOWER(TRIM(D174))="legitimate",LOWER(TRIM(D174))="compliant",LOWER(TRIM(D174))="due diligence"),"PROHIBITED GENERIC STATUS","OK"))</f>
        <v/>
      </c>
    </row>
    <row r="175">
      <c r="M175">
        <f>IF(COUNTA(A175:L175)=0,"",IF(OR(LOWER(TRIM(D175))="approved",LOWER(TRIM(D175))="certified",LOWER(TRIM(D175))="safe",LOWER(TRIM(D175))="ethical",LOWER(TRIM(D175))="legitimate",LOWER(TRIM(D175))="compliant",LOWER(TRIM(D175))="due diligence"),"PROHIBITED GENERIC STATUS","OK"))</f>
        <v/>
      </c>
    </row>
    <row r="176">
      <c r="M176">
        <f>IF(COUNTA(A176:L176)=0,"",IF(OR(LOWER(TRIM(D176))="approved",LOWER(TRIM(D176))="certified",LOWER(TRIM(D176))="safe",LOWER(TRIM(D176))="ethical",LOWER(TRIM(D176))="legitimate",LOWER(TRIM(D176))="compliant",LOWER(TRIM(D176))="due diligence"),"PROHIBITED GENERIC STATUS","OK"))</f>
        <v/>
      </c>
    </row>
    <row r="177">
      <c r="M177">
        <f>IF(COUNTA(A177:L177)=0,"",IF(OR(LOWER(TRIM(D177))="approved",LOWER(TRIM(D177))="certified",LOWER(TRIM(D177))="safe",LOWER(TRIM(D177))="ethical",LOWER(TRIM(D177))="legitimate",LOWER(TRIM(D177))="compliant",LOWER(TRIM(D177))="due diligence"),"PROHIBITED GENERIC STATUS","OK"))</f>
        <v/>
      </c>
    </row>
    <row r="178">
      <c r="M178">
        <f>IF(COUNTA(A178:L178)=0,"",IF(OR(LOWER(TRIM(D178))="approved",LOWER(TRIM(D178))="certified",LOWER(TRIM(D178))="safe",LOWER(TRIM(D178))="ethical",LOWER(TRIM(D178))="legitimate",LOWER(TRIM(D178))="compliant",LOWER(TRIM(D178))="due diligence"),"PROHIBITED GENERIC STATUS","OK"))</f>
        <v/>
      </c>
    </row>
    <row r="179">
      <c r="M179">
        <f>IF(COUNTA(A179:L179)=0,"",IF(OR(LOWER(TRIM(D179))="approved",LOWER(TRIM(D179))="certified",LOWER(TRIM(D179))="safe",LOWER(TRIM(D179))="ethical",LOWER(TRIM(D179))="legitimate",LOWER(TRIM(D179))="compliant",LOWER(TRIM(D179))="due diligence"),"PROHIBITED GENERIC STATUS","OK"))</f>
        <v/>
      </c>
    </row>
    <row r="180">
      <c r="M180">
        <f>IF(COUNTA(A180:L180)=0,"",IF(OR(LOWER(TRIM(D180))="approved",LOWER(TRIM(D180))="certified",LOWER(TRIM(D180))="safe",LOWER(TRIM(D180))="ethical",LOWER(TRIM(D180))="legitimate",LOWER(TRIM(D180))="compliant",LOWER(TRIM(D180))="due diligence"),"PROHIBITED GENERIC STATUS","OK"))</f>
        <v/>
      </c>
    </row>
    <row r="181">
      <c r="M181">
        <f>IF(COUNTA(A181:L181)=0,"",IF(OR(LOWER(TRIM(D181))="approved",LOWER(TRIM(D181))="certified",LOWER(TRIM(D181))="safe",LOWER(TRIM(D181))="ethical",LOWER(TRIM(D181))="legitimate",LOWER(TRIM(D181))="compliant",LOWER(TRIM(D181))="due diligence"),"PROHIBITED GENERIC STATUS","OK"))</f>
        <v/>
      </c>
    </row>
    <row r="182">
      <c r="M182">
        <f>IF(COUNTA(A182:L182)=0,"",IF(OR(LOWER(TRIM(D182))="approved",LOWER(TRIM(D182))="certified",LOWER(TRIM(D182))="safe",LOWER(TRIM(D182))="ethical",LOWER(TRIM(D182))="legitimate",LOWER(TRIM(D182))="compliant",LOWER(TRIM(D182))="due diligence"),"PROHIBITED GENERIC STATUS","OK"))</f>
        <v/>
      </c>
    </row>
    <row r="183">
      <c r="M183">
        <f>IF(COUNTA(A183:L183)=0,"",IF(OR(LOWER(TRIM(D183))="approved",LOWER(TRIM(D183))="certified",LOWER(TRIM(D183))="safe",LOWER(TRIM(D183))="ethical",LOWER(TRIM(D183))="legitimate",LOWER(TRIM(D183))="compliant",LOWER(TRIM(D183))="due diligence"),"PROHIBITED GENERIC STATUS","OK"))</f>
        <v/>
      </c>
    </row>
    <row r="184">
      <c r="M184">
        <f>IF(COUNTA(A184:L184)=0,"",IF(OR(LOWER(TRIM(D184))="approved",LOWER(TRIM(D184))="certified",LOWER(TRIM(D184))="safe",LOWER(TRIM(D184))="ethical",LOWER(TRIM(D184))="legitimate",LOWER(TRIM(D184))="compliant",LOWER(TRIM(D184))="due diligence"),"PROHIBITED GENERIC STATUS","OK"))</f>
        <v/>
      </c>
    </row>
    <row r="185">
      <c r="M185">
        <f>IF(COUNTA(A185:L185)=0,"",IF(OR(LOWER(TRIM(D185))="approved",LOWER(TRIM(D185))="certified",LOWER(TRIM(D185))="safe",LOWER(TRIM(D185))="ethical",LOWER(TRIM(D185))="legitimate",LOWER(TRIM(D185))="compliant",LOWER(TRIM(D185))="due diligence"),"PROHIBITED GENERIC STATUS","OK"))</f>
        <v/>
      </c>
    </row>
    <row r="186">
      <c r="M186">
        <f>IF(COUNTA(A186:L186)=0,"",IF(OR(LOWER(TRIM(D186))="approved",LOWER(TRIM(D186))="certified",LOWER(TRIM(D186))="safe",LOWER(TRIM(D186))="ethical",LOWER(TRIM(D186))="legitimate",LOWER(TRIM(D186))="compliant",LOWER(TRIM(D186))="due diligence"),"PROHIBITED GENERIC STATUS","OK"))</f>
        <v/>
      </c>
    </row>
    <row r="187">
      <c r="M187">
        <f>IF(COUNTA(A187:L187)=0,"",IF(OR(LOWER(TRIM(D187))="approved",LOWER(TRIM(D187))="certified",LOWER(TRIM(D187))="safe",LOWER(TRIM(D187))="ethical",LOWER(TRIM(D187))="legitimate",LOWER(TRIM(D187))="compliant",LOWER(TRIM(D187))="due diligence"),"PROHIBITED GENERIC STATUS","OK"))</f>
        <v/>
      </c>
    </row>
    <row r="188">
      <c r="M188">
        <f>IF(COUNTA(A188:L188)=0,"",IF(OR(LOWER(TRIM(D188))="approved",LOWER(TRIM(D188))="certified",LOWER(TRIM(D188))="safe",LOWER(TRIM(D188))="ethical",LOWER(TRIM(D188))="legitimate",LOWER(TRIM(D188))="compliant",LOWER(TRIM(D188))="due diligence"),"PROHIBITED GENERIC STATUS","OK"))</f>
        <v/>
      </c>
    </row>
    <row r="189">
      <c r="M189">
        <f>IF(COUNTA(A189:L189)=0,"",IF(OR(LOWER(TRIM(D189))="approved",LOWER(TRIM(D189))="certified",LOWER(TRIM(D189))="safe",LOWER(TRIM(D189))="ethical",LOWER(TRIM(D189))="legitimate",LOWER(TRIM(D189))="compliant",LOWER(TRIM(D189))="due diligence"),"PROHIBITED GENERIC STATUS","OK"))</f>
        <v/>
      </c>
    </row>
    <row r="190">
      <c r="M190">
        <f>IF(COUNTA(A190:L190)=0,"",IF(OR(LOWER(TRIM(D190))="approved",LOWER(TRIM(D190))="certified",LOWER(TRIM(D190))="safe",LOWER(TRIM(D190))="ethical",LOWER(TRIM(D190))="legitimate",LOWER(TRIM(D190))="compliant",LOWER(TRIM(D190))="due diligence"),"PROHIBITED GENERIC STATUS","OK"))</f>
        <v/>
      </c>
    </row>
    <row r="191">
      <c r="M191">
        <f>IF(COUNTA(A191:L191)=0,"",IF(OR(LOWER(TRIM(D191))="approved",LOWER(TRIM(D191))="certified",LOWER(TRIM(D191))="safe",LOWER(TRIM(D191))="ethical",LOWER(TRIM(D191))="legitimate",LOWER(TRIM(D191))="compliant",LOWER(TRIM(D191))="due diligence"),"PROHIBITED GENERIC STATUS","OK"))</f>
        <v/>
      </c>
    </row>
    <row r="192">
      <c r="M192">
        <f>IF(COUNTA(A192:L192)=0,"",IF(OR(LOWER(TRIM(D192))="approved",LOWER(TRIM(D192))="certified",LOWER(TRIM(D192))="safe",LOWER(TRIM(D192))="ethical",LOWER(TRIM(D192))="legitimate",LOWER(TRIM(D192))="compliant",LOWER(TRIM(D192))="due diligence"),"PROHIBITED GENERIC STATUS","OK"))</f>
        <v/>
      </c>
    </row>
    <row r="193">
      <c r="M193">
        <f>IF(COUNTA(A193:L193)=0,"",IF(OR(LOWER(TRIM(D193))="approved",LOWER(TRIM(D193))="certified",LOWER(TRIM(D193))="safe",LOWER(TRIM(D193))="ethical",LOWER(TRIM(D193))="legitimate",LOWER(TRIM(D193))="compliant",LOWER(TRIM(D193))="due diligence"),"PROHIBITED GENERIC STATUS","OK"))</f>
        <v/>
      </c>
    </row>
    <row r="194">
      <c r="M194">
        <f>IF(COUNTA(A194:L194)=0,"",IF(OR(LOWER(TRIM(D194))="approved",LOWER(TRIM(D194))="certified",LOWER(TRIM(D194))="safe",LOWER(TRIM(D194))="ethical",LOWER(TRIM(D194))="legitimate",LOWER(TRIM(D194))="compliant",LOWER(TRIM(D194))="due diligence"),"PROHIBITED GENERIC STATUS","OK"))</f>
        <v/>
      </c>
    </row>
    <row r="195">
      <c r="M195">
        <f>IF(COUNTA(A195:L195)=0,"",IF(OR(LOWER(TRIM(D195))="approved",LOWER(TRIM(D195))="certified",LOWER(TRIM(D195))="safe",LOWER(TRIM(D195))="ethical",LOWER(TRIM(D195))="legitimate",LOWER(TRIM(D195))="compliant",LOWER(TRIM(D195))="due diligence"),"PROHIBITED GENERIC STATUS","OK"))</f>
        <v/>
      </c>
    </row>
    <row r="196">
      <c r="M196">
        <f>IF(COUNTA(A196:L196)=0,"",IF(OR(LOWER(TRIM(D196))="approved",LOWER(TRIM(D196))="certified",LOWER(TRIM(D196))="safe",LOWER(TRIM(D196))="ethical",LOWER(TRIM(D196))="legitimate",LOWER(TRIM(D196))="compliant",LOWER(TRIM(D196))="due diligence"),"PROHIBITED GENERIC STATUS","OK"))</f>
        <v/>
      </c>
    </row>
    <row r="197">
      <c r="M197">
        <f>IF(COUNTA(A197:L197)=0,"",IF(OR(LOWER(TRIM(D197))="approved",LOWER(TRIM(D197))="certified",LOWER(TRIM(D197))="safe",LOWER(TRIM(D197))="ethical",LOWER(TRIM(D197))="legitimate",LOWER(TRIM(D197))="compliant",LOWER(TRIM(D197))="due diligence"),"PROHIBITED GENERIC STATUS","OK"))</f>
        <v/>
      </c>
    </row>
    <row r="198">
      <c r="M198">
        <f>IF(COUNTA(A198:L198)=0,"",IF(OR(LOWER(TRIM(D198))="approved",LOWER(TRIM(D198))="certified",LOWER(TRIM(D198))="safe",LOWER(TRIM(D198))="ethical",LOWER(TRIM(D198))="legitimate",LOWER(TRIM(D198))="compliant",LOWER(TRIM(D198))="due diligence"),"PROHIBITED GENERIC STATUS","OK"))</f>
        <v/>
      </c>
    </row>
    <row r="199">
      <c r="M199">
        <f>IF(COUNTA(A199:L199)=0,"",IF(OR(LOWER(TRIM(D199))="approved",LOWER(TRIM(D199))="certified",LOWER(TRIM(D199))="safe",LOWER(TRIM(D199))="ethical",LOWER(TRIM(D199))="legitimate",LOWER(TRIM(D199))="compliant",LOWER(TRIM(D199))="due diligence"),"PROHIBITED GENERIC STATUS","OK"))</f>
        <v/>
      </c>
    </row>
    <row r="200">
      <c r="M200">
        <f>IF(COUNTA(A200:L200)=0,"",IF(OR(LOWER(TRIM(D200))="approved",LOWER(TRIM(D200))="certified",LOWER(TRIM(D200))="safe",LOWER(TRIM(D200))="ethical",LOWER(TRIM(D200))="legitimate",LOWER(TRIM(D200))="compliant",LOWER(TRIM(D200))="due diligence"),"PROHIBITED GENERIC STATUS","OK"))</f>
        <v/>
      </c>
    </row>
    <row r="201">
      <c r="M201">
        <f>IF(COUNTA(A201:L201)=0,"",IF(OR(LOWER(TRIM(D201))="approved",LOWER(TRIM(D201))="certified",LOWER(TRIM(D201))="safe",LOWER(TRIM(D201))="ethical",LOWER(TRIM(D201))="legitimate",LOWER(TRIM(D201))="compliant",LOWER(TRIM(D201))="due diligence"),"PROHIBITED GENERIC STATUS","OK"))</f>
        <v/>
      </c>
    </row>
    <row r="202">
      <c r="M202">
        <f>IF(COUNTA(A202:L202)=0,"",IF(OR(LOWER(TRIM(D202))="approved",LOWER(TRIM(D202))="certified",LOWER(TRIM(D202))="safe",LOWER(TRIM(D202))="ethical",LOWER(TRIM(D202))="legitimate",LOWER(TRIM(D202))="compliant",LOWER(TRIM(D202))="due diligence"),"PROHIBITED GENERIC STATUS","OK"))</f>
        <v/>
      </c>
    </row>
    <row r="203">
      <c r="M203">
        <f>IF(COUNTA(A203:L203)=0,"",IF(OR(LOWER(TRIM(D203))="approved",LOWER(TRIM(D203))="certified",LOWER(TRIM(D203))="safe",LOWER(TRIM(D203))="ethical",LOWER(TRIM(D203))="legitimate",LOWER(TRIM(D203))="compliant",LOWER(TRIM(D203))="due diligence"),"PROHIBITED GENERIC STATUS","OK"))</f>
        <v/>
      </c>
    </row>
    <row r="204">
      <c r="M204">
        <f>IF(COUNTA(A204:L204)=0,"",IF(OR(LOWER(TRIM(D204))="approved",LOWER(TRIM(D204))="certified",LOWER(TRIM(D204))="safe",LOWER(TRIM(D204))="ethical",LOWER(TRIM(D204))="legitimate",LOWER(TRIM(D204))="compliant",LOWER(TRIM(D204))="due diligence"),"PROHIBITED GENERIC STATUS","OK"))</f>
        <v/>
      </c>
    </row>
    <row r="205">
      <c r="M205">
        <f>IF(COUNTA(A205:L205)=0,"",IF(OR(LOWER(TRIM(D205))="approved",LOWER(TRIM(D205))="certified",LOWER(TRIM(D205))="safe",LOWER(TRIM(D205))="ethical",LOWER(TRIM(D205))="legitimate",LOWER(TRIM(D205))="compliant",LOWER(TRIM(D205))="due diligence"),"PROHIBITED GENERIC STATUS","OK"))</f>
        <v/>
      </c>
    </row>
    <row r="206">
      <c r="M206">
        <f>IF(COUNTA(A206:L206)=0,"",IF(OR(LOWER(TRIM(D206))="approved",LOWER(TRIM(D206))="certified",LOWER(TRIM(D206))="safe",LOWER(TRIM(D206))="ethical",LOWER(TRIM(D206))="legitimate",LOWER(TRIM(D206))="compliant",LOWER(TRIM(D206))="due diligence"),"PROHIBITED GENERIC STATUS","OK"))</f>
        <v/>
      </c>
    </row>
    <row r="207">
      <c r="M207">
        <f>IF(COUNTA(A207:L207)=0,"",IF(OR(LOWER(TRIM(D207))="approved",LOWER(TRIM(D207))="certified",LOWER(TRIM(D207))="safe",LOWER(TRIM(D207))="ethical",LOWER(TRIM(D207))="legitimate",LOWER(TRIM(D207))="compliant",LOWER(TRIM(D207))="due diligence"),"PROHIBITED GENERIC STATUS","OK"))</f>
        <v/>
      </c>
    </row>
    <row r="208">
      <c r="M208">
        <f>IF(COUNTA(A208:L208)=0,"",IF(OR(LOWER(TRIM(D208))="approved",LOWER(TRIM(D208))="certified",LOWER(TRIM(D208))="safe",LOWER(TRIM(D208))="ethical",LOWER(TRIM(D208))="legitimate",LOWER(TRIM(D208))="compliant",LOWER(TRIM(D208))="due diligence"),"PROHIBITED GENERIC STATUS","OK"))</f>
        <v/>
      </c>
    </row>
    <row r="209">
      <c r="M209">
        <f>IF(COUNTA(A209:L209)=0,"",IF(OR(LOWER(TRIM(D209))="approved",LOWER(TRIM(D209))="certified",LOWER(TRIM(D209))="safe",LOWER(TRIM(D209))="ethical",LOWER(TRIM(D209))="legitimate",LOWER(TRIM(D209))="compliant",LOWER(TRIM(D209))="due diligence"),"PROHIBITED GENERIC STATUS","OK"))</f>
        <v/>
      </c>
    </row>
    <row r="210">
      <c r="M210">
        <f>IF(COUNTA(A210:L210)=0,"",IF(OR(LOWER(TRIM(D210))="approved",LOWER(TRIM(D210))="certified",LOWER(TRIM(D210))="safe",LOWER(TRIM(D210))="ethical",LOWER(TRIM(D210))="legitimate",LOWER(TRIM(D210))="compliant",LOWER(TRIM(D210))="due diligence"),"PROHIBITED GENERIC STATUS","OK"))</f>
        <v/>
      </c>
    </row>
    <row r="211">
      <c r="M211">
        <f>IF(COUNTA(A211:L211)=0,"",IF(OR(LOWER(TRIM(D211))="approved",LOWER(TRIM(D211))="certified",LOWER(TRIM(D211))="safe",LOWER(TRIM(D211))="ethical",LOWER(TRIM(D211))="legitimate",LOWER(TRIM(D211))="compliant",LOWER(TRIM(D211))="due diligence"),"PROHIBITED GENERIC STATUS","OK"))</f>
        <v/>
      </c>
    </row>
    <row r="212">
      <c r="M212">
        <f>IF(COUNTA(A212:L212)=0,"",IF(OR(LOWER(TRIM(D212))="approved",LOWER(TRIM(D212))="certified",LOWER(TRIM(D212))="safe",LOWER(TRIM(D212))="ethical",LOWER(TRIM(D212))="legitimate",LOWER(TRIM(D212))="compliant",LOWER(TRIM(D212))="due diligence"),"PROHIBITED GENERIC STATUS","OK"))</f>
        <v/>
      </c>
    </row>
    <row r="213">
      <c r="M213">
        <f>IF(COUNTA(A213:L213)=0,"",IF(OR(LOWER(TRIM(D213))="approved",LOWER(TRIM(D213))="certified",LOWER(TRIM(D213))="safe",LOWER(TRIM(D213))="ethical",LOWER(TRIM(D213))="legitimate",LOWER(TRIM(D213))="compliant",LOWER(TRIM(D213))="due diligence"),"PROHIBITED GENERIC STATUS","OK"))</f>
        <v/>
      </c>
    </row>
    <row r="214">
      <c r="M214">
        <f>IF(COUNTA(A214:L214)=0,"",IF(OR(LOWER(TRIM(D214))="approved",LOWER(TRIM(D214))="certified",LOWER(TRIM(D214))="safe",LOWER(TRIM(D214))="ethical",LOWER(TRIM(D214))="legitimate",LOWER(TRIM(D214))="compliant",LOWER(TRIM(D214))="due diligence"),"PROHIBITED GENERIC STATUS","OK"))</f>
        <v/>
      </c>
    </row>
    <row r="215">
      <c r="M215">
        <f>IF(COUNTA(A215:L215)=0,"",IF(OR(LOWER(TRIM(D215))="approved",LOWER(TRIM(D215))="certified",LOWER(TRIM(D215))="safe",LOWER(TRIM(D215))="ethical",LOWER(TRIM(D215))="legitimate",LOWER(TRIM(D215))="compliant",LOWER(TRIM(D215))="due diligence"),"PROHIBITED GENERIC STATUS","OK"))</f>
        <v/>
      </c>
    </row>
    <row r="216">
      <c r="M216">
        <f>IF(COUNTA(A216:L216)=0,"",IF(OR(LOWER(TRIM(D216))="approved",LOWER(TRIM(D216))="certified",LOWER(TRIM(D216))="safe",LOWER(TRIM(D216))="ethical",LOWER(TRIM(D216))="legitimate",LOWER(TRIM(D216))="compliant",LOWER(TRIM(D216))="due diligence"),"PROHIBITED GENERIC STATUS","OK"))</f>
        <v/>
      </c>
    </row>
    <row r="217">
      <c r="M217">
        <f>IF(COUNTA(A217:L217)=0,"",IF(OR(LOWER(TRIM(D217))="approved",LOWER(TRIM(D217))="certified",LOWER(TRIM(D217))="safe",LOWER(TRIM(D217))="ethical",LOWER(TRIM(D217))="legitimate",LOWER(TRIM(D217))="compliant",LOWER(TRIM(D217))="due diligence"),"PROHIBITED GENERIC STATUS","OK"))</f>
        <v/>
      </c>
    </row>
    <row r="218">
      <c r="M218">
        <f>IF(COUNTA(A218:L218)=0,"",IF(OR(LOWER(TRIM(D218))="approved",LOWER(TRIM(D218))="certified",LOWER(TRIM(D218))="safe",LOWER(TRIM(D218))="ethical",LOWER(TRIM(D218))="legitimate",LOWER(TRIM(D218))="compliant",LOWER(TRIM(D218))="due diligence"),"PROHIBITED GENERIC STATUS","OK"))</f>
        <v/>
      </c>
    </row>
    <row r="219">
      <c r="M219">
        <f>IF(COUNTA(A219:L219)=0,"",IF(OR(LOWER(TRIM(D219))="approved",LOWER(TRIM(D219))="certified",LOWER(TRIM(D219))="safe",LOWER(TRIM(D219))="ethical",LOWER(TRIM(D219))="legitimate",LOWER(TRIM(D219))="compliant",LOWER(TRIM(D219))="due diligence"),"PROHIBITED GENERIC STATUS","OK"))</f>
        <v/>
      </c>
    </row>
    <row r="220">
      <c r="M220">
        <f>IF(COUNTA(A220:L220)=0,"",IF(OR(LOWER(TRIM(D220))="approved",LOWER(TRIM(D220))="certified",LOWER(TRIM(D220))="safe",LOWER(TRIM(D220))="ethical",LOWER(TRIM(D220))="legitimate",LOWER(TRIM(D220))="compliant",LOWER(TRIM(D220))="due diligence"),"PROHIBITED GENERIC STATUS","OK"))</f>
        <v/>
      </c>
    </row>
    <row r="221">
      <c r="M221">
        <f>IF(COUNTA(A221:L221)=0,"",IF(OR(LOWER(TRIM(D221))="approved",LOWER(TRIM(D221))="certified",LOWER(TRIM(D221))="safe",LOWER(TRIM(D221))="ethical",LOWER(TRIM(D221))="legitimate",LOWER(TRIM(D221))="compliant",LOWER(TRIM(D221))="due diligence"),"PROHIBITED GENERIC STATUS","OK"))</f>
        <v/>
      </c>
    </row>
    <row r="222">
      <c r="M222">
        <f>IF(COUNTA(A222:L222)=0,"",IF(OR(LOWER(TRIM(D222))="approved",LOWER(TRIM(D222))="certified",LOWER(TRIM(D222))="safe",LOWER(TRIM(D222))="ethical",LOWER(TRIM(D222))="legitimate",LOWER(TRIM(D222))="compliant",LOWER(TRIM(D222))="due diligence"),"PROHIBITED GENERIC STATUS","OK"))</f>
        <v/>
      </c>
    </row>
    <row r="223">
      <c r="M223">
        <f>IF(COUNTA(A223:L223)=0,"",IF(OR(LOWER(TRIM(D223))="approved",LOWER(TRIM(D223))="certified",LOWER(TRIM(D223))="safe",LOWER(TRIM(D223))="ethical",LOWER(TRIM(D223))="legitimate",LOWER(TRIM(D223))="compliant",LOWER(TRIM(D223))="due diligence"),"PROHIBITED GENERIC STATUS","OK"))</f>
        <v/>
      </c>
    </row>
    <row r="224">
      <c r="M224">
        <f>IF(COUNTA(A224:L224)=0,"",IF(OR(LOWER(TRIM(D224))="approved",LOWER(TRIM(D224))="certified",LOWER(TRIM(D224))="safe",LOWER(TRIM(D224))="ethical",LOWER(TRIM(D224))="legitimate",LOWER(TRIM(D224))="compliant",LOWER(TRIM(D224))="due diligence"),"PROHIBITED GENERIC STATUS","OK"))</f>
        <v/>
      </c>
    </row>
    <row r="225">
      <c r="M225">
        <f>IF(COUNTA(A225:L225)=0,"",IF(OR(LOWER(TRIM(D225))="approved",LOWER(TRIM(D225))="certified",LOWER(TRIM(D225))="safe",LOWER(TRIM(D225))="ethical",LOWER(TRIM(D225))="legitimate",LOWER(TRIM(D225))="compliant",LOWER(TRIM(D225))="due diligence"),"PROHIBITED GENERIC STATUS","OK"))</f>
        <v/>
      </c>
    </row>
    <row r="226">
      <c r="M226">
        <f>IF(COUNTA(A226:L226)=0,"",IF(OR(LOWER(TRIM(D226))="approved",LOWER(TRIM(D226))="certified",LOWER(TRIM(D226))="safe",LOWER(TRIM(D226))="ethical",LOWER(TRIM(D226))="legitimate",LOWER(TRIM(D226))="compliant",LOWER(TRIM(D226))="due diligence"),"PROHIBITED GENERIC STATUS","OK"))</f>
        <v/>
      </c>
    </row>
    <row r="227">
      <c r="M227">
        <f>IF(COUNTA(A227:L227)=0,"",IF(OR(LOWER(TRIM(D227))="approved",LOWER(TRIM(D227))="certified",LOWER(TRIM(D227))="safe",LOWER(TRIM(D227))="ethical",LOWER(TRIM(D227))="legitimate",LOWER(TRIM(D227))="compliant",LOWER(TRIM(D227))="due diligence"),"PROHIBITED GENERIC STATUS","OK"))</f>
        <v/>
      </c>
    </row>
    <row r="228">
      <c r="M228">
        <f>IF(COUNTA(A228:L228)=0,"",IF(OR(LOWER(TRIM(D228))="approved",LOWER(TRIM(D228))="certified",LOWER(TRIM(D228))="safe",LOWER(TRIM(D228))="ethical",LOWER(TRIM(D228))="legitimate",LOWER(TRIM(D228))="compliant",LOWER(TRIM(D228))="due diligence"),"PROHIBITED GENERIC STATUS","OK"))</f>
        <v/>
      </c>
    </row>
    <row r="229">
      <c r="M229">
        <f>IF(COUNTA(A229:L229)=0,"",IF(OR(LOWER(TRIM(D229))="approved",LOWER(TRIM(D229))="certified",LOWER(TRIM(D229))="safe",LOWER(TRIM(D229))="ethical",LOWER(TRIM(D229))="legitimate",LOWER(TRIM(D229))="compliant",LOWER(TRIM(D229))="due diligence"),"PROHIBITED GENERIC STATUS","OK"))</f>
        <v/>
      </c>
    </row>
    <row r="230">
      <c r="M230">
        <f>IF(COUNTA(A230:L230)=0,"",IF(OR(LOWER(TRIM(D230))="approved",LOWER(TRIM(D230))="certified",LOWER(TRIM(D230))="safe",LOWER(TRIM(D230))="ethical",LOWER(TRIM(D230))="legitimate",LOWER(TRIM(D230))="compliant",LOWER(TRIM(D230))="due diligence"),"PROHIBITED GENERIC STATUS","OK"))</f>
        <v/>
      </c>
    </row>
    <row r="231">
      <c r="M231">
        <f>IF(COUNTA(A231:L231)=0,"",IF(OR(LOWER(TRIM(D231))="approved",LOWER(TRIM(D231))="certified",LOWER(TRIM(D231))="safe",LOWER(TRIM(D231))="ethical",LOWER(TRIM(D231))="legitimate",LOWER(TRIM(D231))="compliant",LOWER(TRIM(D231))="due diligence"),"PROHIBITED GENERIC STATUS","OK"))</f>
        <v/>
      </c>
    </row>
    <row r="232">
      <c r="M232">
        <f>IF(COUNTA(A232:L232)=0,"",IF(OR(LOWER(TRIM(D232))="approved",LOWER(TRIM(D232))="certified",LOWER(TRIM(D232))="safe",LOWER(TRIM(D232))="ethical",LOWER(TRIM(D232))="legitimate",LOWER(TRIM(D232))="compliant",LOWER(TRIM(D232))="due diligence"),"PROHIBITED GENERIC STATUS","OK"))</f>
        <v/>
      </c>
    </row>
    <row r="233">
      <c r="M233">
        <f>IF(COUNTA(A233:L233)=0,"",IF(OR(LOWER(TRIM(D233))="approved",LOWER(TRIM(D233))="certified",LOWER(TRIM(D233))="safe",LOWER(TRIM(D233))="ethical",LOWER(TRIM(D233))="legitimate",LOWER(TRIM(D233))="compliant",LOWER(TRIM(D233))="due diligence"),"PROHIBITED GENERIC STATUS","OK"))</f>
        <v/>
      </c>
    </row>
    <row r="234">
      <c r="M234">
        <f>IF(COUNTA(A234:L234)=0,"",IF(OR(LOWER(TRIM(D234))="approved",LOWER(TRIM(D234))="certified",LOWER(TRIM(D234))="safe",LOWER(TRIM(D234))="ethical",LOWER(TRIM(D234))="legitimate",LOWER(TRIM(D234))="compliant",LOWER(TRIM(D234))="due diligence"),"PROHIBITED GENERIC STATUS","OK"))</f>
        <v/>
      </c>
    </row>
    <row r="235">
      <c r="M235">
        <f>IF(COUNTA(A235:L235)=0,"",IF(OR(LOWER(TRIM(D235))="approved",LOWER(TRIM(D235))="certified",LOWER(TRIM(D235))="safe",LOWER(TRIM(D235))="ethical",LOWER(TRIM(D235))="legitimate",LOWER(TRIM(D235))="compliant",LOWER(TRIM(D235))="due diligence"),"PROHIBITED GENERIC STATUS","OK"))</f>
        <v/>
      </c>
    </row>
    <row r="236">
      <c r="M236">
        <f>IF(COUNTA(A236:L236)=0,"",IF(OR(LOWER(TRIM(D236))="approved",LOWER(TRIM(D236))="certified",LOWER(TRIM(D236))="safe",LOWER(TRIM(D236))="ethical",LOWER(TRIM(D236))="legitimate",LOWER(TRIM(D236))="compliant",LOWER(TRIM(D236))="due diligence"),"PROHIBITED GENERIC STATUS","OK"))</f>
        <v/>
      </c>
    </row>
    <row r="237">
      <c r="M237">
        <f>IF(COUNTA(A237:L237)=0,"",IF(OR(LOWER(TRIM(D237))="approved",LOWER(TRIM(D237))="certified",LOWER(TRIM(D237))="safe",LOWER(TRIM(D237))="ethical",LOWER(TRIM(D237))="legitimate",LOWER(TRIM(D237))="compliant",LOWER(TRIM(D237))="due diligence"),"PROHIBITED GENERIC STATUS","OK"))</f>
        <v/>
      </c>
    </row>
    <row r="238">
      <c r="M238">
        <f>IF(COUNTA(A238:L238)=0,"",IF(OR(LOWER(TRIM(D238))="approved",LOWER(TRIM(D238))="certified",LOWER(TRIM(D238))="safe",LOWER(TRIM(D238))="ethical",LOWER(TRIM(D238))="legitimate",LOWER(TRIM(D238))="compliant",LOWER(TRIM(D238))="due diligence"),"PROHIBITED GENERIC STATUS","OK"))</f>
        <v/>
      </c>
    </row>
    <row r="239">
      <c r="M239">
        <f>IF(COUNTA(A239:L239)=0,"",IF(OR(LOWER(TRIM(D239))="approved",LOWER(TRIM(D239))="certified",LOWER(TRIM(D239))="safe",LOWER(TRIM(D239))="ethical",LOWER(TRIM(D239))="legitimate",LOWER(TRIM(D239))="compliant",LOWER(TRIM(D239))="due diligence"),"PROHIBITED GENERIC STATUS","OK"))</f>
        <v/>
      </c>
    </row>
    <row r="240">
      <c r="M240">
        <f>IF(COUNTA(A240:L240)=0,"",IF(OR(LOWER(TRIM(D240))="approved",LOWER(TRIM(D240))="certified",LOWER(TRIM(D240))="safe",LOWER(TRIM(D240))="ethical",LOWER(TRIM(D240))="legitimate",LOWER(TRIM(D240))="compliant",LOWER(TRIM(D240))="due diligence"),"PROHIBITED GENERIC STATUS","OK"))</f>
        <v/>
      </c>
    </row>
    <row r="241">
      <c r="M241">
        <f>IF(COUNTA(A241:L241)=0,"",IF(OR(LOWER(TRIM(D241))="approved",LOWER(TRIM(D241))="certified",LOWER(TRIM(D241))="safe",LOWER(TRIM(D241))="ethical",LOWER(TRIM(D241))="legitimate",LOWER(TRIM(D241))="compliant",LOWER(TRIM(D241))="due diligence"),"PROHIBITED GENERIC STATUS","OK"))</f>
        <v/>
      </c>
    </row>
    <row r="242">
      <c r="M242">
        <f>IF(COUNTA(A242:L242)=0,"",IF(OR(LOWER(TRIM(D242))="approved",LOWER(TRIM(D242))="certified",LOWER(TRIM(D242))="safe",LOWER(TRIM(D242))="ethical",LOWER(TRIM(D242))="legitimate",LOWER(TRIM(D242))="compliant",LOWER(TRIM(D242))="due diligence"),"PROHIBITED GENERIC STATUS","OK"))</f>
        <v/>
      </c>
    </row>
    <row r="243">
      <c r="M243">
        <f>IF(COUNTA(A243:L243)=0,"",IF(OR(LOWER(TRIM(D243))="approved",LOWER(TRIM(D243))="certified",LOWER(TRIM(D243))="safe",LOWER(TRIM(D243))="ethical",LOWER(TRIM(D243))="legitimate",LOWER(TRIM(D243))="compliant",LOWER(TRIM(D243))="due diligence"),"PROHIBITED GENERIC STATUS","OK"))</f>
        <v/>
      </c>
    </row>
    <row r="244">
      <c r="M244">
        <f>IF(COUNTA(A244:L244)=0,"",IF(OR(LOWER(TRIM(D244))="approved",LOWER(TRIM(D244))="certified",LOWER(TRIM(D244))="safe",LOWER(TRIM(D244))="ethical",LOWER(TRIM(D244))="legitimate",LOWER(TRIM(D244))="compliant",LOWER(TRIM(D244))="due diligence"),"PROHIBITED GENERIC STATUS","OK"))</f>
        <v/>
      </c>
    </row>
    <row r="245">
      <c r="M245">
        <f>IF(COUNTA(A245:L245)=0,"",IF(OR(LOWER(TRIM(D245))="approved",LOWER(TRIM(D245))="certified",LOWER(TRIM(D245))="safe",LOWER(TRIM(D245))="ethical",LOWER(TRIM(D245))="legitimate",LOWER(TRIM(D245))="compliant",LOWER(TRIM(D245))="due diligence"),"PROHIBITED GENERIC STATUS","OK"))</f>
        <v/>
      </c>
    </row>
    <row r="246">
      <c r="M246">
        <f>IF(COUNTA(A246:L246)=0,"",IF(OR(LOWER(TRIM(D246))="approved",LOWER(TRIM(D246))="certified",LOWER(TRIM(D246))="safe",LOWER(TRIM(D246))="ethical",LOWER(TRIM(D246))="legitimate",LOWER(TRIM(D246))="compliant",LOWER(TRIM(D246))="due diligence"),"PROHIBITED GENERIC STATUS","OK"))</f>
        <v/>
      </c>
    </row>
    <row r="247">
      <c r="M247">
        <f>IF(COUNTA(A247:L247)=0,"",IF(OR(LOWER(TRIM(D247))="approved",LOWER(TRIM(D247))="certified",LOWER(TRIM(D247))="safe",LOWER(TRIM(D247))="ethical",LOWER(TRIM(D247))="legitimate",LOWER(TRIM(D247))="compliant",LOWER(TRIM(D247))="due diligence"),"PROHIBITED GENERIC STATUS","OK"))</f>
        <v/>
      </c>
    </row>
    <row r="248">
      <c r="M248">
        <f>IF(COUNTA(A248:L248)=0,"",IF(OR(LOWER(TRIM(D248))="approved",LOWER(TRIM(D248))="certified",LOWER(TRIM(D248))="safe",LOWER(TRIM(D248))="ethical",LOWER(TRIM(D248))="legitimate",LOWER(TRIM(D248))="compliant",LOWER(TRIM(D248))="due diligence"),"PROHIBITED GENERIC STATUS","OK"))</f>
        <v/>
      </c>
    </row>
    <row r="249">
      <c r="M249">
        <f>IF(COUNTA(A249:L249)=0,"",IF(OR(LOWER(TRIM(D249))="approved",LOWER(TRIM(D249))="certified",LOWER(TRIM(D249))="safe",LOWER(TRIM(D249))="ethical",LOWER(TRIM(D249))="legitimate",LOWER(TRIM(D249))="compliant",LOWER(TRIM(D249))="due diligence"),"PROHIBITED GENERIC STATUS","OK"))</f>
        <v/>
      </c>
    </row>
    <row r="250">
      <c r="M250">
        <f>IF(COUNTA(A250:L250)=0,"",IF(OR(LOWER(TRIM(D250))="approved",LOWER(TRIM(D250))="certified",LOWER(TRIM(D250))="safe",LOWER(TRIM(D250))="ethical",LOWER(TRIM(D250))="legitimate",LOWER(TRIM(D250))="compliant",LOWER(TRIM(D250))="due diligence"),"PROHIBITED GENERIC STATUS","OK"))</f>
        <v/>
      </c>
    </row>
  </sheetData>
  <mergeCells count="1">
    <mergeCell ref="A1:M1"/>
  </mergeCells>
  <conditionalFormatting sqref="M4:M60">
    <cfRule type="expression" priority="1" dxfId="0">
      <formula>M4="PROHIBITED GENERIC STATUS"</formula>
    </cfRule>
  </conditionalFormatting>
  <dataValidations count="4">
    <dataValidation sqref="C4:C60" showDropDown="0" showInputMessage="0" showErrorMessage="1" allowBlank="0" errorTitle="Invalid verdict component" error="Select an exact controlled value from the Vocabulary sheet." type="list" errorStyle="stop">
      <formula1>INDIRECT("Vocabulary!$Q$5:$Q$9")</formula1>
    </dataValidation>
    <dataValidation sqref="D4:D60" showDropDown="0" showInputMessage="0" showErrorMessage="1" allowBlank="0" errorTitle="Invalid verdict status" error="Select an exact controlled value from the Vocabulary sheet." type="list" errorStyle="stop">
      <formula1>INDIRECT("Vocabulary!$R$5:$R$15")</formula1>
    </dataValidation>
    <dataValidation sqref="C4:C250" showDropDown="0" showInputMessage="0" showErrorMessage="1" allowBlank="0" errorTitle="Invalid verdict component" error="Select an exact controlled value from the Vocabulary sheet." type="list" errorStyle="stop">
      <formula1>INDIRECT("Vocabulary!$Q$5:$Q$9")</formula1>
    </dataValidation>
    <dataValidation sqref="D4:D250" showDropDown="0" showInputMessage="0" showErrorMessage="1" allowBlank="0" errorTitle="Invalid verdict status" error="Select an exact controlled value from the Vocabulary sheet." type="list" errorStyle="stop">
      <formula1>INDIRECT("Vocabulary!$R$5:$R$15")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0"/>
  <sheetViews>
    <sheetView workbookViewId="0">
      <selection activeCell="A1" sqref="A1"/>
    </sheetView>
  </sheetViews>
  <sheetFormatPr baseColWidth="8" defaultRowHeight="15"/>
  <cols>
    <col width="18" customWidth="1" style="215" min="1" max="1"/>
    <col width="18" customWidth="1" style="215" min="2" max="2"/>
    <col width="18" customWidth="1" style="215" min="3" max="3"/>
    <col width="22" customWidth="1" style="215" min="4" max="4"/>
    <col width="26" customWidth="1" style="215" min="5" max="5"/>
    <col width="28" customWidth="1" style="215" min="6" max="6"/>
    <col width="30" customWidth="1" style="215" min="7" max="7"/>
    <col width="18" customWidth="1" style="215" min="8" max="8"/>
    <col width="28" customWidth="1" style="215" min="9" max="9"/>
    <col width="28" customWidth="1" style="215" min="10" max="10"/>
    <col width="34" customWidth="1" style="215" min="11" max="11"/>
    <col width="34" customWidth="1" style="215" min="12" max="12"/>
    <col width="30" customWidth="1" style="215" min="13" max="13"/>
    <col width="28" customWidth="1" style="215" min="14" max="14"/>
    <col width="28" customWidth="1" style="215" min="15" max="15"/>
    <col width="14" customWidth="1" style="215" min="16" max="16"/>
    <col width="45" customWidth="1" style="215" min="17" max="17"/>
    <col width="36" customWidth="1" style="215" min="18" max="18"/>
    <col width="34" customWidth="1" style="215" min="19" max="19"/>
    <col width="42" customWidth="1" style="215" min="20" max="20"/>
    <col width="44" customWidth="1" style="215" min="21" max="21"/>
    <col width="28" customWidth="1" style="215" min="22" max="22"/>
    <col width="38" customWidth="1" style="215" min="23" max="23"/>
    <col width="30" customWidth="1" style="215" min="24" max="24"/>
    <col width="34" customWidth="1" style="215" min="25" max="25"/>
    <col width="40" customWidth="1" style="215" min="26" max="26"/>
    <col width="34" customWidth="1" style="215" min="27" max="27"/>
  </cols>
  <sheetData>
    <row r="1" ht="28" customHeight="1" s="215">
      <c r="A1" s="536" t="inlineStr">
        <is>
          <t>Independence, Protected Reporting, Host-Interest, and AI-Assistance Dossier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  <c r="U1" s="442" t="n"/>
      <c r="V1" s="442" t="n"/>
      <c r="W1" s="442" t="n"/>
      <c r="X1" s="442" t="n"/>
      <c r="Y1" s="442" t="n"/>
      <c r="Z1" s="442" t="n"/>
      <c r="AA1" s="442" t="n"/>
    </row>
    <row r="2"/>
    <row r="3" ht="34" customHeight="1" s="215">
      <c r="A3" s="421" t="inlineStr">
        <is>
          <t>Dossier_ID</t>
        </is>
      </c>
      <c r="B3" s="421" t="inlineStr">
        <is>
          <t>Candidate_ID</t>
        </is>
      </c>
      <c r="C3" s="421" t="inlineStr">
        <is>
          <t>Sponsor_ID</t>
        </is>
      </c>
      <c r="D3" s="421" t="inlineStr">
        <is>
          <t>Host_ID</t>
        </is>
      </c>
      <c r="E3" s="421" t="inlineStr">
        <is>
          <t>Data_Control</t>
        </is>
      </c>
      <c r="F3" s="421" t="inlineStr">
        <is>
          <t>Publication_Control</t>
        </is>
      </c>
      <c r="G3" s="421" t="inlineStr">
        <is>
          <t>Reviewer_Selection_Control</t>
        </is>
      </c>
      <c r="H3" s="421" t="inlineStr">
        <is>
          <t>Protected_Dissent</t>
        </is>
      </c>
      <c r="I3" s="421" t="inlineStr">
        <is>
          <t>Null_Adverse_Publication_Right</t>
        </is>
      </c>
      <c r="J3" s="421" t="inlineStr">
        <is>
          <t>Affected_Party_Representation</t>
        </is>
      </c>
      <c r="K3" s="421" t="inlineStr">
        <is>
          <t>Financial_Interests</t>
        </is>
      </c>
      <c r="L3" s="421" t="inlineStr">
        <is>
          <t>Intellectual_Affiliations</t>
        </is>
      </c>
      <c r="M3" s="421" t="inlineStr">
        <is>
          <t>Conflict_Adjudicator</t>
        </is>
      </c>
      <c r="N3" s="421" t="inlineStr">
        <is>
          <t>Recorded_Status</t>
        </is>
      </c>
      <c r="O3" s="421" t="inlineStr">
        <is>
          <t>Derived_Status</t>
        </is>
      </c>
      <c r="P3" s="421" t="inlineStr">
        <is>
          <t>Status_Match</t>
        </is>
      </c>
      <c r="Q3" s="421" t="inlineStr">
        <is>
          <t>Rationale</t>
        </is>
      </c>
      <c r="R3" s="421" t="inlineStr">
        <is>
          <t>Host_Interest_in_Outcome</t>
        </is>
      </c>
      <c r="S3" s="421" t="inlineStr">
        <is>
          <t>Host_Precommitment</t>
        </is>
      </c>
      <c r="T3" s="421" t="inlineStr">
        <is>
          <t>AI_Assistance_Policy</t>
        </is>
      </c>
      <c r="U3" s="421" t="inlineStr">
        <is>
          <t>Reliability_Independence_Boundary</t>
        </is>
      </c>
      <c r="V3" s="421" t="inlineStr">
        <is>
          <t>Scenario_Set_Record_Status</t>
        </is>
      </c>
      <c r="W3" s="421" t="inlineStr">
        <is>
          <t>Shared_Model_Rating_Status</t>
        </is>
      </c>
      <c r="X3" s="421" t="inlineStr">
        <is>
          <t>Vocabulary_Check</t>
        </is>
      </c>
      <c r="Y3" s="421" t="inlineStr">
        <is>
          <t>Protected_Reporting_Channel</t>
        </is>
      </c>
      <c r="Z3" s="421" t="inlineStr">
        <is>
          <t>Confidentiality_Protection</t>
        </is>
      </c>
      <c r="AA3" s="421" t="inlineStr">
        <is>
          <t>Anti_Retaliation_Safeguard</t>
        </is>
      </c>
    </row>
    <row r="4">
      <c r="A4" s="81" t="inlineStr">
        <is>
          <t>IND-ILL-001</t>
        </is>
      </c>
      <c r="B4" s="356" t="inlineStr">
        <is>
          <t>SYNTH-CAND-HC</t>
        </is>
      </c>
      <c r="C4" s="356" t="inlineStr">
        <is>
          <t>SPONSOR-ILL-001</t>
        </is>
      </c>
      <c r="D4" s="356" t="inlineStr">
        <is>
          <t>HOST-INDEPENDENT-01</t>
        </is>
      </c>
      <c r="E4" s="356" t="inlineStr">
        <is>
          <t>Independent host</t>
        </is>
      </c>
      <c r="F4" s="356" t="inlineStr">
        <is>
          <t>Independent unconditional</t>
        </is>
      </c>
      <c r="G4" s="356" t="inlineStr">
        <is>
          <t>Independent host</t>
        </is>
      </c>
      <c r="H4" s="356" t="inlineStr">
        <is>
          <t>Yes</t>
        </is>
      </c>
      <c r="I4" s="356" t="inlineStr">
        <is>
          <t>Yes</t>
        </is>
      </c>
      <c r="J4" s="356" t="inlineStr">
        <is>
          <t>Yes</t>
        </is>
      </c>
      <c r="K4" s="356" t="inlineStr">
        <is>
          <t>Sponsor funds study; no outcome-contingent payment</t>
        </is>
      </c>
      <c r="L4" s="356" t="inlineStr">
        <is>
          <t>None</t>
        </is>
      </c>
      <c r="M4" s="356" t="inlineStr">
        <is>
          <t>Independent research-integrity officer</t>
        </is>
      </c>
      <c r="N4" s="356" t="inlineStr">
        <is>
          <t>Adequate with declared controls</t>
        </is>
      </c>
      <c r="O4" s="302">
        <f>IF(COUNTA(A4:N4)+COUNTA(Q4:W4)+COUNTA(Y4:AA4)=0,"",IF(OR(LEN(TRIM(A4))=0,LEN(TRIM(B4))=0,LEN(TRIM(C4))=0,LEN(TRIM(D4))=0,LEN(TRIM(E4))=0,LEN(TRIM(F4))=0,LEN(TRIM(G4))=0,LEN(TRIM(H4))=0,LEN(TRIM(I4))=0,LEN(TRIM(J4))=0,LEN(TRIM(R4))=0,LEN(TRIM(S4))=0,LEN(TRIM(T4))=0,LEN(TRIM(V4))=0,LEN(TRIM(W4))=0,LEN(TRIM(Y4))=0,LEN(TRIM(Z4))=0,LEN(TRIM(AA4))=0),"Indeterminate",IF(X4&lt;&gt;"OK","Indeterminate",IF(OR(E4="Indeterminate",F4="Indeterminate",G4="Indeterminate",R4="Indeterminate",S4="Indeterminate",T4="Indeterminate",V4="Indeterminate",W4="Indeterminate",Y4="Indeterminate",Z4="Indeterminate",AA4="Indeterminate"),"Indeterminate",IF(OR(E4="Sponsor controlled - invalid",F4="Sponsor veto - invalid",G4="Sponsor/candidate controlled - invalid",H4&lt;&gt;"Yes",I4&lt;&gt;"Yes",J4&lt;&gt;"Yes",R4="Predetermined outcome - invalid",S4="No credible precommitment",T4="Material assistance undisclosed",V4="Missing",V4="Changed after unblinding",W4="Material shared-model generation undisclosed",Y4="No protected reporting channel",Z4="No anonymity/confidentiality protection",AA4="No anti-retaliation safeguard"),"Inadequate",IF(OR(E4="Joint with firewall",F4="Independent with security redaction only",G4="Joint with public rules",K4&lt;&gt;"",AND(L4&lt;&gt;"",LOWER(L4)&lt;&gt;"none"),R4="Declared interest with enforceable firewall",S4="Conditional precommitment with disclosed limits",T4="Material assistance disclosed and separated",W4="Material shared-model generation disclosed",Z4="Not applicable with recorded rationale"),"Adequate with declared controls","Adequate"))))))</f>
        <v/>
      </c>
      <c r="P4" s="302">
        <f>IF(AND(O4="",N4=""),"",IF(AND(O4&lt;&gt;"",N4=""),"UNRECORDED",IF(AND(O4="",N4&lt;&gt;""),"ORPHAN_RECORDED",IF(O4=N4,"MATCH","MISMATCH"))))</f>
        <v/>
      </c>
      <c r="Q4" s="103" t="inlineStr">
        <is>
          <t>Funding is declared and separated from data, reviewer, adjudication, and publication control.</t>
        </is>
      </c>
      <c r="R4" s="253" t="inlineStr">
        <is>
          <t>Outcome-neutral; no preferred candidate outcome</t>
        </is>
      </c>
      <c r="S4" s="254" t="inlineStr">
        <is>
          <t>Preregistered and unconditional publication</t>
        </is>
      </c>
      <c r="T4" s="254" t="inlineStr">
        <is>
          <t>Retrieval/formatting only</t>
        </is>
      </c>
      <c r="U4" s="255" t="inlineStr">
        <is>
          <t>Ratings materially generated or harmonized by a shared model are not treated as independent human judgements.</t>
        </is>
      </c>
      <c r="V4" t="inlineStr">
        <is>
          <t>Present and frozen</t>
        </is>
      </c>
      <c r="W4" t="inlineStr">
        <is>
          <t>No shared-model rating generation</t>
        </is>
      </c>
      <c r="X4" s="303">
        <f>IF(COUNTA(E4:J4)+COUNTA(R4:T4)+COUNTA(V4:W4)+COUNTA(Y4:AA4)=0,"",IF(AND(COUNTIF(Vocabulary!$S$5:$S$8,E4)=1,COUNTIF(Vocabulary!$T$5:$T$8,F4)=1,COUNTIF(Vocabulary!$U$5:$U$8,G4)=1,COUNTIF(Vocabulary!$J$5:$J$6,H4)=1,COUNTIF(Vocabulary!$J$5:$J$6,I4)=1,COUNTIF(Vocabulary!$J$5:$J$6,J4)=1,COUNTIF(Vocabulary!$W$5:$W$8,R4)=1,COUNTIF(Vocabulary!$X$5:$X$8,S4)=1,COUNTIF(Vocabulary!$Y$5:$Y$9,T4)=1,COUNTIF(Vocabulary!$Z$5:$Z$8,V4)=1,COUNTIF(Vocabulary!$AA$5:$AA$9,W4)=1,COUNTIF(Vocabulary!$AB$5:$AB$7,Y4)=1,COUNTIF(Vocabulary!$AC$5:$AC$8,Z4)=1,COUNTIF(Vocabulary!$AD$5:$AD$7,AA4)=1),"OK","UNRECOGNISED_CONTROL_VALUE"))</f>
        <v/>
      </c>
      <c r="Y4" s="303" t="inlineStr">
        <is>
          <t>Protected reporting channel available</t>
        </is>
      </c>
      <c r="Z4" s="303" t="inlineStr">
        <is>
          <t>Anonymous or confidential reporting available</t>
        </is>
      </c>
      <c r="AA4" s="303" t="inlineStr">
        <is>
          <t>Anti-retaliation safeguard documented</t>
        </is>
      </c>
    </row>
    <row r="5">
      <c r="A5" s="81" t="n"/>
      <c r="B5" s="356" t="n"/>
      <c r="C5" s="356" t="n"/>
      <c r="D5" s="356" t="n"/>
      <c r="E5" s="356" t="n"/>
      <c r="F5" s="356" t="n"/>
      <c r="G5" s="356" t="n"/>
      <c r="H5" s="356" t="n"/>
      <c r="I5" s="356" t="n"/>
      <c r="J5" s="356" t="n"/>
      <c r="K5" s="356" t="n"/>
      <c r="L5" s="356" t="n"/>
      <c r="M5" s="356" t="n"/>
      <c r="N5" s="356" t="n"/>
      <c r="O5" s="302">
        <f>IF(COUNTA(A5:N5)+COUNTA(Q5:W5)+COUNTA(Y5:AA5)=0,"",IF(OR(LEN(TRIM(A5))=0,LEN(TRIM(B5))=0,LEN(TRIM(C5))=0,LEN(TRIM(D5))=0,LEN(TRIM(E5))=0,LEN(TRIM(F5))=0,LEN(TRIM(G5))=0,LEN(TRIM(H5))=0,LEN(TRIM(I5))=0,LEN(TRIM(J5))=0,LEN(TRIM(R5))=0,LEN(TRIM(S5))=0,LEN(TRIM(T5))=0,LEN(TRIM(V5))=0,LEN(TRIM(W5))=0,LEN(TRIM(Y5))=0,LEN(TRIM(Z5))=0,LEN(TRIM(AA5))=0),"Indeterminate",IF(X5&lt;&gt;"OK","Indeterminate",IF(OR(E5="Indeterminate",F5="Indeterminate",G5="Indeterminate",R5="Indeterminate",S5="Indeterminate",T5="Indeterminate",V5="Indeterminate",W5="Indeterminate",Y5="Indeterminate",Z5="Indeterminate",AA5="Indeterminate"),"Indeterminate",IF(OR(E5="Sponsor controlled - invalid",F5="Sponsor veto - invalid",G5="Sponsor/candidate controlled - invalid",H5&lt;&gt;"Yes",I5&lt;&gt;"Yes",J5&lt;&gt;"Yes",R5="Predetermined outcome - invalid",S5="No credible precommitment",T5="Material assistance undisclosed",V5="Missing",V5="Changed after unblinding",W5="Material shared-model generation undisclosed",Y5="No protected reporting channel",Z5="No anonymity/confidentiality protection",AA5="No anti-retaliation safeguard"),"Inadequate",IF(OR(E5="Joint with firewall",F5="Independent with security redaction only",G5="Joint with public rules",K5&lt;&gt;"",AND(L5&lt;&gt;"",LOWER(L5)&lt;&gt;"none"),R5="Declared interest with enforceable firewall",S5="Conditional precommitment with disclosed limits",T5="Material assistance disclosed and separated",W5="Material shared-model generation disclosed",Z5="Not applicable with recorded rationale"),"Adequate with declared controls","Adequate"))))))</f>
        <v/>
      </c>
      <c r="P5" s="302">
        <f>IF(AND(O5="",N5=""),"",IF(AND(O5&lt;&gt;"",N5=""),"UNRECORDED",IF(AND(O5="",N5&lt;&gt;""),"ORPHAN_RECORDED",IF(O5=N5,"MATCH","MISMATCH"))))</f>
        <v/>
      </c>
      <c r="Q5" s="103" t="n"/>
      <c r="R5" s="253" t="n"/>
      <c r="S5" s="254" t="n"/>
      <c r="T5" s="254" t="n"/>
      <c r="U5" s="255" t="n"/>
      <c r="X5" s="303">
        <f>IF(COUNTA(E5:J5)+COUNTA(R5:T5)+COUNTA(V5:W5)+COUNTA(Y5:AA5)=0,"",IF(AND(COUNTIF(Vocabulary!$S$5:$S$8,E5)=1,COUNTIF(Vocabulary!$T$5:$T$8,F5)=1,COUNTIF(Vocabulary!$U$5:$U$8,G5)=1,COUNTIF(Vocabulary!$J$5:$J$6,H5)=1,COUNTIF(Vocabulary!$J$5:$J$6,I5)=1,COUNTIF(Vocabulary!$J$5:$J$6,J5)=1,COUNTIF(Vocabulary!$W$5:$W$8,R5)=1,COUNTIF(Vocabulary!$X$5:$X$8,S5)=1,COUNTIF(Vocabulary!$Y$5:$Y$9,T5)=1,COUNTIF(Vocabulary!$Z$5:$Z$8,V5)=1,COUNTIF(Vocabulary!$AA$5:$AA$9,W5)=1,COUNTIF(Vocabulary!$AB$5:$AB$7,Y5)=1,COUNTIF(Vocabulary!$AC$5:$AC$8,Z5)=1,COUNTIF(Vocabulary!$AD$5:$AD$7,AA5)=1),"OK","UNRECOGNISED_CONTROL_VALUE"))</f>
        <v/>
      </c>
      <c r="Y5" s="303" t="n"/>
      <c r="Z5" s="303" t="n"/>
      <c r="AA5" s="303" t="n"/>
    </row>
    <row r="6">
      <c r="A6" s="81" t="n"/>
      <c r="B6" s="356" t="n"/>
      <c r="C6" s="356" t="n"/>
      <c r="D6" s="356" t="n"/>
      <c r="E6" s="356" t="n"/>
      <c r="F6" s="356" t="n"/>
      <c r="G6" s="356" t="n"/>
      <c r="H6" s="356" t="n"/>
      <c r="I6" s="356" t="n"/>
      <c r="J6" s="356" t="n"/>
      <c r="K6" s="356" t="n"/>
      <c r="L6" s="356" t="n"/>
      <c r="M6" s="356" t="n"/>
      <c r="N6" s="356" t="n"/>
      <c r="O6" s="302">
        <f>IF(COUNTA(A6:N6)+COUNTA(Q6:W6)+COUNTA(Y6:AA6)=0,"",IF(OR(LEN(TRIM(A6))=0,LEN(TRIM(B6))=0,LEN(TRIM(C6))=0,LEN(TRIM(D6))=0,LEN(TRIM(E6))=0,LEN(TRIM(F6))=0,LEN(TRIM(G6))=0,LEN(TRIM(H6))=0,LEN(TRIM(I6))=0,LEN(TRIM(J6))=0,LEN(TRIM(R6))=0,LEN(TRIM(S6))=0,LEN(TRIM(T6))=0,LEN(TRIM(V6))=0,LEN(TRIM(W6))=0,LEN(TRIM(Y6))=0,LEN(TRIM(Z6))=0,LEN(TRIM(AA6))=0),"Indeterminate",IF(X6&lt;&gt;"OK","Indeterminate",IF(OR(E6="Indeterminate",F6="Indeterminate",G6="Indeterminate",R6="Indeterminate",S6="Indeterminate",T6="Indeterminate",V6="Indeterminate",W6="Indeterminate",Y6="Indeterminate",Z6="Indeterminate",AA6="Indeterminate"),"Indeterminate",IF(OR(E6="Sponsor controlled - invalid",F6="Sponsor veto - invalid",G6="Sponsor/candidate controlled - invalid",H6&lt;&gt;"Yes",I6&lt;&gt;"Yes",J6&lt;&gt;"Yes",R6="Predetermined outcome - invalid",S6="No credible precommitment",T6="Material assistance undisclosed",V6="Missing",V6="Changed after unblinding",W6="Material shared-model generation undisclosed",Y6="No protected reporting channel",Z6="No anonymity/confidentiality protection",AA6="No anti-retaliation safeguard"),"Inadequate",IF(OR(E6="Joint with firewall",F6="Independent with security redaction only",G6="Joint with public rules",K6&lt;&gt;"",AND(L6&lt;&gt;"",LOWER(L6)&lt;&gt;"none"),R6="Declared interest with enforceable firewall",S6="Conditional precommitment with disclosed limits",T6="Material assistance disclosed and separated",W6="Material shared-model generation disclosed",Z6="Not applicable with recorded rationale"),"Adequate with declared controls","Adequate"))))))</f>
        <v/>
      </c>
      <c r="P6" s="302">
        <f>IF(AND(O6="",N6=""),"",IF(AND(O6&lt;&gt;"",N6=""),"UNRECORDED",IF(AND(O6="",N6&lt;&gt;""),"ORPHAN_RECORDED",IF(O6=N6,"MATCH","MISMATCH"))))</f>
        <v/>
      </c>
      <c r="Q6" s="103" t="n"/>
      <c r="R6" s="253" t="n"/>
      <c r="S6" s="254" t="n"/>
      <c r="T6" s="254" t="n"/>
      <c r="U6" s="255" t="n"/>
      <c r="X6" s="303">
        <f>IF(COUNTA(E6:J6)+COUNTA(R6:T6)+COUNTA(V6:W6)+COUNTA(Y6:AA6)=0,"",IF(AND(COUNTIF(Vocabulary!$S$5:$S$8,E6)=1,COUNTIF(Vocabulary!$T$5:$T$8,F6)=1,COUNTIF(Vocabulary!$U$5:$U$8,G6)=1,COUNTIF(Vocabulary!$J$5:$J$6,H6)=1,COUNTIF(Vocabulary!$J$5:$J$6,I6)=1,COUNTIF(Vocabulary!$J$5:$J$6,J6)=1,COUNTIF(Vocabulary!$W$5:$W$8,R6)=1,COUNTIF(Vocabulary!$X$5:$X$8,S6)=1,COUNTIF(Vocabulary!$Y$5:$Y$9,T6)=1,COUNTIF(Vocabulary!$Z$5:$Z$8,V6)=1,COUNTIF(Vocabulary!$AA$5:$AA$9,W6)=1,COUNTIF(Vocabulary!$AB$5:$AB$7,Y6)=1,COUNTIF(Vocabulary!$AC$5:$AC$8,Z6)=1,COUNTIF(Vocabulary!$AD$5:$AD$7,AA6)=1),"OK","UNRECOGNISED_CONTROL_VALUE"))</f>
        <v/>
      </c>
      <c r="Y6" s="303" t="n"/>
      <c r="Z6" s="303" t="n"/>
      <c r="AA6" s="303" t="n"/>
    </row>
    <row r="7">
      <c r="A7" s="81" t="n"/>
      <c r="B7" s="356" t="n"/>
      <c r="C7" s="356" t="n"/>
      <c r="D7" s="356" t="n"/>
      <c r="E7" s="356" t="n"/>
      <c r="F7" s="356" t="n"/>
      <c r="G7" s="356" t="n"/>
      <c r="H7" s="356" t="n"/>
      <c r="I7" s="356" t="n"/>
      <c r="J7" s="356" t="n"/>
      <c r="K7" s="356" t="n"/>
      <c r="L7" s="356" t="n"/>
      <c r="M7" s="356" t="n"/>
      <c r="N7" s="356" t="n"/>
      <c r="O7" s="302">
        <f>IF(COUNTA(A7:N7)+COUNTA(Q7:W7)+COUNTA(Y7:AA7)=0,"",IF(OR(LEN(TRIM(A7))=0,LEN(TRIM(B7))=0,LEN(TRIM(C7))=0,LEN(TRIM(D7))=0,LEN(TRIM(E7))=0,LEN(TRIM(F7))=0,LEN(TRIM(G7))=0,LEN(TRIM(H7))=0,LEN(TRIM(I7))=0,LEN(TRIM(J7))=0,LEN(TRIM(R7))=0,LEN(TRIM(S7))=0,LEN(TRIM(T7))=0,LEN(TRIM(V7))=0,LEN(TRIM(W7))=0,LEN(TRIM(Y7))=0,LEN(TRIM(Z7))=0,LEN(TRIM(AA7))=0),"Indeterminate",IF(X7&lt;&gt;"OK","Indeterminate",IF(OR(E7="Indeterminate",F7="Indeterminate",G7="Indeterminate",R7="Indeterminate",S7="Indeterminate",T7="Indeterminate",V7="Indeterminate",W7="Indeterminate",Y7="Indeterminate",Z7="Indeterminate",AA7="Indeterminate"),"Indeterminate",IF(OR(E7="Sponsor controlled - invalid",F7="Sponsor veto - invalid",G7="Sponsor/candidate controlled - invalid",H7&lt;&gt;"Yes",I7&lt;&gt;"Yes",J7&lt;&gt;"Yes",R7="Predetermined outcome - invalid",S7="No credible precommitment",T7="Material assistance undisclosed",V7="Missing",V7="Changed after unblinding",W7="Material shared-model generation undisclosed",Y7="No protected reporting channel",Z7="No anonymity/confidentiality protection",AA7="No anti-retaliation safeguard"),"Inadequate",IF(OR(E7="Joint with firewall",F7="Independent with security redaction only",G7="Joint with public rules",K7&lt;&gt;"",AND(L7&lt;&gt;"",LOWER(L7)&lt;&gt;"none"),R7="Declared interest with enforceable firewall",S7="Conditional precommitment with disclosed limits",T7="Material assistance disclosed and separated",W7="Material shared-model generation disclosed",Z7="Not applicable with recorded rationale"),"Adequate with declared controls","Adequate"))))))</f>
        <v/>
      </c>
      <c r="P7" s="302">
        <f>IF(AND(O7="",N7=""),"",IF(AND(O7&lt;&gt;"",N7=""),"UNRECORDED",IF(AND(O7="",N7&lt;&gt;""),"ORPHAN_RECORDED",IF(O7=N7,"MATCH","MISMATCH"))))</f>
        <v/>
      </c>
      <c r="Q7" s="103" t="n"/>
      <c r="R7" s="253" t="n"/>
      <c r="S7" s="254" t="n"/>
      <c r="T7" s="254" t="n"/>
      <c r="U7" s="255" t="n"/>
      <c r="X7" s="303">
        <f>IF(COUNTA(E7:J7)+COUNTA(R7:T7)+COUNTA(V7:W7)+COUNTA(Y7:AA7)=0,"",IF(AND(COUNTIF(Vocabulary!$S$5:$S$8,E7)=1,COUNTIF(Vocabulary!$T$5:$T$8,F7)=1,COUNTIF(Vocabulary!$U$5:$U$8,G7)=1,COUNTIF(Vocabulary!$J$5:$J$6,H7)=1,COUNTIF(Vocabulary!$J$5:$J$6,I7)=1,COUNTIF(Vocabulary!$J$5:$J$6,J7)=1,COUNTIF(Vocabulary!$W$5:$W$8,R7)=1,COUNTIF(Vocabulary!$X$5:$X$8,S7)=1,COUNTIF(Vocabulary!$Y$5:$Y$9,T7)=1,COUNTIF(Vocabulary!$Z$5:$Z$8,V7)=1,COUNTIF(Vocabulary!$AA$5:$AA$9,W7)=1,COUNTIF(Vocabulary!$AB$5:$AB$7,Y7)=1,COUNTIF(Vocabulary!$AC$5:$AC$8,Z7)=1,COUNTIF(Vocabulary!$AD$5:$AD$7,AA7)=1),"OK","UNRECOGNISED_CONTROL_VALUE"))</f>
        <v/>
      </c>
      <c r="Y7" s="303" t="n"/>
      <c r="Z7" s="303" t="n"/>
      <c r="AA7" s="303" t="n"/>
    </row>
    <row r="8">
      <c r="A8" s="81" t="n"/>
      <c r="B8" s="356" t="n"/>
      <c r="C8" s="356" t="n"/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02">
        <f>IF(COUNTA(A8:N8)+COUNTA(Q8:W8)+COUNTA(Y8:AA8)=0,"",IF(OR(LEN(TRIM(A8))=0,LEN(TRIM(B8))=0,LEN(TRIM(C8))=0,LEN(TRIM(D8))=0,LEN(TRIM(E8))=0,LEN(TRIM(F8))=0,LEN(TRIM(G8))=0,LEN(TRIM(H8))=0,LEN(TRIM(I8))=0,LEN(TRIM(J8))=0,LEN(TRIM(R8))=0,LEN(TRIM(S8))=0,LEN(TRIM(T8))=0,LEN(TRIM(V8))=0,LEN(TRIM(W8))=0,LEN(TRIM(Y8))=0,LEN(TRIM(Z8))=0,LEN(TRIM(AA8))=0),"Indeterminate",IF(X8&lt;&gt;"OK","Indeterminate",IF(OR(E8="Indeterminate",F8="Indeterminate",G8="Indeterminate",R8="Indeterminate",S8="Indeterminate",T8="Indeterminate",V8="Indeterminate",W8="Indeterminate",Y8="Indeterminate",Z8="Indeterminate",AA8="Indeterminate"),"Indeterminate",IF(OR(E8="Sponsor controlled - invalid",F8="Sponsor veto - invalid",G8="Sponsor/candidate controlled - invalid",H8&lt;&gt;"Yes",I8&lt;&gt;"Yes",J8&lt;&gt;"Yes",R8="Predetermined outcome - invalid",S8="No credible precommitment",T8="Material assistance undisclosed",V8="Missing",V8="Changed after unblinding",W8="Material shared-model generation undisclosed",Y8="No protected reporting channel",Z8="No anonymity/confidentiality protection",AA8="No anti-retaliation safeguard"),"Inadequate",IF(OR(E8="Joint with firewall",F8="Independent with security redaction only",G8="Joint with public rules",K8&lt;&gt;"",AND(L8&lt;&gt;"",LOWER(L8)&lt;&gt;"none"),R8="Declared interest with enforceable firewall",S8="Conditional precommitment with disclosed limits",T8="Material assistance disclosed and separated",W8="Material shared-model generation disclosed",Z8="Not applicable with recorded rationale"),"Adequate with declared controls","Adequate"))))))</f>
        <v/>
      </c>
      <c r="P8" s="302">
        <f>IF(AND(O8="",N8=""),"",IF(AND(O8&lt;&gt;"",N8=""),"UNRECORDED",IF(AND(O8="",N8&lt;&gt;""),"ORPHAN_RECORDED",IF(O8=N8,"MATCH","MISMATCH"))))</f>
        <v/>
      </c>
      <c r="Q8" s="103" t="n"/>
      <c r="R8" s="253" t="n"/>
      <c r="S8" s="254" t="n"/>
      <c r="T8" s="254" t="n"/>
      <c r="U8" s="255" t="n"/>
      <c r="X8" s="303">
        <f>IF(COUNTA(E8:J8)+COUNTA(R8:T8)+COUNTA(V8:W8)+COUNTA(Y8:AA8)=0,"",IF(AND(COUNTIF(Vocabulary!$S$5:$S$8,E8)=1,COUNTIF(Vocabulary!$T$5:$T$8,F8)=1,COUNTIF(Vocabulary!$U$5:$U$8,G8)=1,COUNTIF(Vocabulary!$J$5:$J$6,H8)=1,COUNTIF(Vocabulary!$J$5:$J$6,I8)=1,COUNTIF(Vocabulary!$J$5:$J$6,J8)=1,COUNTIF(Vocabulary!$W$5:$W$8,R8)=1,COUNTIF(Vocabulary!$X$5:$X$8,S8)=1,COUNTIF(Vocabulary!$Y$5:$Y$9,T8)=1,COUNTIF(Vocabulary!$Z$5:$Z$8,V8)=1,COUNTIF(Vocabulary!$AA$5:$AA$9,W8)=1,COUNTIF(Vocabulary!$AB$5:$AB$7,Y8)=1,COUNTIF(Vocabulary!$AC$5:$AC$8,Z8)=1,COUNTIF(Vocabulary!$AD$5:$AD$7,AA8)=1),"OK","UNRECOGNISED_CONTROL_VALUE"))</f>
        <v/>
      </c>
      <c r="Y8" s="303" t="n"/>
      <c r="Z8" s="303" t="n"/>
      <c r="AA8" s="303" t="n"/>
    </row>
    <row r="9">
      <c r="A9" s="81" t="n"/>
      <c r="B9" s="356" t="n"/>
      <c r="C9" s="356" t="n"/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02">
        <f>IF(COUNTA(A9:N9)+COUNTA(Q9:W9)+COUNTA(Y9:AA9)=0,"",IF(OR(LEN(TRIM(A9))=0,LEN(TRIM(B9))=0,LEN(TRIM(C9))=0,LEN(TRIM(D9))=0,LEN(TRIM(E9))=0,LEN(TRIM(F9))=0,LEN(TRIM(G9))=0,LEN(TRIM(H9))=0,LEN(TRIM(I9))=0,LEN(TRIM(J9))=0,LEN(TRIM(R9))=0,LEN(TRIM(S9))=0,LEN(TRIM(T9))=0,LEN(TRIM(V9))=0,LEN(TRIM(W9))=0,LEN(TRIM(Y9))=0,LEN(TRIM(Z9))=0,LEN(TRIM(AA9))=0),"Indeterminate",IF(X9&lt;&gt;"OK","Indeterminate",IF(OR(E9="Indeterminate",F9="Indeterminate",G9="Indeterminate",R9="Indeterminate",S9="Indeterminate",T9="Indeterminate",V9="Indeterminate",W9="Indeterminate",Y9="Indeterminate",Z9="Indeterminate",AA9="Indeterminate"),"Indeterminate",IF(OR(E9="Sponsor controlled - invalid",F9="Sponsor veto - invalid",G9="Sponsor/candidate controlled - invalid",H9&lt;&gt;"Yes",I9&lt;&gt;"Yes",J9&lt;&gt;"Yes",R9="Predetermined outcome - invalid",S9="No credible precommitment",T9="Material assistance undisclosed",V9="Missing",V9="Changed after unblinding",W9="Material shared-model generation undisclosed",Y9="No protected reporting channel",Z9="No anonymity/confidentiality protection",AA9="No anti-retaliation safeguard"),"Inadequate",IF(OR(E9="Joint with firewall",F9="Independent with security redaction only",G9="Joint with public rules",K9&lt;&gt;"",AND(L9&lt;&gt;"",LOWER(L9)&lt;&gt;"none"),R9="Declared interest with enforceable firewall",S9="Conditional precommitment with disclosed limits",T9="Material assistance disclosed and separated",W9="Material shared-model generation disclosed",Z9="Not applicable with recorded rationale"),"Adequate with declared controls","Adequate"))))))</f>
        <v/>
      </c>
      <c r="P9" s="302">
        <f>IF(AND(O9="",N9=""),"",IF(AND(O9&lt;&gt;"",N9=""),"UNRECORDED",IF(AND(O9="",N9&lt;&gt;""),"ORPHAN_RECORDED",IF(O9=N9,"MATCH","MISMATCH"))))</f>
        <v/>
      </c>
      <c r="Q9" s="103" t="n"/>
      <c r="R9" s="253" t="n"/>
      <c r="S9" s="254" t="n"/>
      <c r="T9" s="254" t="n"/>
      <c r="U9" s="255" t="n"/>
      <c r="X9" s="303">
        <f>IF(COUNTA(E9:J9)+COUNTA(R9:T9)+COUNTA(V9:W9)+COUNTA(Y9:AA9)=0,"",IF(AND(COUNTIF(Vocabulary!$S$5:$S$8,E9)=1,COUNTIF(Vocabulary!$T$5:$T$8,F9)=1,COUNTIF(Vocabulary!$U$5:$U$8,G9)=1,COUNTIF(Vocabulary!$J$5:$J$6,H9)=1,COUNTIF(Vocabulary!$J$5:$J$6,I9)=1,COUNTIF(Vocabulary!$J$5:$J$6,J9)=1,COUNTIF(Vocabulary!$W$5:$W$8,R9)=1,COUNTIF(Vocabulary!$X$5:$X$8,S9)=1,COUNTIF(Vocabulary!$Y$5:$Y$9,T9)=1,COUNTIF(Vocabulary!$Z$5:$Z$8,V9)=1,COUNTIF(Vocabulary!$AA$5:$AA$9,W9)=1,COUNTIF(Vocabulary!$AB$5:$AB$7,Y9)=1,COUNTIF(Vocabulary!$AC$5:$AC$8,Z9)=1,COUNTIF(Vocabulary!$AD$5:$AD$7,AA9)=1),"OK","UNRECOGNISED_CONTROL_VALUE"))</f>
        <v/>
      </c>
      <c r="Y9" s="303" t="n"/>
      <c r="Z9" s="303" t="n"/>
      <c r="AA9" s="303" t="n"/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02">
        <f>IF(COUNTA(A10:N10)+COUNTA(Q10:W10)+COUNTA(Y10:AA10)=0,"",IF(OR(LEN(TRIM(A10))=0,LEN(TRIM(B10))=0,LEN(TRIM(C10))=0,LEN(TRIM(D10))=0,LEN(TRIM(E10))=0,LEN(TRIM(F10))=0,LEN(TRIM(G10))=0,LEN(TRIM(H10))=0,LEN(TRIM(I10))=0,LEN(TRIM(J10))=0,LEN(TRIM(R10))=0,LEN(TRIM(S10))=0,LEN(TRIM(T10))=0,LEN(TRIM(V10))=0,LEN(TRIM(W10))=0,LEN(TRIM(Y10))=0,LEN(TRIM(Z10))=0,LEN(TRIM(AA10))=0),"Indeterminate",IF(X10&lt;&gt;"OK","Indeterminate",IF(OR(E10="Indeterminate",F10="Indeterminate",G10="Indeterminate",R10="Indeterminate",S10="Indeterminate",T10="Indeterminate",V10="Indeterminate",W10="Indeterminate",Y10="Indeterminate",Z10="Indeterminate",AA10="Indeterminate"),"Indeterminate",IF(OR(E10="Sponsor controlled - invalid",F10="Sponsor veto - invalid",G10="Sponsor/candidate controlled - invalid",H10&lt;&gt;"Yes",I10&lt;&gt;"Yes",J10&lt;&gt;"Yes",R10="Predetermined outcome - invalid",S10="No credible precommitment",T10="Material assistance undisclosed",V10="Missing",V10="Changed after unblinding",W10="Material shared-model generation undisclosed",Y10="No protected reporting channel",Z10="No anonymity/confidentiality protection",AA10="No anti-retaliation safeguard"),"Inadequate",IF(OR(E10="Joint with firewall",F10="Independent with security redaction only",G10="Joint with public rules",K10&lt;&gt;"",AND(L10&lt;&gt;"",LOWER(L10)&lt;&gt;"none"),R10="Declared interest with enforceable firewall",S10="Conditional precommitment with disclosed limits",T10="Material assistance disclosed and separated",W10="Material shared-model generation disclosed",Z10="Not applicable with recorded rationale"),"Adequate with declared controls","Adequate"))))))</f>
        <v/>
      </c>
      <c r="P10" s="302">
        <f>IF(AND(O10="",N10=""),"",IF(AND(O10&lt;&gt;"",N10=""),"UNRECORDED",IF(AND(O10="",N10&lt;&gt;""),"ORPHAN_RECORDED",IF(O10=N10,"MATCH","MISMATCH"))))</f>
        <v/>
      </c>
      <c r="Q10" s="103" t="n"/>
      <c r="R10" s="253" t="n"/>
      <c r="S10" s="254" t="n"/>
      <c r="T10" s="254" t="n"/>
      <c r="U10" s="255" t="n"/>
      <c r="X10" s="303">
        <f>IF(COUNTA(E10:J10)+COUNTA(R10:T10)+COUNTA(V10:W10)+COUNTA(Y10:AA10)=0,"",IF(AND(COUNTIF(Vocabulary!$S$5:$S$8,E10)=1,COUNTIF(Vocabulary!$T$5:$T$8,F10)=1,COUNTIF(Vocabulary!$U$5:$U$8,G10)=1,COUNTIF(Vocabulary!$J$5:$J$6,H10)=1,COUNTIF(Vocabulary!$J$5:$J$6,I10)=1,COUNTIF(Vocabulary!$J$5:$J$6,J10)=1,COUNTIF(Vocabulary!$W$5:$W$8,R10)=1,COUNTIF(Vocabulary!$X$5:$X$8,S10)=1,COUNTIF(Vocabulary!$Y$5:$Y$9,T10)=1,COUNTIF(Vocabulary!$Z$5:$Z$8,V10)=1,COUNTIF(Vocabulary!$AA$5:$AA$9,W10)=1,COUNTIF(Vocabulary!$AB$5:$AB$7,Y10)=1,COUNTIF(Vocabulary!$AC$5:$AC$8,Z10)=1,COUNTIF(Vocabulary!$AD$5:$AD$7,AA10)=1),"OK","UNRECOGNISED_CONTROL_VALUE"))</f>
        <v/>
      </c>
      <c r="Y10" s="303" t="n"/>
      <c r="Z10" s="303" t="n"/>
      <c r="AA10" s="303" t="n"/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02">
        <f>IF(COUNTA(A11:N11)+COUNTA(Q11:W11)+COUNTA(Y11:AA11)=0,"",IF(OR(LEN(TRIM(A11))=0,LEN(TRIM(B11))=0,LEN(TRIM(C11))=0,LEN(TRIM(D11))=0,LEN(TRIM(E11))=0,LEN(TRIM(F11))=0,LEN(TRIM(G11))=0,LEN(TRIM(H11))=0,LEN(TRIM(I11))=0,LEN(TRIM(J11))=0,LEN(TRIM(R11))=0,LEN(TRIM(S11))=0,LEN(TRIM(T11))=0,LEN(TRIM(V11))=0,LEN(TRIM(W11))=0,LEN(TRIM(Y11))=0,LEN(TRIM(Z11))=0,LEN(TRIM(AA11))=0),"Indeterminate",IF(X11&lt;&gt;"OK","Indeterminate",IF(OR(E11="Indeterminate",F11="Indeterminate",G11="Indeterminate",R11="Indeterminate",S11="Indeterminate",T11="Indeterminate",V11="Indeterminate",W11="Indeterminate",Y11="Indeterminate",Z11="Indeterminate",AA11="Indeterminate"),"Indeterminate",IF(OR(E11="Sponsor controlled - invalid",F11="Sponsor veto - invalid",G11="Sponsor/candidate controlled - invalid",H11&lt;&gt;"Yes",I11&lt;&gt;"Yes",J11&lt;&gt;"Yes",R11="Predetermined outcome - invalid",S11="No credible precommitment",T11="Material assistance undisclosed",V11="Missing",V11="Changed after unblinding",W11="Material shared-model generation undisclosed",Y11="No protected reporting channel",Z11="No anonymity/confidentiality protection",AA11="No anti-retaliation safeguard"),"Inadequate",IF(OR(E11="Joint with firewall",F11="Independent with security redaction only",G11="Joint with public rules",K11&lt;&gt;"",AND(L11&lt;&gt;"",LOWER(L11)&lt;&gt;"none"),R11="Declared interest with enforceable firewall",S11="Conditional precommitment with disclosed limits",T11="Material assistance disclosed and separated",W11="Material shared-model generation disclosed",Z11="Not applicable with recorded rationale"),"Adequate with declared controls","Adequate"))))))</f>
        <v/>
      </c>
      <c r="P11" s="302">
        <f>IF(AND(O11="",N11=""),"",IF(AND(O11&lt;&gt;"",N11=""),"UNRECORDED",IF(AND(O11="",N11&lt;&gt;""),"ORPHAN_RECORDED",IF(O11=N11,"MATCH","MISMATCH"))))</f>
        <v/>
      </c>
      <c r="Q11" s="103" t="n"/>
      <c r="R11" s="253" t="n"/>
      <c r="S11" s="254" t="n"/>
      <c r="T11" s="254" t="n"/>
      <c r="U11" s="255" t="n"/>
      <c r="X11" s="303">
        <f>IF(COUNTA(E11:J11)+COUNTA(R11:T11)+COUNTA(V11:W11)+COUNTA(Y11:AA11)=0,"",IF(AND(COUNTIF(Vocabulary!$S$5:$S$8,E11)=1,COUNTIF(Vocabulary!$T$5:$T$8,F11)=1,COUNTIF(Vocabulary!$U$5:$U$8,G11)=1,COUNTIF(Vocabulary!$J$5:$J$6,H11)=1,COUNTIF(Vocabulary!$J$5:$J$6,I11)=1,COUNTIF(Vocabulary!$J$5:$J$6,J11)=1,COUNTIF(Vocabulary!$W$5:$W$8,R11)=1,COUNTIF(Vocabulary!$X$5:$X$8,S11)=1,COUNTIF(Vocabulary!$Y$5:$Y$9,T11)=1,COUNTIF(Vocabulary!$Z$5:$Z$8,V11)=1,COUNTIF(Vocabulary!$AA$5:$AA$9,W11)=1,COUNTIF(Vocabulary!$AB$5:$AB$7,Y11)=1,COUNTIF(Vocabulary!$AC$5:$AC$8,Z11)=1,COUNTIF(Vocabulary!$AD$5:$AD$7,AA11)=1),"OK","UNRECOGNISED_CONTROL_VALUE"))</f>
        <v/>
      </c>
      <c r="Y11" s="303" t="n"/>
      <c r="Z11" s="303" t="n"/>
      <c r="AA11" s="303" t="n"/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02">
        <f>IF(COUNTA(A12:N12)+COUNTA(Q12:W12)+COUNTA(Y12:AA12)=0,"",IF(OR(LEN(TRIM(A12))=0,LEN(TRIM(B12))=0,LEN(TRIM(C12))=0,LEN(TRIM(D12))=0,LEN(TRIM(E12))=0,LEN(TRIM(F12))=0,LEN(TRIM(G12))=0,LEN(TRIM(H12))=0,LEN(TRIM(I12))=0,LEN(TRIM(J12))=0,LEN(TRIM(R12))=0,LEN(TRIM(S12))=0,LEN(TRIM(T12))=0,LEN(TRIM(V12))=0,LEN(TRIM(W12))=0,LEN(TRIM(Y12))=0,LEN(TRIM(Z12))=0,LEN(TRIM(AA12))=0),"Indeterminate",IF(X12&lt;&gt;"OK","Indeterminate",IF(OR(E12="Indeterminate",F12="Indeterminate",G12="Indeterminate",R12="Indeterminate",S12="Indeterminate",T12="Indeterminate",V12="Indeterminate",W12="Indeterminate",Y12="Indeterminate",Z12="Indeterminate",AA12="Indeterminate"),"Indeterminate",IF(OR(E12="Sponsor controlled - invalid",F12="Sponsor veto - invalid",G12="Sponsor/candidate controlled - invalid",H12&lt;&gt;"Yes",I12&lt;&gt;"Yes",J12&lt;&gt;"Yes",R12="Predetermined outcome - invalid",S12="No credible precommitment",T12="Material assistance undisclosed",V12="Missing",V12="Changed after unblinding",W12="Material shared-model generation undisclosed",Y12="No protected reporting channel",Z12="No anonymity/confidentiality protection",AA12="No anti-retaliation safeguard"),"Inadequate",IF(OR(E12="Joint with firewall",F12="Independent with security redaction only",G12="Joint with public rules",K12&lt;&gt;"",AND(L12&lt;&gt;"",LOWER(L12)&lt;&gt;"none"),R12="Declared interest with enforceable firewall",S12="Conditional precommitment with disclosed limits",T12="Material assistance disclosed and separated",W12="Material shared-model generation disclosed",Z12="Not applicable with recorded rationale"),"Adequate with declared controls","Adequate"))))))</f>
        <v/>
      </c>
      <c r="P12" s="302">
        <f>IF(AND(O12="",N12=""),"",IF(AND(O12&lt;&gt;"",N12=""),"UNRECORDED",IF(AND(O12="",N12&lt;&gt;""),"ORPHAN_RECORDED",IF(O12=N12,"MATCH","MISMATCH"))))</f>
        <v/>
      </c>
      <c r="Q12" s="103" t="n"/>
      <c r="R12" s="253" t="n"/>
      <c r="S12" s="254" t="n"/>
      <c r="T12" s="254" t="n"/>
      <c r="U12" s="255" t="n"/>
      <c r="X12" s="303">
        <f>IF(COUNTA(E12:J12)+COUNTA(R12:T12)+COUNTA(V12:W12)+COUNTA(Y12:AA12)=0,"",IF(AND(COUNTIF(Vocabulary!$S$5:$S$8,E12)=1,COUNTIF(Vocabulary!$T$5:$T$8,F12)=1,COUNTIF(Vocabulary!$U$5:$U$8,G12)=1,COUNTIF(Vocabulary!$J$5:$J$6,H12)=1,COUNTIF(Vocabulary!$J$5:$J$6,I12)=1,COUNTIF(Vocabulary!$J$5:$J$6,J12)=1,COUNTIF(Vocabulary!$W$5:$W$8,R12)=1,COUNTIF(Vocabulary!$X$5:$X$8,S12)=1,COUNTIF(Vocabulary!$Y$5:$Y$9,T12)=1,COUNTIF(Vocabulary!$Z$5:$Z$8,V12)=1,COUNTIF(Vocabulary!$AA$5:$AA$9,W12)=1,COUNTIF(Vocabulary!$AB$5:$AB$7,Y12)=1,COUNTIF(Vocabulary!$AC$5:$AC$8,Z12)=1,COUNTIF(Vocabulary!$AD$5:$AD$7,AA12)=1),"OK","UNRECOGNISED_CONTROL_VALUE"))</f>
        <v/>
      </c>
      <c r="Y12" s="303" t="n"/>
      <c r="Z12" s="303" t="n"/>
      <c r="AA12" s="303" t="n"/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302">
        <f>IF(COUNTA(A13:N13)+COUNTA(Q13:W13)+COUNTA(Y13:AA13)=0,"",IF(OR(LEN(TRIM(A13))=0,LEN(TRIM(B13))=0,LEN(TRIM(C13))=0,LEN(TRIM(D13))=0,LEN(TRIM(E13))=0,LEN(TRIM(F13))=0,LEN(TRIM(G13))=0,LEN(TRIM(H13))=0,LEN(TRIM(I13))=0,LEN(TRIM(J13))=0,LEN(TRIM(R13))=0,LEN(TRIM(S13))=0,LEN(TRIM(T13))=0,LEN(TRIM(V13))=0,LEN(TRIM(W13))=0,LEN(TRIM(Y13))=0,LEN(TRIM(Z13))=0,LEN(TRIM(AA13))=0),"Indeterminate",IF(X13&lt;&gt;"OK","Indeterminate",IF(OR(E13="Indeterminate",F13="Indeterminate",G13="Indeterminate",R13="Indeterminate",S13="Indeterminate",T13="Indeterminate",V13="Indeterminate",W13="Indeterminate",Y13="Indeterminate",Z13="Indeterminate",AA13="Indeterminate"),"Indeterminate",IF(OR(E13="Sponsor controlled - invalid",F13="Sponsor veto - invalid",G13="Sponsor/candidate controlled - invalid",H13&lt;&gt;"Yes",I13&lt;&gt;"Yes",J13&lt;&gt;"Yes",R13="Predetermined outcome - invalid",S13="No credible precommitment",T13="Material assistance undisclosed",V13="Missing",V13="Changed after unblinding",W13="Material shared-model generation undisclosed",Y13="No protected reporting channel",Z13="No anonymity/confidentiality protection",AA13="No anti-retaliation safeguard"),"Inadequate",IF(OR(E13="Joint with firewall",F13="Independent with security redaction only",G13="Joint with public rules",K13&lt;&gt;"",AND(L13&lt;&gt;"",LOWER(L13)&lt;&gt;"none"),R13="Declared interest with enforceable firewall",S13="Conditional precommitment with disclosed limits",T13="Material assistance disclosed and separated",W13="Material shared-model generation disclosed",Z13="Not applicable with recorded rationale"),"Adequate with declared controls","Adequate"))))))</f>
        <v/>
      </c>
      <c r="P13" s="302">
        <f>IF(AND(O13="",N13=""),"",IF(AND(O13&lt;&gt;"",N13=""),"UNRECORDED",IF(AND(O13="",N13&lt;&gt;""),"ORPHAN_RECORDED",IF(O13=N13,"MATCH","MISMATCH"))))</f>
        <v/>
      </c>
      <c r="Q13" s="103" t="n"/>
      <c r="R13" s="253" t="n"/>
      <c r="S13" s="254" t="n"/>
      <c r="T13" s="254" t="n"/>
      <c r="U13" s="255" t="n"/>
      <c r="X13" s="303">
        <f>IF(COUNTA(E13:J13)+COUNTA(R13:T13)+COUNTA(V13:W13)+COUNTA(Y13:AA13)=0,"",IF(AND(COUNTIF(Vocabulary!$S$5:$S$8,E13)=1,COUNTIF(Vocabulary!$T$5:$T$8,F13)=1,COUNTIF(Vocabulary!$U$5:$U$8,G13)=1,COUNTIF(Vocabulary!$J$5:$J$6,H13)=1,COUNTIF(Vocabulary!$J$5:$J$6,I13)=1,COUNTIF(Vocabulary!$J$5:$J$6,J13)=1,COUNTIF(Vocabulary!$W$5:$W$8,R13)=1,COUNTIF(Vocabulary!$X$5:$X$8,S13)=1,COUNTIF(Vocabulary!$Y$5:$Y$9,T13)=1,COUNTIF(Vocabulary!$Z$5:$Z$8,V13)=1,COUNTIF(Vocabulary!$AA$5:$AA$9,W13)=1,COUNTIF(Vocabulary!$AB$5:$AB$7,Y13)=1,COUNTIF(Vocabulary!$AC$5:$AC$8,Z13)=1,COUNTIF(Vocabulary!$AD$5:$AD$7,AA13)=1),"OK","UNRECOGNISED_CONTROL_VALUE"))</f>
        <v/>
      </c>
      <c r="Y13" s="303" t="n"/>
      <c r="Z13" s="303" t="n"/>
      <c r="AA13" s="303" t="n"/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56" t="n"/>
      <c r="I14" s="356" t="n"/>
      <c r="J14" s="356" t="n"/>
      <c r="K14" s="356" t="n"/>
      <c r="L14" s="356" t="n"/>
      <c r="M14" s="356" t="n"/>
      <c r="N14" s="356" t="n"/>
      <c r="O14" s="302">
        <f>IF(COUNTA(A14:N14)+COUNTA(Q14:W14)+COUNTA(Y14:AA14)=0,"",IF(OR(LEN(TRIM(A14))=0,LEN(TRIM(B14))=0,LEN(TRIM(C14))=0,LEN(TRIM(D14))=0,LEN(TRIM(E14))=0,LEN(TRIM(F14))=0,LEN(TRIM(G14))=0,LEN(TRIM(H14))=0,LEN(TRIM(I14))=0,LEN(TRIM(J14))=0,LEN(TRIM(R14))=0,LEN(TRIM(S14))=0,LEN(TRIM(T14))=0,LEN(TRIM(V14))=0,LEN(TRIM(W14))=0,LEN(TRIM(Y14))=0,LEN(TRIM(Z14))=0,LEN(TRIM(AA14))=0),"Indeterminate",IF(X14&lt;&gt;"OK","Indeterminate",IF(OR(E14="Indeterminate",F14="Indeterminate",G14="Indeterminate",R14="Indeterminate",S14="Indeterminate",T14="Indeterminate",V14="Indeterminate",W14="Indeterminate",Y14="Indeterminate",Z14="Indeterminate",AA14="Indeterminate"),"Indeterminate",IF(OR(E14="Sponsor controlled - invalid",F14="Sponsor veto - invalid",G14="Sponsor/candidate controlled - invalid",H14&lt;&gt;"Yes",I14&lt;&gt;"Yes",J14&lt;&gt;"Yes",R14="Predetermined outcome - invalid",S14="No credible precommitment",T14="Material assistance undisclosed",V14="Missing",V14="Changed after unblinding",W14="Material shared-model generation undisclosed",Y14="No protected reporting channel",Z14="No anonymity/confidentiality protection",AA14="No anti-retaliation safeguard"),"Inadequate",IF(OR(E14="Joint with firewall",F14="Independent with security redaction only",G14="Joint with public rules",K14&lt;&gt;"",AND(L14&lt;&gt;"",LOWER(L14)&lt;&gt;"none"),R14="Declared interest with enforceable firewall",S14="Conditional precommitment with disclosed limits",T14="Material assistance disclosed and separated",W14="Material shared-model generation disclosed",Z14="Not applicable with recorded rationale"),"Adequate with declared controls","Adequate"))))))</f>
        <v/>
      </c>
      <c r="P14" s="302">
        <f>IF(AND(O14="",N14=""),"",IF(AND(O14&lt;&gt;"",N14=""),"UNRECORDED",IF(AND(O14="",N14&lt;&gt;""),"ORPHAN_RECORDED",IF(O14=N14,"MATCH","MISMATCH"))))</f>
        <v/>
      </c>
      <c r="Q14" s="103" t="n"/>
      <c r="R14" s="253" t="n"/>
      <c r="S14" s="254" t="n"/>
      <c r="T14" s="254" t="n"/>
      <c r="U14" s="255" t="n"/>
      <c r="X14" s="303">
        <f>IF(COUNTA(E14:J14)+COUNTA(R14:T14)+COUNTA(V14:W14)+COUNTA(Y14:AA14)=0,"",IF(AND(COUNTIF(Vocabulary!$S$5:$S$8,E14)=1,COUNTIF(Vocabulary!$T$5:$T$8,F14)=1,COUNTIF(Vocabulary!$U$5:$U$8,G14)=1,COUNTIF(Vocabulary!$J$5:$J$6,H14)=1,COUNTIF(Vocabulary!$J$5:$J$6,I14)=1,COUNTIF(Vocabulary!$J$5:$J$6,J14)=1,COUNTIF(Vocabulary!$W$5:$W$8,R14)=1,COUNTIF(Vocabulary!$X$5:$X$8,S14)=1,COUNTIF(Vocabulary!$Y$5:$Y$9,T14)=1,COUNTIF(Vocabulary!$Z$5:$Z$8,V14)=1,COUNTIF(Vocabulary!$AA$5:$AA$9,W14)=1,COUNTIF(Vocabulary!$AB$5:$AB$7,Y14)=1,COUNTIF(Vocabulary!$AC$5:$AC$8,Z14)=1,COUNTIF(Vocabulary!$AD$5:$AD$7,AA14)=1),"OK","UNRECOGNISED_CONTROL_VALUE"))</f>
        <v/>
      </c>
      <c r="Y14" s="303" t="n"/>
      <c r="Z14" s="303" t="n"/>
      <c r="AA14" s="303" t="n"/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56" t="n"/>
      <c r="I15" s="356" t="n"/>
      <c r="J15" s="356" t="n"/>
      <c r="K15" s="356" t="n"/>
      <c r="L15" s="356" t="n"/>
      <c r="M15" s="356" t="n"/>
      <c r="N15" s="356" t="n"/>
      <c r="O15" s="302">
        <f>IF(COUNTA(A15:N15)+COUNTA(Q15:W15)+COUNTA(Y15:AA15)=0,"",IF(OR(LEN(TRIM(A15))=0,LEN(TRIM(B15))=0,LEN(TRIM(C15))=0,LEN(TRIM(D15))=0,LEN(TRIM(E15))=0,LEN(TRIM(F15))=0,LEN(TRIM(G15))=0,LEN(TRIM(H15))=0,LEN(TRIM(I15))=0,LEN(TRIM(J15))=0,LEN(TRIM(R15))=0,LEN(TRIM(S15))=0,LEN(TRIM(T15))=0,LEN(TRIM(V15))=0,LEN(TRIM(W15))=0,LEN(TRIM(Y15))=0,LEN(TRIM(Z15))=0,LEN(TRIM(AA15))=0),"Indeterminate",IF(X15&lt;&gt;"OK","Indeterminate",IF(OR(E15="Indeterminate",F15="Indeterminate",G15="Indeterminate",R15="Indeterminate",S15="Indeterminate",T15="Indeterminate",V15="Indeterminate",W15="Indeterminate",Y15="Indeterminate",Z15="Indeterminate",AA15="Indeterminate"),"Indeterminate",IF(OR(E15="Sponsor controlled - invalid",F15="Sponsor veto - invalid",G15="Sponsor/candidate controlled - invalid",H15&lt;&gt;"Yes",I15&lt;&gt;"Yes",J15&lt;&gt;"Yes",R15="Predetermined outcome - invalid",S15="No credible precommitment",T15="Material assistance undisclosed",V15="Missing",V15="Changed after unblinding",W15="Material shared-model generation undisclosed",Y15="No protected reporting channel",Z15="No anonymity/confidentiality protection",AA15="No anti-retaliation safeguard"),"Inadequate",IF(OR(E15="Joint with firewall",F15="Independent with security redaction only",G15="Joint with public rules",K15&lt;&gt;"",AND(L15&lt;&gt;"",LOWER(L15)&lt;&gt;"none"),R15="Declared interest with enforceable firewall",S15="Conditional precommitment with disclosed limits",T15="Material assistance disclosed and separated",W15="Material shared-model generation disclosed",Z15="Not applicable with recorded rationale"),"Adequate with declared controls","Adequate"))))))</f>
        <v/>
      </c>
      <c r="P15" s="302">
        <f>IF(AND(O15="",N15=""),"",IF(AND(O15&lt;&gt;"",N15=""),"UNRECORDED",IF(AND(O15="",N15&lt;&gt;""),"ORPHAN_RECORDED",IF(O15=N15,"MATCH","MISMATCH"))))</f>
        <v/>
      </c>
      <c r="Q15" s="103" t="n"/>
      <c r="R15" s="253" t="n"/>
      <c r="S15" s="254" t="n"/>
      <c r="T15" s="254" t="n"/>
      <c r="U15" s="255" t="n"/>
      <c r="X15" s="303">
        <f>IF(COUNTA(E15:J15)+COUNTA(R15:T15)+COUNTA(V15:W15)+COUNTA(Y15:AA15)=0,"",IF(AND(COUNTIF(Vocabulary!$S$5:$S$8,E15)=1,COUNTIF(Vocabulary!$T$5:$T$8,F15)=1,COUNTIF(Vocabulary!$U$5:$U$8,G15)=1,COUNTIF(Vocabulary!$J$5:$J$6,H15)=1,COUNTIF(Vocabulary!$J$5:$J$6,I15)=1,COUNTIF(Vocabulary!$J$5:$J$6,J15)=1,COUNTIF(Vocabulary!$W$5:$W$8,R15)=1,COUNTIF(Vocabulary!$X$5:$X$8,S15)=1,COUNTIF(Vocabulary!$Y$5:$Y$9,T15)=1,COUNTIF(Vocabulary!$Z$5:$Z$8,V15)=1,COUNTIF(Vocabulary!$AA$5:$AA$9,W15)=1,COUNTIF(Vocabulary!$AB$5:$AB$7,Y15)=1,COUNTIF(Vocabulary!$AC$5:$AC$8,Z15)=1,COUNTIF(Vocabulary!$AD$5:$AD$7,AA15)=1),"OK","UNRECOGNISED_CONTROL_VALUE"))</f>
        <v/>
      </c>
      <c r="Y15" s="303" t="n"/>
      <c r="Z15" s="303" t="n"/>
      <c r="AA15" s="303" t="n"/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L16" s="356" t="n"/>
      <c r="M16" s="356" t="n"/>
      <c r="N16" s="356" t="n"/>
      <c r="O16" s="302">
        <f>IF(COUNTA(A16:N16)+COUNTA(Q16:W16)+COUNTA(Y16:AA16)=0,"",IF(OR(LEN(TRIM(A16))=0,LEN(TRIM(B16))=0,LEN(TRIM(C16))=0,LEN(TRIM(D16))=0,LEN(TRIM(E16))=0,LEN(TRIM(F16))=0,LEN(TRIM(G16))=0,LEN(TRIM(H16))=0,LEN(TRIM(I16))=0,LEN(TRIM(J16))=0,LEN(TRIM(R16))=0,LEN(TRIM(S16))=0,LEN(TRIM(T16))=0,LEN(TRIM(V16))=0,LEN(TRIM(W16))=0,LEN(TRIM(Y16))=0,LEN(TRIM(Z16))=0,LEN(TRIM(AA16))=0),"Indeterminate",IF(X16&lt;&gt;"OK","Indeterminate",IF(OR(E16="Indeterminate",F16="Indeterminate",G16="Indeterminate",R16="Indeterminate",S16="Indeterminate",T16="Indeterminate",V16="Indeterminate",W16="Indeterminate",Y16="Indeterminate",Z16="Indeterminate",AA16="Indeterminate"),"Indeterminate",IF(OR(E16="Sponsor controlled - invalid",F16="Sponsor veto - invalid",G16="Sponsor/candidate controlled - invalid",H16&lt;&gt;"Yes",I16&lt;&gt;"Yes",J16&lt;&gt;"Yes",R16="Predetermined outcome - invalid",S16="No credible precommitment",T16="Material assistance undisclosed",V16="Missing",V16="Changed after unblinding",W16="Material shared-model generation undisclosed",Y16="No protected reporting channel",Z16="No anonymity/confidentiality protection",AA16="No anti-retaliation safeguard"),"Inadequate",IF(OR(E16="Joint with firewall",F16="Independent with security redaction only",G16="Joint with public rules",K16&lt;&gt;"",AND(L16&lt;&gt;"",LOWER(L16)&lt;&gt;"none"),R16="Declared interest with enforceable firewall",S16="Conditional precommitment with disclosed limits",T16="Material assistance disclosed and separated",W16="Material shared-model generation disclosed",Z16="Not applicable with recorded rationale"),"Adequate with declared controls","Adequate"))))))</f>
        <v/>
      </c>
      <c r="P16" s="302">
        <f>IF(AND(O16="",N16=""),"",IF(AND(O16&lt;&gt;"",N16=""),"UNRECORDED",IF(AND(O16="",N16&lt;&gt;""),"ORPHAN_RECORDED",IF(O16=N16,"MATCH","MISMATCH"))))</f>
        <v/>
      </c>
      <c r="Q16" s="103" t="n"/>
      <c r="R16" s="253" t="n"/>
      <c r="S16" s="254" t="n"/>
      <c r="T16" s="254" t="n"/>
      <c r="U16" s="255" t="n"/>
      <c r="X16" s="303">
        <f>IF(COUNTA(E16:J16)+COUNTA(R16:T16)+COUNTA(V16:W16)+COUNTA(Y16:AA16)=0,"",IF(AND(COUNTIF(Vocabulary!$S$5:$S$8,E16)=1,COUNTIF(Vocabulary!$T$5:$T$8,F16)=1,COUNTIF(Vocabulary!$U$5:$U$8,G16)=1,COUNTIF(Vocabulary!$J$5:$J$6,H16)=1,COUNTIF(Vocabulary!$J$5:$J$6,I16)=1,COUNTIF(Vocabulary!$J$5:$J$6,J16)=1,COUNTIF(Vocabulary!$W$5:$W$8,R16)=1,COUNTIF(Vocabulary!$X$5:$X$8,S16)=1,COUNTIF(Vocabulary!$Y$5:$Y$9,T16)=1,COUNTIF(Vocabulary!$Z$5:$Z$8,V16)=1,COUNTIF(Vocabulary!$AA$5:$AA$9,W16)=1,COUNTIF(Vocabulary!$AB$5:$AB$7,Y16)=1,COUNTIF(Vocabulary!$AC$5:$AC$8,Z16)=1,COUNTIF(Vocabulary!$AD$5:$AD$7,AA16)=1),"OK","UNRECOGNISED_CONTROL_VALUE"))</f>
        <v/>
      </c>
      <c r="Y16" s="303" t="n"/>
      <c r="Z16" s="303" t="n"/>
      <c r="AA16" s="303" t="n"/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  <c r="M17" s="356" t="n"/>
      <c r="N17" s="356" t="n"/>
      <c r="O17" s="302">
        <f>IF(COUNTA(A17:N17)+COUNTA(Q17:W17)+COUNTA(Y17:AA17)=0,"",IF(OR(LEN(TRIM(A17))=0,LEN(TRIM(B17))=0,LEN(TRIM(C17))=0,LEN(TRIM(D17))=0,LEN(TRIM(E17))=0,LEN(TRIM(F17))=0,LEN(TRIM(G17))=0,LEN(TRIM(H17))=0,LEN(TRIM(I17))=0,LEN(TRIM(J17))=0,LEN(TRIM(R17))=0,LEN(TRIM(S17))=0,LEN(TRIM(T17))=0,LEN(TRIM(V17))=0,LEN(TRIM(W17))=0,LEN(TRIM(Y17))=0,LEN(TRIM(Z17))=0,LEN(TRIM(AA17))=0),"Indeterminate",IF(X17&lt;&gt;"OK","Indeterminate",IF(OR(E17="Indeterminate",F17="Indeterminate",G17="Indeterminate",R17="Indeterminate",S17="Indeterminate",T17="Indeterminate",V17="Indeterminate",W17="Indeterminate",Y17="Indeterminate",Z17="Indeterminate",AA17="Indeterminate"),"Indeterminate",IF(OR(E17="Sponsor controlled - invalid",F17="Sponsor veto - invalid",G17="Sponsor/candidate controlled - invalid",H17&lt;&gt;"Yes",I17&lt;&gt;"Yes",J17&lt;&gt;"Yes",R17="Predetermined outcome - invalid",S17="No credible precommitment",T17="Material assistance undisclosed",V17="Missing",V17="Changed after unblinding",W17="Material shared-model generation undisclosed",Y17="No protected reporting channel",Z17="No anonymity/confidentiality protection",AA17="No anti-retaliation safeguard"),"Inadequate",IF(OR(E17="Joint with firewall",F17="Independent with security redaction only",G17="Joint with public rules",K17&lt;&gt;"",AND(L17&lt;&gt;"",LOWER(L17)&lt;&gt;"none"),R17="Declared interest with enforceable firewall",S17="Conditional precommitment with disclosed limits",T17="Material assistance disclosed and separated",W17="Material shared-model generation disclosed",Z17="Not applicable with recorded rationale"),"Adequate with declared controls","Adequate"))))))</f>
        <v/>
      </c>
      <c r="P17" s="302">
        <f>IF(AND(O17="",N17=""),"",IF(AND(O17&lt;&gt;"",N17=""),"UNRECORDED",IF(AND(O17="",N17&lt;&gt;""),"ORPHAN_RECORDED",IF(O17=N17,"MATCH","MISMATCH"))))</f>
        <v/>
      </c>
      <c r="Q17" s="103" t="n"/>
      <c r="R17" s="253" t="n"/>
      <c r="S17" s="254" t="n"/>
      <c r="T17" s="254" t="n"/>
      <c r="U17" s="255" t="n"/>
      <c r="X17" s="303">
        <f>IF(COUNTA(E17:J17)+COUNTA(R17:T17)+COUNTA(V17:W17)+COUNTA(Y17:AA17)=0,"",IF(AND(COUNTIF(Vocabulary!$S$5:$S$8,E17)=1,COUNTIF(Vocabulary!$T$5:$T$8,F17)=1,COUNTIF(Vocabulary!$U$5:$U$8,G17)=1,COUNTIF(Vocabulary!$J$5:$J$6,H17)=1,COUNTIF(Vocabulary!$J$5:$J$6,I17)=1,COUNTIF(Vocabulary!$J$5:$J$6,J17)=1,COUNTIF(Vocabulary!$W$5:$W$8,R17)=1,COUNTIF(Vocabulary!$X$5:$X$8,S17)=1,COUNTIF(Vocabulary!$Y$5:$Y$9,T17)=1,COUNTIF(Vocabulary!$Z$5:$Z$8,V17)=1,COUNTIF(Vocabulary!$AA$5:$AA$9,W17)=1,COUNTIF(Vocabulary!$AB$5:$AB$7,Y17)=1,COUNTIF(Vocabulary!$AC$5:$AC$8,Z17)=1,COUNTIF(Vocabulary!$AD$5:$AD$7,AA17)=1),"OK","UNRECOGNISED_CONTROL_VALUE"))</f>
        <v/>
      </c>
      <c r="Y17" s="303" t="n"/>
      <c r="Z17" s="303" t="n"/>
      <c r="AA17" s="303" t="n"/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  <c r="M18" s="356" t="n"/>
      <c r="N18" s="356" t="n"/>
      <c r="O18" s="302">
        <f>IF(COUNTA(A18:N18)+COUNTA(Q18:W18)+COUNTA(Y18:AA18)=0,"",IF(OR(LEN(TRIM(A18))=0,LEN(TRIM(B18))=0,LEN(TRIM(C18))=0,LEN(TRIM(D18))=0,LEN(TRIM(E18))=0,LEN(TRIM(F18))=0,LEN(TRIM(G18))=0,LEN(TRIM(H18))=0,LEN(TRIM(I18))=0,LEN(TRIM(J18))=0,LEN(TRIM(R18))=0,LEN(TRIM(S18))=0,LEN(TRIM(T18))=0,LEN(TRIM(V18))=0,LEN(TRIM(W18))=0,LEN(TRIM(Y18))=0,LEN(TRIM(Z18))=0,LEN(TRIM(AA18))=0),"Indeterminate",IF(X18&lt;&gt;"OK","Indeterminate",IF(OR(E18="Indeterminate",F18="Indeterminate",G18="Indeterminate",R18="Indeterminate",S18="Indeterminate",T18="Indeterminate",V18="Indeterminate",W18="Indeterminate",Y18="Indeterminate",Z18="Indeterminate",AA18="Indeterminate"),"Indeterminate",IF(OR(E18="Sponsor controlled - invalid",F18="Sponsor veto - invalid",G18="Sponsor/candidate controlled - invalid",H18&lt;&gt;"Yes",I18&lt;&gt;"Yes",J18&lt;&gt;"Yes",R18="Predetermined outcome - invalid",S18="No credible precommitment",T18="Material assistance undisclosed",V18="Missing",V18="Changed after unblinding",W18="Material shared-model generation undisclosed",Y18="No protected reporting channel",Z18="No anonymity/confidentiality protection",AA18="No anti-retaliation safeguard"),"Inadequate",IF(OR(E18="Joint with firewall",F18="Independent with security redaction only",G18="Joint with public rules",K18&lt;&gt;"",AND(L18&lt;&gt;"",LOWER(L18)&lt;&gt;"none"),R18="Declared interest with enforceable firewall",S18="Conditional precommitment with disclosed limits",T18="Material assistance disclosed and separated",W18="Material shared-model generation disclosed",Z18="Not applicable with recorded rationale"),"Adequate with declared controls","Adequate"))))))</f>
        <v/>
      </c>
      <c r="P18" s="302">
        <f>IF(AND(O18="",N18=""),"",IF(AND(O18&lt;&gt;"",N18=""),"UNRECORDED",IF(AND(O18="",N18&lt;&gt;""),"ORPHAN_RECORDED",IF(O18=N18,"MATCH","MISMATCH"))))</f>
        <v/>
      </c>
      <c r="Q18" s="103" t="n"/>
      <c r="R18" s="253" t="n"/>
      <c r="S18" s="254" t="n"/>
      <c r="T18" s="254" t="n"/>
      <c r="U18" s="255" t="n"/>
      <c r="X18" s="303">
        <f>IF(COUNTA(E18:J18)+COUNTA(R18:T18)+COUNTA(V18:W18)+COUNTA(Y18:AA18)=0,"",IF(AND(COUNTIF(Vocabulary!$S$5:$S$8,E18)=1,COUNTIF(Vocabulary!$T$5:$T$8,F18)=1,COUNTIF(Vocabulary!$U$5:$U$8,G18)=1,COUNTIF(Vocabulary!$J$5:$J$6,H18)=1,COUNTIF(Vocabulary!$J$5:$J$6,I18)=1,COUNTIF(Vocabulary!$J$5:$J$6,J18)=1,COUNTIF(Vocabulary!$W$5:$W$8,R18)=1,COUNTIF(Vocabulary!$X$5:$X$8,S18)=1,COUNTIF(Vocabulary!$Y$5:$Y$9,T18)=1,COUNTIF(Vocabulary!$Z$5:$Z$8,V18)=1,COUNTIF(Vocabulary!$AA$5:$AA$9,W18)=1,COUNTIF(Vocabulary!$AB$5:$AB$7,Y18)=1,COUNTIF(Vocabulary!$AC$5:$AC$8,Z18)=1,COUNTIF(Vocabulary!$AD$5:$AD$7,AA18)=1),"OK","UNRECOGNISED_CONTROL_VALUE"))</f>
        <v/>
      </c>
      <c r="Y18" s="303" t="n"/>
      <c r="Z18" s="303" t="n"/>
      <c r="AA18" s="303" t="n"/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  <c r="M19" s="356" t="n"/>
      <c r="N19" s="356" t="n"/>
      <c r="O19" s="302">
        <f>IF(COUNTA(A19:N19)+COUNTA(Q19:W19)+COUNTA(Y19:AA19)=0,"",IF(OR(LEN(TRIM(A19))=0,LEN(TRIM(B19))=0,LEN(TRIM(C19))=0,LEN(TRIM(D19))=0,LEN(TRIM(E19))=0,LEN(TRIM(F19))=0,LEN(TRIM(G19))=0,LEN(TRIM(H19))=0,LEN(TRIM(I19))=0,LEN(TRIM(J19))=0,LEN(TRIM(R19))=0,LEN(TRIM(S19))=0,LEN(TRIM(T19))=0,LEN(TRIM(V19))=0,LEN(TRIM(W19))=0,LEN(TRIM(Y19))=0,LEN(TRIM(Z19))=0,LEN(TRIM(AA19))=0),"Indeterminate",IF(X19&lt;&gt;"OK","Indeterminate",IF(OR(E19="Indeterminate",F19="Indeterminate",G19="Indeterminate",R19="Indeterminate",S19="Indeterminate",T19="Indeterminate",V19="Indeterminate",W19="Indeterminate",Y19="Indeterminate",Z19="Indeterminate",AA19="Indeterminate"),"Indeterminate",IF(OR(E19="Sponsor controlled - invalid",F19="Sponsor veto - invalid",G19="Sponsor/candidate controlled - invalid",H19&lt;&gt;"Yes",I19&lt;&gt;"Yes",J19&lt;&gt;"Yes",R19="Predetermined outcome - invalid",S19="No credible precommitment",T19="Material assistance undisclosed",V19="Missing",V19="Changed after unblinding",W19="Material shared-model generation undisclosed",Y19="No protected reporting channel",Z19="No anonymity/confidentiality protection",AA19="No anti-retaliation safeguard"),"Inadequate",IF(OR(E19="Joint with firewall",F19="Independent with security redaction only",G19="Joint with public rules",K19&lt;&gt;"",AND(L19&lt;&gt;"",LOWER(L19)&lt;&gt;"none"),R19="Declared interest with enforceable firewall",S19="Conditional precommitment with disclosed limits",T19="Material assistance disclosed and separated",W19="Material shared-model generation disclosed",Z19="Not applicable with recorded rationale"),"Adequate with declared controls","Adequate"))))))</f>
        <v/>
      </c>
      <c r="P19" s="302">
        <f>IF(AND(O19="",N19=""),"",IF(AND(O19&lt;&gt;"",N19=""),"UNRECORDED",IF(AND(O19="",N19&lt;&gt;""),"ORPHAN_RECORDED",IF(O19=N19,"MATCH","MISMATCH"))))</f>
        <v/>
      </c>
      <c r="Q19" s="103" t="n"/>
      <c r="R19" s="253" t="n"/>
      <c r="S19" s="254" t="n"/>
      <c r="T19" s="254" t="n"/>
      <c r="U19" s="255" t="n"/>
      <c r="X19" s="303">
        <f>IF(COUNTA(E19:J19)+COUNTA(R19:T19)+COUNTA(V19:W19)+COUNTA(Y19:AA19)=0,"",IF(AND(COUNTIF(Vocabulary!$S$5:$S$8,E19)=1,COUNTIF(Vocabulary!$T$5:$T$8,F19)=1,COUNTIF(Vocabulary!$U$5:$U$8,G19)=1,COUNTIF(Vocabulary!$J$5:$J$6,H19)=1,COUNTIF(Vocabulary!$J$5:$J$6,I19)=1,COUNTIF(Vocabulary!$J$5:$J$6,J19)=1,COUNTIF(Vocabulary!$W$5:$W$8,R19)=1,COUNTIF(Vocabulary!$X$5:$X$8,S19)=1,COUNTIF(Vocabulary!$Y$5:$Y$9,T19)=1,COUNTIF(Vocabulary!$Z$5:$Z$8,V19)=1,COUNTIF(Vocabulary!$AA$5:$AA$9,W19)=1,COUNTIF(Vocabulary!$AB$5:$AB$7,Y19)=1,COUNTIF(Vocabulary!$AC$5:$AC$8,Z19)=1,COUNTIF(Vocabulary!$AD$5:$AD$7,AA19)=1),"OK","UNRECOGNISED_CONTROL_VALUE"))</f>
        <v/>
      </c>
      <c r="Y19" s="303" t="n"/>
      <c r="Z19" s="303" t="n"/>
      <c r="AA19" s="303" t="n"/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56" t="n"/>
      <c r="I20" s="356" t="n"/>
      <c r="J20" s="356" t="n"/>
      <c r="K20" s="356" t="n"/>
      <c r="L20" s="356" t="n"/>
      <c r="M20" s="356" t="n"/>
      <c r="N20" s="356" t="n"/>
      <c r="O20" s="302">
        <f>IF(COUNTA(A20:N20)+COUNTA(Q20:W20)+COUNTA(Y20:AA20)=0,"",IF(OR(LEN(TRIM(A20))=0,LEN(TRIM(B20))=0,LEN(TRIM(C20))=0,LEN(TRIM(D20))=0,LEN(TRIM(E20))=0,LEN(TRIM(F20))=0,LEN(TRIM(G20))=0,LEN(TRIM(H20))=0,LEN(TRIM(I20))=0,LEN(TRIM(J20))=0,LEN(TRIM(R20))=0,LEN(TRIM(S20))=0,LEN(TRIM(T20))=0,LEN(TRIM(V20))=0,LEN(TRIM(W20))=0,LEN(TRIM(Y20))=0,LEN(TRIM(Z20))=0,LEN(TRIM(AA20))=0),"Indeterminate",IF(X20&lt;&gt;"OK","Indeterminate",IF(OR(E20="Indeterminate",F20="Indeterminate",G20="Indeterminate",R20="Indeterminate",S20="Indeterminate",T20="Indeterminate",V20="Indeterminate",W20="Indeterminate",Y20="Indeterminate",Z20="Indeterminate",AA20="Indeterminate"),"Indeterminate",IF(OR(E20="Sponsor controlled - invalid",F20="Sponsor veto - invalid",G20="Sponsor/candidate controlled - invalid",H20&lt;&gt;"Yes",I20&lt;&gt;"Yes",J20&lt;&gt;"Yes",R20="Predetermined outcome - invalid",S20="No credible precommitment",T20="Material assistance undisclosed",V20="Missing",V20="Changed after unblinding",W20="Material shared-model generation undisclosed",Y20="No protected reporting channel",Z20="No anonymity/confidentiality protection",AA20="No anti-retaliation safeguard"),"Inadequate",IF(OR(E20="Joint with firewall",F20="Independent with security redaction only",G20="Joint with public rules",K20&lt;&gt;"",AND(L20&lt;&gt;"",LOWER(L20)&lt;&gt;"none"),R20="Declared interest with enforceable firewall",S20="Conditional precommitment with disclosed limits",T20="Material assistance disclosed and separated",W20="Material shared-model generation disclosed",Z20="Not applicable with recorded rationale"),"Adequate with declared controls","Adequate"))))))</f>
        <v/>
      </c>
      <c r="P20" s="302">
        <f>IF(AND(O20="",N20=""),"",IF(AND(O20&lt;&gt;"",N20=""),"UNRECORDED",IF(AND(O20="",N20&lt;&gt;""),"ORPHAN_RECORDED",IF(O20=N20,"MATCH","MISMATCH"))))</f>
        <v/>
      </c>
      <c r="Q20" s="103" t="n"/>
      <c r="R20" s="253" t="n"/>
      <c r="S20" s="254" t="n"/>
      <c r="T20" s="254" t="n"/>
      <c r="U20" s="255" t="n"/>
      <c r="X20" s="303">
        <f>IF(COUNTA(E20:J20)+COUNTA(R20:T20)+COUNTA(V20:W20)+COUNTA(Y20:AA20)=0,"",IF(AND(COUNTIF(Vocabulary!$S$5:$S$8,E20)=1,COUNTIF(Vocabulary!$T$5:$T$8,F20)=1,COUNTIF(Vocabulary!$U$5:$U$8,G20)=1,COUNTIF(Vocabulary!$J$5:$J$6,H20)=1,COUNTIF(Vocabulary!$J$5:$J$6,I20)=1,COUNTIF(Vocabulary!$J$5:$J$6,J20)=1,COUNTIF(Vocabulary!$W$5:$W$8,R20)=1,COUNTIF(Vocabulary!$X$5:$X$8,S20)=1,COUNTIF(Vocabulary!$Y$5:$Y$9,T20)=1,COUNTIF(Vocabulary!$Z$5:$Z$8,V20)=1,COUNTIF(Vocabulary!$AA$5:$AA$9,W20)=1,COUNTIF(Vocabulary!$AB$5:$AB$7,Y20)=1,COUNTIF(Vocabulary!$AC$5:$AC$8,Z20)=1,COUNTIF(Vocabulary!$AD$5:$AD$7,AA20)=1),"OK","UNRECOGNISED_CONTROL_VALUE"))</f>
        <v/>
      </c>
      <c r="Y20" s="303" t="n"/>
      <c r="Z20" s="303" t="n"/>
      <c r="AA20" s="303" t="n"/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56" t="n"/>
      <c r="I21" s="356" t="n"/>
      <c r="J21" s="356" t="n"/>
      <c r="K21" s="356" t="n"/>
      <c r="L21" s="356" t="n"/>
      <c r="M21" s="356" t="n"/>
      <c r="N21" s="356" t="n"/>
      <c r="O21" s="302">
        <f>IF(COUNTA(A21:N21)+COUNTA(Q21:W21)+COUNTA(Y21:AA21)=0,"",IF(OR(LEN(TRIM(A21))=0,LEN(TRIM(B21))=0,LEN(TRIM(C21))=0,LEN(TRIM(D21))=0,LEN(TRIM(E21))=0,LEN(TRIM(F21))=0,LEN(TRIM(G21))=0,LEN(TRIM(H21))=0,LEN(TRIM(I21))=0,LEN(TRIM(J21))=0,LEN(TRIM(R21))=0,LEN(TRIM(S21))=0,LEN(TRIM(T21))=0,LEN(TRIM(V21))=0,LEN(TRIM(W21))=0,LEN(TRIM(Y21))=0,LEN(TRIM(Z21))=0,LEN(TRIM(AA21))=0),"Indeterminate",IF(X21&lt;&gt;"OK","Indeterminate",IF(OR(E21="Indeterminate",F21="Indeterminate",G21="Indeterminate",R21="Indeterminate",S21="Indeterminate",T21="Indeterminate",V21="Indeterminate",W21="Indeterminate",Y21="Indeterminate",Z21="Indeterminate",AA21="Indeterminate"),"Indeterminate",IF(OR(E21="Sponsor controlled - invalid",F21="Sponsor veto - invalid",G21="Sponsor/candidate controlled - invalid",H21&lt;&gt;"Yes",I21&lt;&gt;"Yes",J21&lt;&gt;"Yes",R21="Predetermined outcome - invalid",S21="No credible precommitment",T21="Material assistance undisclosed",V21="Missing",V21="Changed after unblinding",W21="Material shared-model generation undisclosed",Y21="No protected reporting channel",Z21="No anonymity/confidentiality protection",AA21="No anti-retaliation safeguard"),"Inadequate",IF(OR(E21="Joint with firewall",F21="Independent with security redaction only",G21="Joint with public rules",K21&lt;&gt;"",AND(L21&lt;&gt;"",LOWER(L21)&lt;&gt;"none"),R21="Declared interest with enforceable firewall",S21="Conditional precommitment with disclosed limits",T21="Material assistance disclosed and separated",W21="Material shared-model generation disclosed",Z21="Not applicable with recorded rationale"),"Adequate with declared controls","Adequate"))))))</f>
        <v/>
      </c>
      <c r="P21" s="302">
        <f>IF(AND(O21="",N21=""),"",IF(AND(O21&lt;&gt;"",N21=""),"UNRECORDED",IF(AND(O21="",N21&lt;&gt;""),"ORPHAN_RECORDED",IF(O21=N21,"MATCH","MISMATCH"))))</f>
        <v/>
      </c>
      <c r="Q21" s="103" t="n"/>
      <c r="R21" s="253" t="n"/>
      <c r="S21" s="254" t="n"/>
      <c r="T21" s="254" t="n"/>
      <c r="U21" s="255" t="n"/>
      <c r="X21" s="303">
        <f>IF(COUNTA(E21:J21)+COUNTA(R21:T21)+COUNTA(V21:W21)+COUNTA(Y21:AA21)=0,"",IF(AND(COUNTIF(Vocabulary!$S$5:$S$8,E21)=1,COUNTIF(Vocabulary!$T$5:$T$8,F21)=1,COUNTIF(Vocabulary!$U$5:$U$8,G21)=1,COUNTIF(Vocabulary!$J$5:$J$6,H21)=1,COUNTIF(Vocabulary!$J$5:$J$6,I21)=1,COUNTIF(Vocabulary!$J$5:$J$6,J21)=1,COUNTIF(Vocabulary!$W$5:$W$8,R21)=1,COUNTIF(Vocabulary!$X$5:$X$8,S21)=1,COUNTIF(Vocabulary!$Y$5:$Y$9,T21)=1,COUNTIF(Vocabulary!$Z$5:$Z$8,V21)=1,COUNTIF(Vocabulary!$AA$5:$AA$9,W21)=1,COUNTIF(Vocabulary!$AB$5:$AB$7,Y21)=1,COUNTIF(Vocabulary!$AC$5:$AC$8,Z21)=1,COUNTIF(Vocabulary!$AD$5:$AD$7,AA21)=1),"OK","UNRECOGNISED_CONTROL_VALUE"))</f>
        <v/>
      </c>
      <c r="Y21" s="303" t="n"/>
      <c r="Z21" s="303" t="n"/>
      <c r="AA21" s="303" t="n"/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02">
        <f>IF(COUNTA(A22:N22)+COUNTA(Q22:W22)+COUNTA(Y22:AA22)=0,"",IF(OR(LEN(TRIM(A22))=0,LEN(TRIM(B22))=0,LEN(TRIM(C22))=0,LEN(TRIM(D22))=0,LEN(TRIM(E22))=0,LEN(TRIM(F22))=0,LEN(TRIM(G22))=0,LEN(TRIM(H22))=0,LEN(TRIM(I22))=0,LEN(TRIM(J22))=0,LEN(TRIM(R22))=0,LEN(TRIM(S22))=0,LEN(TRIM(T22))=0,LEN(TRIM(V22))=0,LEN(TRIM(W22))=0,LEN(TRIM(Y22))=0,LEN(TRIM(Z22))=0,LEN(TRIM(AA22))=0),"Indeterminate",IF(X22&lt;&gt;"OK","Indeterminate",IF(OR(E22="Indeterminate",F22="Indeterminate",G22="Indeterminate",R22="Indeterminate",S22="Indeterminate",T22="Indeterminate",V22="Indeterminate",W22="Indeterminate",Y22="Indeterminate",Z22="Indeterminate",AA22="Indeterminate"),"Indeterminate",IF(OR(E22="Sponsor controlled - invalid",F22="Sponsor veto - invalid",G22="Sponsor/candidate controlled - invalid",H22&lt;&gt;"Yes",I22&lt;&gt;"Yes",J22&lt;&gt;"Yes",R22="Predetermined outcome - invalid",S22="No credible precommitment",T22="Material assistance undisclosed",V22="Missing",V22="Changed after unblinding",W22="Material shared-model generation undisclosed",Y22="No protected reporting channel",Z22="No anonymity/confidentiality protection",AA22="No anti-retaliation safeguard"),"Inadequate",IF(OR(E22="Joint with firewall",F22="Independent with security redaction only",G22="Joint with public rules",K22&lt;&gt;"",AND(L22&lt;&gt;"",LOWER(L22)&lt;&gt;"none"),R22="Declared interest with enforceable firewall",S22="Conditional precommitment with disclosed limits",T22="Material assistance disclosed and separated",W22="Material shared-model generation disclosed",Z22="Not applicable with recorded rationale"),"Adequate with declared controls","Adequate"))))))</f>
        <v/>
      </c>
      <c r="P22" s="302">
        <f>IF(AND(O22="",N22=""),"",IF(AND(O22&lt;&gt;"",N22=""),"UNRECORDED",IF(AND(O22="",N22&lt;&gt;""),"ORPHAN_RECORDED",IF(O22=N22,"MATCH","MISMATCH"))))</f>
        <v/>
      </c>
      <c r="Q22" s="103" t="n"/>
      <c r="R22" s="253" t="n"/>
      <c r="S22" s="254" t="n"/>
      <c r="T22" s="254" t="n"/>
      <c r="U22" s="255" t="n"/>
      <c r="X22" s="303">
        <f>IF(COUNTA(E22:J22)+COUNTA(R22:T22)+COUNTA(V22:W22)+COUNTA(Y22:AA22)=0,"",IF(AND(COUNTIF(Vocabulary!$S$5:$S$8,E22)=1,COUNTIF(Vocabulary!$T$5:$T$8,F22)=1,COUNTIF(Vocabulary!$U$5:$U$8,G22)=1,COUNTIF(Vocabulary!$J$5:$J$6,H22)=1,COUNTIF(Vocabulary!$J$5:$J$6,I22)=1,COUNTIF(Vocabulary!$J$5:$J$6,J22)=1,COUNTIF(Vocabulary!$W$5:$W$8,R22)=1,COUNTIF(Vocabulary!$X$5:$X$8,S22)=1,COUNTIF(Vocabulary!$Y$5:$Y$9,T22)=1,COUNTIF(Vocabulary!$Z$5:$Z$8,V22)=1,COUNTIF(Vocabulary!$AA$5:$AA$9,W22)=1,COUNTIF(Vocabulary!$AB$5:$AB$7,Y22)=1,COUNTIF(Vocabulary!$AC$5:$AC$8,Z22)=1,COUNTIF(Vocabulary!$AD$5:$AD$7,AA22)=1),"OK","UNRECOGNISED_CONTROL_VALUE"))</f>
        <v/>
      </c>
      <c r="Y22" s="303" t="n"/>
      <c r="Z22" s="303" t="n"/>
      <c r="AA22" s="303" t="n"/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56" t="n"/>
      <c r="I23" s="356" t="n"/>
      <c r="J23" s="356" t="n"/>
      <c r="K23" s="356" t="n"/>
      <c r="L23" s="356" t="n"/>
      <c r="M23" s="356" t="n"/>
      <c r="N23" s="356" t="n"/>
      <c r="O23" s="302">
        <f>IF(COUNTA(A23:N23)+COUNTA(Q23:W23)+COUNTA(Y23:AA23)=0,"",IF(OR(LEN(TRIM(A23))=0,LEN(TRIM(B23))=0,LEN(TRIM(C23))=0,LEN(TRIM(D23))=0,LEN(TRIM(E23))=0,LEN(TRIM(F23))=0,LEN(TRIM(G23))=0,LEN(TRIM(H23))=0,LEN(TRIM(I23))=0,LEN(TRIM(J23))=0,LEN(TRIM(R23))=0,LEN(TRIM(S23))=0,LEN(TRIM(T23))=0,LEN(TRIM(V23))=0,LEN(TRIM(W23))=0,LEN(TRIM(Y23))=0,LEN(TRIM(Z23))=0,LEN(TRIM(AA23))=0),"Indeterminate",IF(X23&lt;&gt;"OK","Indeterminate",IF(OR(E23="Indeterminate",F23="Indeterminate",G23="Indeterminate",R23="Indeterminate",S23="Indeterminate",T23="Indeterminate",V23="Indeterminate",W23="Indeterminate",Y23="Indeterminate",Z23="Indeterminate",AA23="Indeterminate"),"Indeterminate",IF(OR(E23="Sponsor controlled - invalid",F23="Sponsor veto - invalid",G23="Sponsor/candidate controlled - invalid",H23&lt;&gt;"Yes",I23&lt;&gt;"Yes",J23&lt;&gt;"Yes",R23="Predetermined outcome - invalid",S23="No credible precommitment",T23="Material assistance undisclosed",V23="Missing",V23="Changed after unblinding",W23="Material shared-model generation undisclosed",Y23="No protected reporting channel",Z23="No anonymity/confidentiality protection",AA23="No anti-retaliation safeguard"),"Inadequate",IF(OR(E23="Joint with firewall",F23="Independent with security redaction only",G23="Joint with public rules",K23&lt;&gt;"",AND(L23&lt;&gt;"",LOWER(L23)&lt;&gt;"none"),R23="Declared interest with enforceable firewall",S23="Conditional precommitment with disclosed limits",T23="Material assistance disclosed and separated",W23="Material shared-model generation disclosed",Z23="Not applicable with recorded rationale"),"Adequate with declared controls","Adequate"))))))</f>
        <v/>
      </c>
      <c r="P23" s="302">
        <f>IF(AND(O23="",N23=""),"",IF(AND(O23&lt;&gt;"",N23=""),"UNRECORDED",IF(AND(O23="",N23&lt;&gt;""),"ORPHAN_RECORDED",IF(O23=N23,"MATCH","MISMATCH"))))</f>
        <v/>
      </c>
      <c r="Q23" s="103" t="n"/>
      <c r="R23" s="253" t="n"/>
      <c r="S23" s="254" t="n"/>
      <c r="T23" s="254" t="n"/>
      <c r="U23" s="255" t="n"/>
      <c r="X23" s="303">
        <f>IF(COUNTA(E23:J23)+COUNTA(R23:T23)+COUNTA(V23:W23)+COUNTA(Y23:AA23)=0,"",IF(AND(COUNTIF(Vocabulary!$S$5:$S$8,E23)=1,COUNTIF(Vocabulary!$T$5:$T$8,F23)=1,COUNTIF(Vocabulary!$U$5:$U$8,G23)=1,COUNTIF(Vocabulary!$J$5:$J$6,H23)=1,COUNTIF(Vocabulary!$J$5:$J$6,I23)=1,COUNTIF(Vocabulary!$J$5:$J$6,J23)=1,COUNTIF(Vocabulary!$W$5:$W$8,R23)=1,COUNTIF(Vocabulary!$X$5:$X$8,S23)=1,COUNTIF(Vocabulary!$Y$5:$Y$9,T23)=1,COUNTIF(Vocabulary!$Z$5:$Z$8,V23)=1,COUNTIF(Vocabulary!$AA$5:$AA$9,W23)=1,COUNTIF(Vocabulary!$AB$5:$AB$7,Y23)=1,COUNTIF(Vocabulary!$AC$5:$AC$8,Z23)=1,COUNTIF(Vocabulary!$AD$5:$AD$7,AA23)=1),"OK","UNRECOGNISED_CONTROL_VALUE"))</f>
        <v/>
      </c>
      <c r="Y23" s="303" t="n"/>
      <c r="Z23" s="303" t="n"/>
      <c r="AA23" s="303" t="n"/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56" t="n"/>
      <c r="I24" s="356" t="n"/>
      <c r="J24" s="356" t="n"/>
      <c r="K24" s="356" t="n"/>
      <c r="L24" s="356" t="n"/>
      <c r="M24" s="356" t="n"/>
      <c r="N24" s="356" t="n"/>
      <c r="O24" s="302">
        <f>IF(COUNTA(A24:N24)+COUNTA(Q24:W24)+COUNTA(Y24:AA24)=0,"",IF(OR(LEN(TRIM(A24))=0,LEN(TRIM(B24))=0,LEN(TRIM(C24))=0,LEN(TRIM(D24))=0,LEN(TRIM(E24))=0,LEN(TRIM(F24))=0,LEN(TRIM(G24))=0,LEN(TRIM(H24))=0,LEN(TRIM(I24))=0,LEN(TRIM(J24))=0,LEN(TRIM(R24))=0,LEN(TRIM(S24))=0,LEN(TRIM(T24))=0,LEN(TRIM(V24))=0,LEN(TRIM(W24))=0,LEN(TRIM(Y24))=0,LEN(TRIM(Z24))=0,LEN(TRIM(AA24))=0),"Indeterminate",IF(X24&lt;&gt;"OK","Indeterminate",IF(OR(E24="Indeterminate",F24="Indeterminate",G24="Indeterminate",R24="Indeterminate",S24="Indeterminate",T24="Indeterminate",V24="Indeterminate",W24="Indeterminate",Y24="Indeterminate",Z24="Indeterminate",AA24="Indeterminate"),"Indeterminate",IF(OR(E24="Sponsor controlled - invalid",F24="Sponsor veto - invalid",G24="Sponsor/candidate controlled - invalid",H24&lt;&gt;"Yes",I24&lt;&gt;"Yes",J24&lt;&gt;"Yes",R24="Predetermined outcome - invalid",S24="No credible precommitment",T24="Material assistance undisclosed",V24="Missing",V24="Changed after unblinding",W24="Material shared-model generation undisclosed",Y24="No protected reporting channel",Z24="No anonymity/confidentiality protection",AA24="No anti-retaliation safeguard"),"Inadequate",IF(OR(E24="Joint with firewall",F24="Independent with security redaction only",G24="Joint with public rules",K24&lt;&gt;"",AND(L24&lt;&gt;"",LOWER(L24)&lt;&gt;"none"),R24="Declared interest with enforceable firewall",S24="Conditional precommitment with disclosed limits",T24="Material assistance disclosed and separated",W24="Material shared-model generation disclosed",Z24="Not applicable with recorded rationale"),"Adequate with declared controls","Adequate"))))))</f>
        <v/>
      </c>
      <c r="P24" s="302">
        <f>IF(AND(O24="",N24=""),"",IF(AND(O24&lt;&gt;"",N24=""),"UNRECORDED",IF(AND(O24="",N24&lt;&gt;""),"ORPHAN_RECORDED",IF(O24=N24,"MATCH","MISMATCH"))))</f>
        <v/>
      </c>
      <c r="Q24" s="103" t="n"/>
      <c r="R24" s="253" t="n"/>
      <c r="S24" s="254" t="n"/>
      <c r="T24" s="254" t="n"/>
      <c r="U24" s="255" t="n"/>
      <c r="X24" s="303">
        <f>IF(COUNTA(E24:J24)+COUNTA(R24:T24)+COUNTA(V24:W24)+COUNTA(Y24:AA24)=0,"",IF(AND(COUNTIF(Vocabulary!$S$5:$S$8,E24)=1,COUNTIF(Vocabulary!$T$5:$T$8,F24)=1,COUNTIF(Vocabulary!$U$5:$U$8,G24)=1,COUNTIF(Vocabulary!$J$5:$J$6,H24)=1,COUNTIF(Vocabulary!$J$5:$J$6,I24)=1,COUNTIF(Vocabulary!$J$5:$J$6,J24)=1,COUNTIF(Vocabulary!$W$5:$W$8,R24)=1,COUNTIF(Vocabulary!$X$5:$X$8,S24)=1,COUNTIF(Vocabulary!$Y$5:$Y$9,T24)=1,COUNTIF(Vocabulary!$Z$5:$Z$8,V24)=1,COUNTIF(Vocabulary!$AA$5:$AA$9,W24)=1,COUNTIF(Vocabulary!$AB$5:$AB$7,Y24)=1,COUNTIF(Vocabulary!$AC$5:$AC$8,Z24)=1,COUNTIF(Vocabulary!$AD$5:$AD$7,AA24)=1),"OK","UNRECOGNISED_CONTROL_VALUE"))</f>
        <v/>
      </c>
      <c r="Y24" s="303" t="n"/>
      <c r="Z24" s="303" t="n"/>
      <c r="AA24" s="303" t="n"/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356" t="n"/>
      <c r="N25" s="356" t="n"/>
      <c r="O25" s="302">
        <f>IF(COUNTA(A25:N25)+COUNTA(Q25:W25)+COUNTA(Y25:AA25)=0,"",IF(OR(LEN(TRIM(A25))=0,LEN(TRIM(B25))=0,LEN(TRIM(C25))=0,LEN(TRIM(D25))=0,LEN(TRIM(E25))=0,LEN(TRIM(F25))=0,LEN(TRIM(G25))=0,LEN(TRIM(H25))=0,LEN(TRIM(I25))=0,LEN(TRIM(J25))=0,LEN(TRIM(R25))=0,LEN(TRIM(S25))=0,LEN(TRIM(T25))=0,LEN(TRIM(V25))=0,LEN(TRIM(W25))=0,LEN(TRIM(Y25))=0,LEN(TRIM(Z25))=0,LEN(TRIM(AA25))=0),"Indeterminate",IF(X25&lt;&gt;"OK","Indeterminate",IF(OR(E25="Indeterminate",F25="Indeterminate",G25="Indeterminate",R25="Indeterminate",S25="Indeterminate",T25="Indeterminate",V25="Indeterminate",W25="Indeterminate",Y25="Indeterminate",Z25="Indeterminate",AA25="Indeterminate"),"Indeterminate",IF(OR(E25="Sponsor controlled - invalid",F25="Sponsor veto - invalid",G25="Sponsor/candidate controlled - invalid",H25&lt;&gt;"Yes",I25&lt;&gt;"Yes",J25&lt;&gt;"Yes",R25="Predetermined outcome - invalid",S25="No credible precommitment",T25="Material assistance undisclosed",V25="Missing",V25="Changed after unblinding",W25="Material shared-model generation undisclosed",Y25="No protected reporting channel",Z25="No anonymity/confidentiality protection",AA25="No anti-retaliation safeguard"),"Inadequate",IF(OR(E25="Joint with firewall",F25="Independent with security redaction only",G25="Joint with public rules",K25&lt;&gt;"",AND(L25&lt;&gt;"",LOWER(L25)&lt;&gt;"none"),R25="Declared interest with enforceable firewall",S25="Conditional precommitment with disclosed limits",T25="Material assistance disclosed and separated",W25="Material shared-model generation disclosed",Z25="Not applicable with recorded rationale"),"Adequate with declared controls","Adequate"))))))</f>
        <v/>
      </c>
      <c r="P25" s="302">
        <f>IF(AND(O25="",N25=""),"",IF(AND(O25&lt;&gt;"",N25=""),"UNRECORDED",IF(AND(O25="",N25&lt;&gt;""),"ORPHAN_RECORDED",IF(O25=N25,"MATCH","MISMATCH"))))</f>
        <v/>
      </c>
      <c r="Q25" s="103" t="n"/>
      <c r="R25" s="253" t="n"/>
      <c r="S25" s="254" t="n"/>
      <c r="T25" s="254" t="n"/>
      <c r="U25" s="255" t="n"/>
      <c r="X25" s="303">
        <f>IF(COUNTA(E25:J25)+COUNTA(R25:T25)+COUNTA(V25:W25)+COUNTA(Y25:AA25)=0,"",IF(AND(COUNTIF(Vocabulary!$S$5:$S$8,E25)=1,COUNTIF(Vocabulary!$T$5:$T$8,F25)=1,COUNTIF(Vocabulary!$U$5:$U$8,G25)=1,COUNTIF(Vocabulary!$J$5:$J$6,H25)=1,COUNTIF(Vocabulary!$J$5:$J$6,I25)=1,COUNTIF(Vocabulary!$J$5:$J$6,J25)=1,COUNTIF(Vocabulary!$W$5:$W$8,R25)=1,COUNTIF(Vocabulary!$X$5:$X$8,S25)=1,COUNTIF(Vocabulary!$Y$5:$Y$9,T25)=1,COUNTIF(Vocabulary!$Z$5:$Z$8,V25)=1,COUNTIF(Vocabulary!$AA$5:$AA$9,W25)=1,COUNTIF(Vocabulary!$AB$5:$AB$7,Y25)=1,COUNTIF(Vocabulary!$AC$5:$AC$8,Z25)=1,COUNTIF(Vocabulary!$AD$5:$AD$7,AA25)=1),"OK","UNRECOGNISED_CONTROL_VALUE"))</f>
        <v/>
      </c>
      <c r="Y25" s="303" t="n"/>
      <c r="Z25" s="303" t="n"/>
      <c r="AA25" s="303" t="n"/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56" t="n"/>
      <c r="I26" s="356" t="n"/>
      <c r="J26" s="356" t="n"/>
      <c r="K26" s="356" t="n"/>
      <c r="L26" s="356" t="n"/>
      <c r="M26" s="356" t="n"/>
      <c r="N26" s="356" t="n"/>
      <c r="O26" s="302">
        <f>IF(COUNTA(A26:N26)+COUNTA(Q26:W26)+COUNTA(Y26:AA26)=0,"",IF(OR(LEN(TRIM(A26))=0,LEN(TRIM(B26))=0,LEN(TRIM(C26))=0,LEN(TRIM(D26))=0,LEN(TRIM(E26))=0,LEN(TRIM(F26))=0,LEN(TRIM(G26))=0,LEN(TRIM(H26))=0,LEN(TRIM(I26))=0,LEN(TRIM(J26))=0,LEN(TRIM(R26))=0,LEN(TRIM(S26))=0,LEN(TRIM(T26))=0,LEN(TRIM(V26))=0,LEN(TRIM(W26))=0,LEN(TRIM(Y26))=0,LEN(TRIM(Z26))=0,LEN(TRIM(AA26))=0),"Indeterminate",IF(X26&lt;&gt;"OK","Indeterminate",IF(OR(E26="Indeterminate",F26="Indeterminate",G26="Indeterminate",R26="Indeterminate",S26="Indeterminate",T26="Indeterminate",V26="Indeterminate",W26="Indeterminate",Y26="Indeterminate",Z26="Indeterminate",AA26="Indeterminate"),"Indeterminate",IF(OR(E26="Sponsor controlled - invalid",F26="Sponsor veto - invalid",G26="Sponsor/candidate controlled - invalid",H26&lt;&gt;"Yes",I26&lt;&gt;"Yes",J26&lt;&gt;"Yes",R26="Predetermined outcome - invalid",S26="No credible precommitment",T26="Material assistance undisclosed",V26="Missing",V26="Changed after unblinding",W26="Material shared-model generation undisclosed",Y26="No protected reporting channel",Z26="No anonymity/confidentiality protection",AA26="No anti-retaliation safeguard"),"Inadequate",IF(OR(E26="Joint with firewall",F26="Independent with security redaction only",G26="Joint with public rules",K26&lt;&gt;"",AND(L26&lt;&gt;"",LOWER(L26)&lt;&gt;"none"),R26="Declared interest with enforceable firewall",S26="Conditional precommitment with disclosed limits",T26="Material assistance disclosed and separated",W26="Material shared-model generation disclosed",Z26="Not applicable with recorded rationale"),"Adequate with declared controls","Adequate"))))))</f>
        <v/>
      </c>
      <c r="P26" s="302">
        <f>IF(AND(O26="",N26=""),"",IF(AND(O26&lt;&gt;"",N26=""),"UNRECORDED",IF(AND(O26="",N26&lt;&gt;""),"ORPHAN_RECORDED",IF(O26=N26,"MATCH","MISMATCH"))))</f>
        <v/>
      </c>
      <c r="Q26" s="103" t="n"/>
      <c r="R26" s="253" t="n"/>
      <c r="S26" s="254" t="n"/>
      <c r="T26" s="254" t="n"/>
      <c r="U26" s="255" t="n"/>
      <c r="X26" s="303">
        <f>IF(COUNTA(E26:J26)+COUNTA(R26:T26)+COUNTA(V26:W26)+COUNTA(Y26:AA26)=0,"",IF(AND(COUNTIF(Vocabulary!$S$5:$S$8,E26)=1,COUNTIF(Vocabulary!$T$5:$T$8,F26)=1,COUNTIF(Vocabulary!$U$5:$U$8,G26)=1,COUNTIF(Vocabulary!$J$5:$J$6,H26)=1,COUNTIF(Vocabulary!$J$5:$J$6,I26)=1,COUNTIF(Vocabulary!$J$5:$J$6,J26)=1,COUNTIF(Vocabulary!$W$5:$W$8,R26)=1,COUNTIF(Vocabulary!$X$5:$X$8,S26)=1,COUNTIF(Vocabulary!$Y$5:$Y$9,T26)=1,COUNTIF(Vocabulary!$Z$5:$Z$8,V26)=1,COUNTIF(Vocabulary!$AA$5:$AA$9,W26)=1,COUNTIF(Vocabulary!$AB$5:$AB$7,Y26)=1,COUNTIF(Vocabulary!$AC$5:$AC$8,Z26)=1,COUNTIF(Vocabulary!$AD$5:$AD$7,AA26)=1),"OK","UNRECOGNISED_CONTROL_VALUE"))</f>
        <v/>
      </c>
      <c r="Y26" s="303" t="n"/>
      <c r="Z26" s="303" t="n"/>
      <c r="AA26" s="303" t="n"/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56" t="n"/>
      <c r="I27" s="356" t="n"/>
      <c r="J27" s="356" t="n"/>
      <c r="K27" s="356" t="n"/>
      <c r="L27" s="356" t="n"/>
      <c r="M27" s="356" t="n"/>
      <c r="N27" s="356" t="n"/>
      <c r="O27" s="302">
        <f>IF(COUNTA(A27:N27)+COUNTA(Q27:W27)+COUNTA(Y27:AA27)=0,"",IF(OR(LEN(TRIM(A27))=0,LEN(TRIM(B27))=0,LEN(TRIM(C27))=0,LEN(TRIM(D27))=0,LEN(TRIM(E27))=0,LEN(TRIM(F27))=0,LEN(TRIM(G27))=0,LEN(TRIM(H27))=0,LEN(TRIM(I27))=0,LEN(TRIM(J27))=0,LEN(TRIM(R27))=0,LEN(TRIM(S27))=0,LEN(TRIM(T27))=0,LEN(TRIM(V27))=0,LEN(TRIM(W27))=0,LEN(TRIM(Y27))=0,LEN(TRIM(Z27))=0,LEN(TRIM(AA27))=0),"Indeterminate",IF(X27&lt;&gt;"OK","Indeterminate",IF(OR(E27="Indeterminate",F27="Indeterminate",G27="Indeterminate",R27="Indeterminate",S27="Indeterminate",T27="Indeterminate",V27="Indeterminate",W27="Indeterminate",Y27="Indeterminate",Z27="Indeterminate",AA27="Indeterminate"),"Indeterminate",IF(OR(E27="Sponsor controlled - invalid",F27="Sponsor veto - invalid",G27="Sponsor/candidate controlled - invalid",H27&lt;&gt;"Yes",I27&lt;&gt;"Yes",J27&lt;&gt;"Yes",R27="Predetermined outcome - invalid",S27="No credible precommitment",T27="Material assistance undisclosed",V27="Missing",V27="Changed after unblinding",W27="Material shared-model generation undisclosed",Y27="No protected reporting channel",Z27="No anonymity/confidentiality protection",AA27="No anti-retaliation safeguard"),"Inadequate",IF(OR(E27="Joint with firewall",F27="Independent with security redaction only",G27="Joint with public rules",K27&lt;&gt;"",AND(L27&lt;&gt;"",LOWER(L27)&lt;&gt;"none"),R27="Declared interest with enforceable firewall",S27="Conditional precommitment with disclosed limits",T27="Material assistance disclosed and separated",W27="Material shared-model generation disclosed",Z27="Not applicable with recorded rationale"),"Adequate with declared controls","Adequate"))))))</f>
        <v/>
      </c>
      <c r="P27" s="302">
        <f>IF(AND(O27="",N27=""),"",IF(AND(O27&lt;&gt;"",N27=""),"UNRECORDED",IF(AND(O27="",N27&lt;&gt;""),"ORPHAN_RECORDED",IF(O27=N27,"MATCH","MISMATCH"))))</f>
        <v/>
      </c>
      <c r="Q27" s="103" t="n"/>
      <c r="R27" s="253" t="n"/>
      <c r="S27" s="254" t="n"/>
      <c r="T27" s="254" t="n"/>
      <c r="U27" s="255" t="n"/>
      <c r="X27" s="303">
        <f>IF(COUNTA(E27:J27)+COUNTA(R27:T27)+COUNTA(V27:W27)+COUNTA(Y27:AA27)=0,"",IF(AND(COUNTIF(Vocabulary!$S$5:$S$8,E27)=1,COUNTIF(Vocabulary!$T$5:$T$8,F27)=1,COUNTIF(Vocabulary!$U$5:$U$8,G27)=1,COUNTIF(Vocabulary!$J$5:$J$6,H27)=1,COUNTIF(Vocabulary!$J$5:$J$6,I27)=1,COUNTIF(Vocabulary!$J$5:$J$6,J27)=1,COUNTIF(Vocabulary!$W$5:$W$8,R27)=1,COUNTIF(Vocabulary!$X$5:$X$8,S27)=1,COUNTIF(Vocabulary!$Y$5:$Y$9,T27)=1,COUNTIF(Vocabulary!$Z$5:$Z$8,V27)=1,COUNTIF(Vocabulary!$AA$5:$AA$9,W27)=1,COUNTIF(Vocabulary!$AB$5:$AB$7,Y27)=1,COUNTIF(Vocabulary!$AC$5:$AC$8,Z27)=1,COUNTIF(Vocabulary!$AD$5:$AD$7,AA27)=1),"OK","UNRECOGNISED_CONTROL_VALUE"))</f>
        <v/>
      </c>
      <c r="Y27" s="303" t="n"/>
      <c r="Z27" s="303" t="n"/>
      <c r="AA27" s="303" t="n"/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56" t="n"/>
      <c r="I28" s="356" t="n"/>
      <c r="J28" s="356" t="n"/>
      <c r="K28" s="356" t="n"/>
      <c r="L28" s="356" t="n"/>
      <c r="M28" s="356" t="n"/>
      <c r="N28" s="356" t="n"/>
      <c r="O28" s="302">
        <f>IF(COUNTA(A28:N28)+COUNTA(Q28:W28)+COUNTA(Y28:AA28)=0,"",IF(OR(LEN(TRIM(A28))=0,LEN(TRIM(B28))=0,LEN(TRIM(C28))=0,LEN(TRIM(D28))=0,LEN(TRIM(E28))=0,LEN(TRIM(F28))=0,LEN(TRIM(G28))=0,LEN(TRIM(H28))=0,LEN(TRIM(I28))=0,LEN(TRIM(J28))=0,LEN(TRIM(R28))=0,LEN(TRIM(S28))=0,LEN(TRIM(T28))=0,LEN(TRIM(V28))=0,LEN(TRIM(W28))=0,LEN(TRIM(Y28))=0,LEN(TRIM(Z28))=0,LEN(TRIM(AA28))=0),"Indeterminate",IF(X28&lt;&gt;"OK","Indeterminate",IF(OR(E28="Indeterminate",F28="Indeterminate",G28="Indeterminate",R28="Indeterminate",S28="Indeterminate",T28="Indeterminate",V28="Indeterminate",W28="Indeterminate",Y28="Indeterminate",Z28="Indeterminate",AA28="Indeterminate"),"Indeterminate",IF(OR(E28="Sponsor controlled - invalid",F28="Sponsor veto - invalid",G28="Sponsor/candidate controlled - invalid",H28&lt;&gt;"Yes",I28&lt;&gt;"Yes",J28&lt;&gt;"Yes",R28="Predetermined outcome - invalid",S28="No credible precommitment",T28="Material assistance undisclosed",V28="Missing",V28="Changed after unblinding",W28="Material shared-model generation undisclosed",Y28="No protected reporting channel",Z28="No anonymity/confidentiality protection",AA28="No anti-retaliation safeguard"),"Inadequate",IF(OR(E28="Joint with firewall",F28="Independent with security redaction only",G28="Joint with public rules",K28&lt;&gt;"",AND(L28&lt;&gt;"",LOWER(L28)&lt;&gt;"none"),R28="Declared interest with enforceable firewall",S28="Conditional precommitment with disclosed limits",T28="Material assistance disclosed and separated",W28="Material shared-model generation disclosed",Z28="Not applicable with recorded rationale"),"Adequate with declared controls","Adequate"))))))</f>
        <v/>
      </c>
      <c r="P28" s="302">
        <f>IF(AND(O28="",N28=""),"",IF(AND(O28&lt;&gt;"",N28=""),"UNRECORDED",IF(AND(O28="",N28&lt;&gt;""),"ORPHAN_RECORDED",IF(O28=N28,"MATCH","MISMATCH"))))</f>
        <v/>
      </c>
      <c r="Q28" s="103" t="n"/>
      <c r="R28" s="253" t="n"/>
      <c r="S28" s="254" t="n"/>
      <c r="T28" s="254" t="n"/>
      <c r="U28" s="255" t="n"/>
      <c r="X28" s="303">
        <f>IF(COUNTA(E28:J28)+COUNTA(R28:T28)+COUNTA(V28:W28)+COUNTA(Y28:AA28)=0,"",IF(AND(COUNTIF(Vocabulary!$S$5:$S$8,E28)=1,COUNTIF(Vocabulary!$T$5:$T$8,F28)=1,COUNTIF(Vocabulary!$U$5:$U$8,G28)=1,COUNTIF(Vocabulary!$J$5:$J$6,H28)=1,COUNTIF(Vocabulary!$J$5:$J$6,I28)=1,COUNTIF(Vocabulary!$J$5:$J$6,J28)=1,COUNTIF(Vocabulary!$W$5:$W$8,R28)=1,COUNTIF(Vocabulary!$X$5:$X$8,S28)=1,COUNTIF(Vocabulary!$Y$5:$Y$9,T28)=1,COUNTIF(Vocabulary!$Z$5:$Z$8,V28)=1,COUNTIF(Vocabulary!$AA$5:$AA$9,W28)=1,COUNTIF(Vocabulary!$AB$5:$AB$7,Y28)=1,COUNTIF(Vocabulary!$AC$5:$AC$8,Z28)=1,COUNTIF(Vocabulary!$AD$5:$AD$7,AA28)=1),"OK","UNRECOGNISED_CONTROL_VALUE"))</f>
        <v/>
      </c>
      <c r="Y28" s="303" t="n"/>
      <c r="Z28" s="303" t="n"/>
      <c r="AA28" s="303" t="n"/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56" t="n"/>
      <c r="I29" s="356" t="n"/>
      <c r="J29" s="356" t="n"/>
      <c r="K29" s="356" t="n"/>
      <c r="L29" s="356" t="n"/>
      <c r="M29" s="356" t="n"/>
      <c r="N29" s="356" t="n"/>
      <c r="O29" s="302">
        <f>IF(COUNTA(A29:N29)+COUNTA(Q29:W29)+COUNTA(Y29:AA29)=0,"",IF(OR(LEN(TRIM(A29))=0,LEN(TRIM(B29))=0,LEN(TRIM(C29))=0,LEN(TRIM(D29))=0,LEN(TRIM(E29))=0,LEN(TRIM(F29))=0,LEN(TRIM(G29))=0,LEN(TRIM(H29))=0,LEN(TRIM(I29))=0,LEN(TRIM(J29))=0,LEN(TRIM(R29))=0,LEN(TRIM(S29))=0,LEN(TRIM(T29))=0,LEN(TRIM(V29))=0,LEN(TRIM(W29))=0,LEN(TRIM(Y29))=0,LEN(TRIM(Z29))=0,LEN(TRIM(AA29))=0),"Indeterminate",IF(X29&lt;&gt;"OK","Indeterminate",IF(OR(E29="Indeterminate",F29="Indeterminate",G29="Indeterminate",R29="Indeterminate",S29="Indeterminate",T29="Indeterminate",V29="Indeterminate",W29="Indeterminate",Y29="Indeterminate",Z29="Indeterminate",AA29="Indeterminate"),"Indeterminate",IF(OR(E29="Sponsor controlled - invalid",F29="Sponsor veto - invalid",G29="Sponsor/candidate controlled - invalid",H29&lt;&gt;"Yes",I29&lt;&gt;"Yes",J29&lt;&gt;"Yes",R29="Predetermined outcome - invalid",S29="No credible precommitment",T29="Material assistance undisclosed",V29="Missing",V29="Changed after unblinding",W29="Material shared-model generation undisclosed",Y29="No protected reporting channel",Z29="No anonymity/confidentiality protection",AA29="No anti-retaliation safeguard"),"Inadequate",IF(OR(E29="Joint with firewall",F29="Independent with security redaction only",G29="Joint with public rules",K29&lt;&gt;"",AND(L29&lt;&gt;"",LOWER(L29)&lt;&gt;"none"),R29="Declared interest with enforceable firewall",S29="Conditional precommitment with disclosed limits",T29="Material assistance disclosed and separated",W29="Material shared-model generation disclosed",Z29="Not applicable with recorded rationale"),"Adequate with declared controls","Adequate"))))))</f>
        <v/>
      </c>
      <c r="P29" s="302">
        <f>IF(AND(O29="",N29=""),"",IF(AND(O29&lt;&gt;"",N29=""),"UNRECORDED",IF(AND(O29="",N29&lt;&gt;""),"ORPHAN_RECORDED",IF(O29=N29,"MATCH","MISMATCH"))))</f>
        <v/>
      </c>
      <c r="Q29" s="103" t="n"/>
      <c r="R29" s="253" t="n"/>
      <c r="S29" s="254" t="n"/>
      <c r="T29" s="254" t="n"/>
      <c r="U29" s="255" t="n"/>
      <c r="X29" s="303">
        <f>IF(COUNTA(E29:J29)+COUNTA(R29:T29)+COUNTA(V29:W29)+COUNTA(Y29:AA29)=0,"",IF(AND(COUNTIF(Vocabulary!$S$5:$S$8,E29)=1,COUNTIF(Vocabulary!$T$5:$T$8,F29)=1,COUNTIF(Vocabulary!$U$5:$U$8,G29)=1,COUNTIF(Vocabulary!$J$5:$J$6,H29)=1,COUNTIF(Vocabulary!$J$5:$J$6,I29)=1,COUNTIF(Vocabulary!$J$5:$J$6,J29)=1,COUNTIF(Vocabulary!$W$5:$W$8,R29)=1,COUNTIF(Vocabulary!$X$5:$X$8,S29)=1,COUNTIF(Vocabulary!$Y$5:$Y$9,T29)=1,COUNTIF(Vocabulary!$Z$5:$Z$8,V29)=1,COUNTIF(Vocabulary!$AA$5:$AA$9,W29)=1,COUNTIF(Vocabulary!$AB$5:$AB$7,Y29)=1,COUNTIF(Vocabulary!$AC$5:$AC$8,Z29)=1,COUNTIF(Vocabulary!$AD$5:$AD$7,AA29)=1),"OK","UNRECOGNISED_CONTROL_VALUE"))</f>
        <v/>
      </c>
      <c r="Y29" s="303" t="n"/>
      <c r="Z29" s="303" t="n"/>
      <c r="AA29" s="303" t="n"/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  <c r="O30" s="302">
        <f>IF(COUNTA(A30:N30)+COUNTA(Q30:W30)+COUNTA(Y30:AA30)=0,"",IF(OR(LEN(TRIM(A30))=0,LEN(TRIM(B30))=0,LEN(TRIM(C30))=0,LEN(TRIM(D30))=0,LEN(TRIM(E30))=0,LEN(TRIM(F30))=0,LEN(TRIM(G30))=0,LEN(TRIM(H30))=0,LEN(TRIM(I30))=0,LEN(TRIM(J30))=0,LEN(TRIM(R30))=0,LEN(TRIM(S30))=0,LEN(TRIM(T30))=0,LEN(TRIM(V30))=0,LEN(TRIM(W30))=0,LEN(TRIM(Y30))=0,LEN(TRIM(Z30))=0,LEN(TRIM(AA30))=0),"Indeterminate",IF(X30&lt;&gt;"OK","Indeterminate",IF(OR(E30="Indeterminate",F30="Indeterminate",G30="Indeterminate",R30="Indeterminate",S30="Indeterminate",T30="Indeterminate",V30="Indeterminate",W30="Indeterminate",Y30="Indeterminate",Z30="Indeterminate",AA30="Indeterminate"),"Indeterminate",IF(OR(E30="Sponsor controlled - invalid",F30="Sponsor veto - invalid",G30="Sponsor/candidate controlled - invalid",H30&lt;&gt;"Yes",I30&lt;&gt;"Yes",J30&lt;&gt;"Yes",R30="Predetermined outcome - invalid",S30="No credible precommitment",T30="Material assistance undisclosed",V30="Missing",V30="Changed after unblinding",W30="Material shared-model generation undisclosed",Y30="No protected reporting channel",Z30="No anonymity/confidentiality protection",AA30="No anti-retaliation safeguard"),"Inadequate",IF(OR(E30="Joint with firewall",F30="Independent with security redaction only",G30="Joint with public rules",K30&lt;&gt;"",AND(L30&lt;&gt;"",LOWER(L30)&lt;&gt;"none"),R30="Declared interest with enforceable firewall",S30="Conditional precommitment with disclosed limits",T30="Material assistance disclosed and separated",W30="Material shared-model generation disclosed",Z30="Not applicable with recorded rationale"),"Adequate with declared controls","Adequate"))))))</f>
        <v/>
      </c>
      <c r="P30" s="302">
        <f>IF(AND(O30="",N30=""),"",IF(AND(O30&lt;&gt;"",N30=""),"UNRECORDED",IF(AND(O30="",N30&lt;&gt;""),"ORPHAN_RECORDED",IF(O30=N30,"MATCH","MISMATCH"))))</f>
        <v/>
      </c>
      <c r="Q30" s="103" t="n"/>
      <c r="R30" s="253" t="n"/>
      <c r="S30" s="254" t="n"/>
      <c r="T30" s="254" t="n"/>
      <c r="U30" s="255" t="n"/>
      <c r="X30" s="303">
        <f>IF(COUNTA(E30:J30)+COUNTA(R30:T30)+COUNTA(V30:W30)+COUNTA(Y30:AA30)=0,"",IF(AND(COUNTIF(Vocabulary!$S$5:$S$8,E30)=1,COUNTIF(Vocabulary!$T$5:$T$8,F30)=1,COUNTIF(Vocabulary!$U$5:$U$8,G30)=1,COUNTIF(Vocabulary!$J$5:$J$6,H30)=1,COUNTIF(Vocabulary!$J$5:$J$6,I30)=1,COUNTIF(Vocabulary!$J$5:$J$6,J30)=1,COUNTIF(Vocabulary!$W$5:$W$8,R30)=1,COUNTIF(Vocabulary!$X$5:$X$8,S30)=1,COUNTIF(Vocabulary!$Y$5:$Y$9,T30)=1,COUNTIF(Vocabulary!$Z$5:$Z$8,V30)=1,COUNTIF(Vocabulary!$AA$5:$AA$9,W30)=1,COUNTIF(Vocabulary!$AB$5:$AB$7,Y30)=1,COUNTIF(Vocabulary!$AC$5:$AC$8,Z30)=1,COUNTIF(Vocabulary!$AD$5:$AD$7,AA30)=1),"OK","UNRECOGNISED_CONTROL_VALUE"))</f>
        <v/>
      </c>
      <c r="Y30" s="303" t="n"/>
      <c r="Z30" s="303" t="n"/>
      <c r="AA30" s="303" t="n"/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56" t="n"/>
      <c r="I31" s="356" t="n"/>
      <c r="J31" s="356" t="n"/>
      <c r="K31" s="356" t="n"/>
      <c r="L31" s="356" t="n"/>
      <c r="M31" s="356" t="n"/>
      <c r="N31" s="356" t="n"/>
      <c r="O31" s="302">
        <f>IF(COUNTA(A31:N31)+COUNTA(Q31:W31)+COUNTA(Y31:AA31)=0,"",IF(OR(LEN(TRIM(A31))=0,LEN(TRIM(B31))=0,LEN(TRIM(C31))=0,LEN(TRIM(D31))=0,LEN(TRIM(E31))=0,LEN(TRIM(F31))=0,LEN(TRIM(G31))=0,LEN(TRIM(H31))=0,LEN(TRIM(I31))=0,LEN(TRIM(J31))=0,LEN(TRIM(R31))=0,LEN(TRIM(S31))=0,LEN(TRIM(T31))=0,LEN(TRIM(V31))=0,LEN(TRIM(W31))=0,LEN(TRIM(Y31))=0,LEN(TRIM(Z31))=0,LEN(TRIM(AA31))=0),"Indeterminate",IF(X31&lt;&gt;"OK","Indeterminate",IF(OR(E31="Indeterminate",F31="Indeterminate",G31="Indeterminate",R31="Indeterminate",S31="Indeterminate",T31="Indeterminate",V31="Indeterminate",W31="Indeterminate",Y31="Indeterminate",Z31="Indeterminate",AA31="Indeterminate"),"Indeterminate",IF(OR(E31="Sponsor controlled - invalid",F31="Sponsor veto - invalid",G31="Sponsor/candidate controlled - invalid",H31&lt;&gt;"Yes",I31&lt;&gt;"Yes",J31&lt;&gt;"Yes",R31="Predetermined outcome - invalid",S31="No credible precommitment",T31="Material assistance undisclosed",V31="Missing",V31="Changed after unblinding",W31="Material shared-model generation undisclosed",Y31="No protected reporting channel",Z31="No anonymity/confidentiality protection",AA31="No anti-retaliation safeguard"),"Inadequate",IF(OR(E31="Joint with firewall",F31="Independent with security redaction only",G31="Joint with public rules",K31&lt;&gt;"",AND(L31&lt;&gt;"",LOWER(L31)&lt;&gt;"none"),R31="Declared interest with enforceable firewall",S31="Conditional precommitment with disclosed limits",T31="Material assistance disclosed and separated",W31="Material shared-model generation disclosed",Z31="Not applicable with recorded rationale"),"Adequate with declared controls","Adequate"))))))</f>
        <v/>
      </c>
      <c r="P31" s="302">
        <f>IF(AND(O31="",N31=""),"",IF(AND(O31&lt;&gt;"",N31=""),"UNRECORDED",IF(AND(O31="",N31&lt;&gt;""),"ORPHAN_RECORDED",IF(O31=N31,"MATCH","MISMATCH"))))</f>
        <v/>
      </c>
      <c r="Q31" s="103" t="n"/>
      <c r="R31" s="253" t="n"/>
      <c r="S31" s="254" t="n"/>
      <c r="T31" s="254" t="n"/>
      <c r="U31" s="255" t="n"/>
      <c r="X31" s="303">
        <f>IF(COUNTA(E31:J31)+COUNTA(R31:T31)+COUNTA(V31:W31)+COUNTA(Y31:AA31)=0,"",IF(AND(COUNTIF(Vocabulary!$S$5:$S$8,E31)=1,COUNTIF(Vocabulary!$T$5:$T$8,F31)=1,COUNTIF(Vocabulary!$U$5:$U$8,G31)=1,COUNTIF(Vocabulary!$J$5:$J$6,H31)=1,COUNTIF(Vocabulary!$J$5:$J$6,I31)=1,COUNTIF(Vocabulary!$J$5:$J$6,J31)=1,COUNTIF(Vocabulary!$W$5:$W$8,R31)=1,COUNTIF(Vocabulary!$X$5:$X$8,S31)=1,COUNTIF(Vocabulary!$Y$5:$Y$9,T31)=1,COUNTIF(Vocabulary!$Z$5:$Z$8,V31)=1,COUNTIF(Vocabulary!$AA$5:$AA$9,W31)=1,COUNTIF(Vocabulary!$AB$5:$AB$7,Y31)=1,COUNTIF(Vocabulary!$AC$5:$AC$8,Z31)=1,COUNTIF(Vocabulary!$AD$5:$AD$7,AA31)=1),"OK","UNRECOGNISED_CONTROL_VALUE"))</f>
        <v/>
      </c>
      <c r="Y31" s="303" t="n"/>
      <c r="Z31" s="303" t="n"/>
      <c r="AA31" s="303" t="n"/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56" t="n"/>
      <c r="I32" s="356" t="n"/>
      <c r="J32" s="356" t="n"/>
      <c r="K32" s="356" t="n"/>
      <c r="L32" s="356" t="n"/>
      <c r="M32" s="356" t="n"/>
      <c r="N32" s="356" t="n"/>
      <c r="O32" s="302">
        <f>IF(COUNTA(A32:N32)+COUNTA(Q32:W32)+COUNTA(Y32:AA32)=0,"",IF(OR(LEN(TRIM(A32))=0,LEN(TRIM(B32))=0,LEN(TRIM(C32))=0,LEN(TRIM(D32))=0,LEN(TRIM(E32))=0,LEN(TRIM(F32))=0,LEN(TRIM(G32))=0,LEN(TRIM(H32))=0,LEN(TRIM(I32))=0,LEN(TRIM(J32))=0,LEN(TRIM(R32))=0,LEN(TRIM(S32))=0,LEN(TRIM(T32))=0,LEN(TRIM(V32))=0,LEN(TRIM(W32))=0,LEN(TRIM(Y32))=0,LEN(TRIM(Z32))=0,LEN(TRIM(AA32))=0),"Indeterminate",IF(X32&lt;&gt;"OK","Indeterminate",IF(OR(E32="Indeterminate",F32="Indeterminate",G32="Indeterminate",R32="Indeterminate",S32="Indeterminate",T32="Indeterminate",V32="Indeterminate",W32="Indeterminate",Y32="Indeterminate",Z32="Indeterminate",AA32="Indeterminate"),"Indeterminate",IF(OR(E32="Sponsor controlled - invalid",F32="Sponsor veto - invalid",G32="Sponsor/candidate controlled - invalid",H32&lt;&gt;"Yes",I32&lt;&gt;"Yes",J32&lt;&gt;"Yes",R32="Predetermined outcome - invalid",S32="No credible precommitment",T32="Material assistance undisclosed",V32="Missing",V32="Changed after unblinding",W32="Material shared-model generation undisclosed",Y32="No protected reporting channel",Z32="No anonymity/confidentiality protection",AA32="No anti-retaliation safeguard"),"Inadequate",IF(OR(E32="Joint with firewall",F32="Independent with security redaction only",G32="Joint with public rules",K32&lt;&gt;"",AND(L32&lt;&gt;"",LOWER(L32)&lt;&gt;"none"),R32="Declared interest with enforceable firewall",S32="Conditional precommitment with disclosed limits",T32="Material assistance disclosed and separated",W32="Material shared-model generation disclosed",Z32="Not applicable with recorded rationale"),"Adequate with declared controls","Adequate"))))))</f>
        <v/>
      </c>
      <c r="P32" s="302">
        <f>IF(AND(O32="",N32=""),"",IF(AND(O32&lt;&gt;"",N32=""),"UNRECORDED",IF(AND(O32="",N32&lt;&gt;""),"ORPHAN_RECORDED",IF(O32=N32,"MATCH","MISMATCH"))))</f>
        <v/>
      </c>
      <c r="Q32" s="103" t="n"/>
      <c r="R32" s="253" t="n"/>
      <c r="S32" s="254" t="n"/>
      <c r="T32" s="254" t="n"/>
      <c r="U32" s="255" t="n"/>
      <c r="X32" s="303">
        <f>IF(COUNTA(E32:J32)+COUNTA(R32:T32)+COUNTA(V32:W32)+COUNTA(Y32:AA32)=0,"",IF(AND(COUNTIF(Vocabulary!$S$5:$S$8,E32)=1,COUNTIF(Vocabulary!$T$5:$T$8,F32)=1,COUNTIF(Vocabulary!$U$5:$U$8,G32)=1,COUNTIF(Vocabulary!$J$5:$J$6,H32)=1,COUNTIF(Vocabulary!$J$5:$J$6,I32)=1,COUNTIF(Vocabulary!$J$5:$J$6,J32)=1,COUNTIF(Vocabulary!$W$5:$W$8,R32)=1,COUNTIF(Vocabulary!$X$5:$X$8,S32)=1,COUNTIF(Vocabulary!$Y$5:$Y$9,T32)=1,COUNTIF(Vocabulary!$Z$5:$Z$8,V32)=1,COUNTIF(Vocabulary!$AA$5:$AA$9,W32)=1,COUNTIF(Vocabulary!$AB$5:$AB$7,Y32)=1,COUNTIF(Vocabulary!$AC$5:$AC$8,Z32)=1,COUNTIF(Vocabulary!$AD$5:$AD$7,AA32)=1),"OK","UNRECOGNISED_CONTROL_VALUE"))</f>
        <v/>
      </c>
      <c r="Y32" s="303" t="n"/>
      <c r="Z32" s="303" t="n"/>
      <c r="AA32" s="303" t="n"/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02">
        <f>IF(COUNTA(A33:N33)+COUNTA(Q33:W33)+COUNTA(Y33:AA33)=0,"",IF(OR(LEN(TRIM(A33))=0,LEN(TRIM(B33))=0,LEN(TRIM(C33))=0,LEN(TRIM(D33))=0,LEN(TRIM(E33))=0,LEN(TRIM(F33))=0,LEN(TRIM(G33))=0,LEN(TRIM(H33))=0,LEN(TRIM(I33))=0,LEN(TRIM(J33))=0,LEN(TRIM(R33))=0,LEN(TRIM(S33))=0,LEN(TRIM(T33))=0,LEN(TRIM(V33))=0,LEN(TRIM(W33))=0,LEN(TRIM(Y33))=0,LEN(TRIM(Z33))=0,LEN(TRIM(AA33))=0),"Indeterminate",IF(X33&lt;&gt;"OK","Indeterminate",IF(OR(E33="Indeterminate",F33="Indeterminate",G33="Indeterminate",R33="Indeterminate",S33="Indeterminate",T33="Indeterminate",V33="Indeterminate",W33="Indeterminate",Y33="Indeterminate",Z33="Indeterminate",AA33="Indeterminate"),"Indeterminate",IF(OR(E33="Sponsor controlled - invalid",F33="Sponsor veto - invalid",G33="Sponsor/candidate controlled - invalid",H33&lt;&gt;"Yes",I33&lt;&gt;"Yes",J33&lt;&gt;"Yes",R33="Predetermined outcome - invalid",S33="No credible precommitment",T33="Material assistance undisclosed",V33="Missing",V33="Changed after unblinding",W33="Material shared-model generation undisclosed",Y33="No protected reporting channel",Z33="No anonymity/confidentiality protection",AA33="No anti-retaliation safeguard"),"Inadequate",IF(OR(E33="Joint with firewall",F33="Independent with security redaction only",G33="Joint with public rules",K33&lt;&gt;"",AND(L33&lt;&gt;"",LOWER(L33)&lt;&gt;"none"),R33="Declared interest with enforceable firewall",S33="Conditional precommitment with disclosed limits",T33="Material assistance disclosed and separated",W33="Material shared-model generation disclosed",Z33="Not applicable with recorded rationale"),"Adequate with declared controls","Adequate"))))))</f>
        <v/>
      </c>
      <c r="P33" s="302">
        <f>IF(AND(O33="",N33=""),"",IF(AND(O33&lt;&gt;"",N33=""),"UNRECORDED",IF(AND(O33="",N33&lt;&gt;""),"ORPHAN_RECORDED",IF(O33=N33,"MATCH","MISMATCH"))))</f>
        <v/>
      </c>
      <c r="Q33" s="103" t="n"/>
      <c r="R33" s="253" t="n"/>
      <c r="S33" s="254" t="n"/>
      <c r="T33" s="254" t="n"/>
      <c r="U33" s="255" t="n"/>
      <c r="X33" s="303">
        <f>IF(COUNTA(E33:J33)+COUNTA(R33:T33)+COUNTA(V33:W33)+COUNTA(Y33:AA33)=0,"",IF(AND(COUNTIF(Vocabulary!$S$5:$S$8,E33)=1,COUNTIF(Vocabulary!$T$5:$T$8,F33)=1,COUNTIF(Vocabulary!$U$5:$U$8,G33)=1,COUNTIF(Vocabulary!$J$5:$J$6,H33)=1,COUNTIF(Vocabulary!$J$5:$J$6,I33)=1,COUNTIF(Vocabulary!$J$5:$J$6,J33)=1,COUNTIF(Vocabulary!$W$5:$W$8,R33)=1,COUNTIF(Vocabulary!$X$5:$X$8,S33)=1,COUNTIF(Vocabulary!$Y$5:$Y$9,T33)=1,COUNTIF(Vocabulary!$Z$5:$Z$8,V33)=1,COUNTIF(Vocabulary!$AA$5:$AA$9,W33)=1,COUNTIF(Vocabulary!$AB$5:$AB$7,Y33)=1,COUNTIF(Vocabulary!$AC$5:$AC$8,Z33)=1,COUNTIF(Vocabulary!$AD$5:$AD$7,AA33)=1),"OK","UNRECOGNISED_CONTROL_VALUE"))</f>
        <v/>
      </c>
      <c r="Y33" s="303" t="n"/>
      <c r="Z33" s="303" t="n"/>
      <c r="AA33" s="303" t="n"/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356" t="n"/>
      <c r="N34" s="356" t="n"/>
      <c r="O34" s="302">
        <f>IF(COUNTA(A34:N34)+COUNTA(Q34:W34)+COUNTA(Y34:AA34)=0,"",IF(OR(LEN(TRIM(A34))=0,LEN(TRIM(B34))=0,LEN(TRIM(C34))=0,LEN(TRIM(D34))=0,LEN(TRIM(E34))=0,LEN(TRIM(F34))=0,LEN(TRIM(G34))=0,LEN(TRIM(H34))=0,LEN(TRIM(I34))=0,LEN(TRIM(J34))=0,LEN(TRIM(R34))=0,LEN(TRIM(S34))=0,LEN(TRIM(T34))=0,LEN(TRIM(V34))=0,LEN(TRIM(W34))=0,LEN(TRIM(Y34))=0,LEN(TRIM(Z34))=0,LEN(TRIM(AA34))=0),"Indeterminate",IF(X34&lt;&gt;"OK","Indeterminate",IF(OR(E34="Indeterminate",F34="Indeterminate",G34="Indeterminate",R34="Indeterminate",S34="Indeterminate",T34="Indeterminate",V34="Indeterminate",W34="Indeterminate",Y34="Indeterminate",Z34="Indeterminate",AA34="Indeterminate"),"Indeterminate",IF(OR(E34="Sponsor controlled - invalid",F34="Sponsor veto - invalid",G34="Sponsor/candidate controlled - invalid",H34&lt;&gt;"Yes",I34&lt;&gt;"Yes",J34&lt;&gt;"Yes",R34="Predetermined outcome - invalid",S34="No credible precommitment",T34="Material assistance undisclosed",V34="Missing",V34="Changed after unblinding",W34="Material shared-model generation undisclosed",Y34="No protected reporting channel",Z34="No anonymity/confidentiality protection",AA34="No anti-retaliation safeguard"),"Inadequate",IF(OR(E34="Joint with firewall",F34="Independent with security redaction only",G34="Joint with public rules",K34&lt;&gt;"",AND(L34&lt;&gt;"",LOWER(L34)&lt;&gt;"none"),R34="Declared interest with enforceable firewall",S34="Conditional precommitment with disclosed limits",T34="Material assistance disclosed and separated",W34="Material shared-model generation disclosed",Z34="Not applicable with recorded rationale"),"Adequate with declared controls","Adequate"))))))</f>
        <v/>
      </c>
      <c r="P34" s="302">
        <f>IF(AND(O34="",N34=""),"",IF(AND(O34&lt;&gt;"",N34=""),"UNRECORDED",IF(AND(O34="",N34&lt;&gt;""),"ORPHAN_RECORDED",IF(O34=N34,"MATCH","MISMATCH"))))</f>
        <v/>
      </c>
      <c r="Q34" s="103" t="n"/>
      <c r="R34" s="253" t="n"/>
      <c r="S34" s="254" t="n"/>
      <c r="T34" s="254" t="n"/>
      <c r="U34" s="255" t="n"/>
      <c r="X34" s="303">
        <f>IF(COUNTA(E34:J34)+COUNTA(R34:T34)+COUNTA(V34:W34)+COUNTA(Y34:AA34)=0,"",IF(AND(COUNTIF(Vocabulary!$S$5:$S$8,E34)=1,COUNTIF(Vocabulary!$T$5:$T$8,F34)=1,COUNTIF(Vocabulary!$U$5:$U$8,G34)=1,COUNTIF(Vocabulary!$J$5:$J$6,H34)=1,COUNTIF(Vocabulary!$J$5:$J$6,I34)=1,COUNTIF(Vocabulary!$J$5:$J$6,J34)=1,COUNTIF(Vocabulary!$W$5:$W$8,R34)=1,COUNTIF(Vocabulary!$X$5:$X$8,S34)=1,COUNTIF(Vocabulary!$Y$5:$Y$9,T34)=1,COUNTIF(Vocabulary!$Z$5:$Z$8,V34)=1,COUNTIF(Vocabulary!$AA$5:$AA$9,W34)=1,COUNTIF(Vocabulary!$AB$5:$AB$7,Y34)=1,COUNTIF(Vocabulary!$AC$5:$AC$8,Z34)=1,COUNTIF(Vocabulary!$AD$5:$AD$7,AA34)=1),"OK","UNRECOGNISED_CONTROL_VALUE"))</f>
        <v/>
      </c>
      <c r="Y34" s="303" t="n"/>
      <c r="Z34" s="303" t="n"/>
      <c r="AA34" s="303" t="n"/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6" t="n"/>
      <c r="L35" s="356" t="n"/>
      <c r="M35" s="356" t="n"/>
      <c r="N35" s="356" t="n"/>
      <c r="O35" s="302">
        <f>IF(COUNTA(A35:N35)+COUNTA(Q35:W35)+COUNTA(Y35:AA35)=0,"",IF(OR(LEN(TRIM(A35))=0,LEN(TRIM(B35))=0,LEN(TRIM(C35))=0,LEN(TRIM(D35))=0,LEN(TRIM(E35))=0,LEN(TRIM(F35))=0,LEN(TRIM(G35))=0,LEN(TRIM(H35))=0,LEN(TRIM(I35))=0,LEN(TRIM(J35))=0,LEN(TRIM(R35))=0,LEN(TRIM(S35))=0,LEN(TRIM(T35))=0,LEN(TRIM(V35))=0,LEN(TRIM(W35))=0,LEN(TRIM(Y35))=0,LEN(TRIM(Z35))=0,LEN(TRIM(AA35))=0),"Indeterminate",IF(X35&lt;&gt;"OK","Indeterminate",IF(OR(E35="Indeterminate",F35="Indeterminate",G35="Indeterminate",R35="Indeterminate",S35="Indeterminate",T35="Indeterminate",V35="Indeterminate",W35="Indeterminate",Y35="Indeterminate",Z35="Indeterminate",AA35="Indeterminate"),"Indeterminate",IF(OR(E35="Sponsor controlled - invalid",F35="Sponsor veto - invalid",G35="Sponsor/candidate controlled - invalid",H35&lt;&gt;"Yes",I35&lt;&gt;"Yes",J35&lt;&gt;"Yes",R35="Predetermined outcome - invalid",S35="No credible precommitment",T35="Material assistance undisclosed",V35="Missing",V35="Changed after unblinding",W35="Material shared-model generation undisclosed",Y35="No protected reporting channel",Z35="No anonymity/confidentiality protection",AA35="No anti-retaliation safeguard"),"Inadequate",IF(OR(E35="Joint with firewall",F35="Independent with security redaction only",G35="Joint with public rules",K35&lt;&gt;"",AND(L35&lt;&gt;"",LOWER(L35)&lt;&gt;"none"),R35="Declared interest with enforceable firewall",S35="Conditional precommitment with disclosed limits",T35="Material assistance disclosed and separated",W35="Material shared-model generation disclosed",Z35="Not applicable with recorded rationale"),"Adequate with declared controls","Adequate"))))))</f>
        <v/>
      </c>
      <c r="P35" s="302">
        <f>IF(AND(O35="",N35=""),"",IF(AND(O35&lt;&gt;"",N35=""),"UNRECORDED",IF(AND(O35="",N35&lt;&gt;""),"ORPHAN_RECORDED",IF(O35=N35,"MATCH","MISMATCH"))))</f>
        <v/>
      </c>
      <c r="Q35" s="103" t="n"/>
      <c r="R35" s="253" t="n"/>
      <c r="S35" s="254" t="n"/>
      <c r="T35" s="254" t="n"/>
      <c r="U35" s="255" t="n"/>
      <c r="X35" s="303">
        <f>IF(COUNTA(E35:J35)+COUNTA(R35:T35)+COUNTA(V35:W35)+COUNTA(Y35:AA35)=0,"",IF(AND(COUNTIF(Vocabulary!$S$5:$S$8,E35)=1,COUNTIF(Vocabulary!$T$5:$T$8,F35)=1,COUNTIF(Vocabulary!$U$5:$U$8,G35)=1,COUNTIF(Vocabulary!$J$5:$J$6,H35)=1,COUNTIF(Vocabulary!$J$5:$J$6,I35)=1,COUNTIF(Vocabulary!$J$5:$J$6,J35)=1,COUNTIF(Vocabulary!$W$5:$W$8,R35)=1,COUNTIF(Vocabulary!$X$5:$X$8,S35)=1,COUNTIF(Vocabulary!$Y$5:$Y$9,T35)=1,COUNTIF(Vocabulary!$Z$5:$Z$8,V35)=1,COUNTIF(Vocabulary!$AA$5:$AA$9,W35)=1,COUNTIF(Vocabulary!$AB$5:$AB$7,Y35)=1,COUNTIF(Vocabulary!$AC$5:$AC$8,Z35)=1,COUNTIF(Vocabulary!$AD$5:$AD$7,AA35)=1),"OK","UNRECOGNISED_CONTROL_VALUE"))</f>
        <v/>
      </c>
      <c r="Y35" s="303" t="n"/>
      <c r="Z35" s="303" t="n"/>
      <c r="AA35" s="303" t="n"/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56" t="n"/>
      <c r="I36" s="356" t="n"/>
      <c r="J36" s="356" t="n"/>
      <c r="K36" s="356" t="n"/>
      <c r="L36" s="356" t="n"/>
      <c r="M36" s="356" t="n"/>
      <c r="N36" s="356" t="n"/>
      <c r="O36" s="302">
        <f>IF(COUNTA(A36:N36)+COUNTA(Q36:W36)+COUNTA(Y36:AA36)=0,"",IF(OR(LEN(TRIM(A36))=0,LEN(TRIM(B36))=0,LEN(TRIM(C36))=0,LEN(TRIM(D36))=0,LEN(TRIM(E36))=0,LEN(TRIM(F36))=0,LEN(TRIM(G36))=0,LEN(TRIM(H36))=0,LEN(TRIM(I36))=0,LEN(TRIM(J36))=0,LEN(TRIM(R36))=0,LEN(TRIM(S36))=0,LEN(TRIM(T36))=0,LEN(TRIM(V36))=0,LEN(TRIM(W36))=0,LEN(TRIM(Y36))=0,LEN(TRIM(Z36))=0,LEN(TRIM(AA36))=0),"Indeterminate",IF(X36&lt;&gt;"OK","Indeterminate",IF(OR(E36="Indeterminate",F36="Indeterminate",G36="Indeterminate",R36="Indeterminate",S36="Indeterminate",T36="Indeterminate",V36="Indeterminate",W36="Indeterminate",Y36="Indeterminate",Z36="Indeterminate",AA36="Indeterminate"),"Indeterminate",IF(OR(E36="Sponsor controlled - invalid",F36="Sponsor veto - invalid",G36="Sponsor/candidate controlled - invalid",H36&lt;&gt;"Yes",I36&lt;&gt;"Yes",J36&lt;&gt;"Yes",R36="Predetermined outcome - invalid",S36="No credible precommitment",T36="Material assistance undisclosed",V36="Missing",V36="Changed after unblinding",W36="Material shared-model generation undisclosed",Y36="No protected reporting channel",Z36="No anonymity/confidentiality protection",AA36="No anti-retaliation safeguard"),"Inadequate",IF(OR(E36="Joint with firewall",F36="Independent with security redaction only",G36="Joint with public rules",K36&lt;&gt;"",AND(L36&lt;&gt;"",LOWER(L36)&lt;&gt;"none"),R36="Declared interest with enforceable firewall",S36="Conditional precommitment with disclosed limits",T36="Material assistance disclosed and separated",W36="Material shared-model generation disclosed",Z36="Not applicable with recorded rationale"),"Adequate with declared controls","Adequate"))))))</f>
        <v/>
      </c>
      <c r="P36" s="302">
        <f>IF(AND(O36="",N36=""),"",IF(AND(O36&lt;&gt;"",N36=""),"UNRECORDED",IF(AND(O36="",N36&lt;&gt;""),"ORPHAN_RECORDED",IF(O36=N36,"MATCH","MISMATCH"))))</f>
        <v/>
      </c>
      <c r="Q36" s="103" t="n"/>
      <c r="R36" s="253" t="n"/>
      <c r="S36" s="254" t="n"/>
      <c r="T36" s="254" t="n"/>
      <c r="U36" s="255" t="n"/>
      <c r="X36" s="303">
        <f>IF(COUNTA(E36:J36)+COUNTA(R36:T36)+COUNTA(V36:W36)+COUNTA(Y36:AA36)=0,"",IF(AND(COUNTIF(Vocabulary!$S$5:$S$8,E36)=1,COUNTIF(Vocabulary!$T$5:$T$8,F36)=1,COUNTIF(Vocabulary!$U$5:$U$8,G36)=1,COUNTIF(Vocabulary!$J$5:$J$6,H36)=1,COUNTIF(Vocabulary!$J$5:$J$6,I36)=1,COUNTIF(Vocabulary!$J$5:$J$6,J36)=1,COUNTIF(Vocabulary!$W$5:$W$8,R36)=1,COUNTIF(Vocabulary!$X$5:$X$8,S36)=1,COUNTIF(Vocabulary!$Y$5:$Y$9,T36)=1,COUNTIF(Vocabulary!$Z$5:$Z$8,V36)=1,COUNTIF(Vocabulary!$AA$5:$AA$9,W36)=1,COUNTIF(Vocabulary!$AB$5:$AB$7,Y36)=1,COUNTIF(Vocabulary!$AC$5:$AC$8,Z36)=1,COUNTIF(Vocabulary!$AD$5:$AD$7,AA36)=1),"OK","UNRECOGNISED_CONTROL_VALUE"))</f>
        <v/>
      </c>
      <c r="Y36" s="303" t="n"/>
      <c r="Z36" s="303" t="n"/>
      <c r="AA36" s="303" t="n"/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6" t="n"/>
      <c r="L37" s="356" t="n"/>
      <c r="M37" s="356" t="n"/>
      <c r="N37" s="356" t="n"/>
      <c r="O37" s="302">
        <f>IF(COUNTA(A37:N37)+COUNTA(Q37:W37)+COUNTA(Y37:AA37)=0,"",IF(OR(LEN(TRIM(A37))=0,LEN(TRIM(B37))=0,LEN(TRIM(C37))=0,LEN(TRIM(D37))=0,LEN(TRIM(E37))=0,LEN(TRIM(F37))=0,LEN(TRIM(G37))=0,LEN(TRIM(H37))=0,LEN(TRIM(I37))=0,LEN(TRIM(J37))=0,LEN(TRIM(R37))=0,LEN(TRIM(S37))=0,LEN(TRIM(T37))=0,LEN(TRIM(V37))=0,LEN(TRIM(W37))=0,LEN(TRIM(Y37))=0,LEN(TRIM(Z37))=0,LEN(TRIM(AA37))=0),"Indeterminate",IF(X37&lt;&gt;"OK","Indeterminate",IF(OR(E37="Indeterminate",F37="Indeterminate",G37="Indeterminate",R37="Indeterminate",S37="Indeterminate",T37="Indeterminate",V37="Indeterminate",W37="Indeterminate",Y37="Indeterminate",Z37="Indeterminate",AA37="Indeterminate"),"Indeterminate",IF(OR(E37="Sponsor controlled - invalid",F37="Sponsor veto - invalid",G37="Sponsor/candidate controlled - invalid",H37&lt;&gt;"Yes",I37&lt;&gt;"Yes",J37&lt;&gt;"Yes",R37="Predetermined outcome - invalid",S37="No credible precommitment",T37="Material assistance undisclosed",V37="Missing",V37="Changed after unblinding",W37="Material shared-model generation undisclosed",Y37="No protected reporting channel",Z37="No anonymity/confidentiality protection",AA37="No anti-retaliation safeguard"),"Inadequate",IF(OR(E37="Joint with firewall",F37="Independent with security redaction only",G37="Joint with public rules",K37&lt;&gt;"",AND(L37&lt;&gt;"",LOWER(L37)&lt;&gt;"none"),R37="Declared interest with enforceable firewall",S37="Conditional precommitment with disclosed limits",T37="Material assistance disclosed and separated",W37="Material shared-model generation disclosed",Z37="Not applicable with recorded rationale"),"Adequate with declared controls","Adequate"))))))</f>
        <v/>
      </c>
      <c r="P37" s="302">
        <f>IF(AND(O37="",N37=""),"",IF(AND(O37&lt;&gt;"",N37=""),"UNRECORDED",IF(AND(O37="",N37&lt;&gt;""),"ORPHAN_RECORDED",IF(O37=N37,"MATCH","MISMATCH"))))</f>
        <v/>
      </c>
      <c r="Q37" s="103" t="n"/>
      <c r="R37" s="253" t="n"/>
      <c r="S37" s="254" t="n"/>
      <c r="T37" s="254" t="n"/>
      <c r="U37" s="255" t="n"/>
      <c r="X37" s="303">
        <f>IF(COUNTA(E37:J37)+COUNTA(R37:T37)+COUNTA(V37:W37)+COUNTA(Y37:AA37)=0,"",IF(AND(COUNTIF(Vocabulary!$S$5:$S$8,E37)=1,COUNTIF(Vocabulary!$T$5:$T$8,F37)=1,COUNTIF(Vocabulary!$U$5:$U$8,G37)=1,COUNTIF(Vocabulary!$J$5:$J$6,H37)=1,COUNTIF(Vocabulary!$J$5:$J$6,I37)=1,COUNTIF(Vocabulary!$J$5:$J$6,J37)=1,COUNTIF(Vocabulary!$W$5:$W$8,R37)=1,COUNTIF(Vocabulary!$X$5:$X$8,S37)=1,COUNTIF(Vocabulary!$Y$5:$Y$9,T37)=1,COUNTIF(Vocabulary!$Z$5:$Z$8,V37)=1,COUNTIF(Vocabulary!$AA$5:$AA$9,W37)=1,COUNTIF(Vocabulary!$AB$5:$AB$7,Y37)=1,COUNTIF(Vocabulary!$AC$5:$AC$8,Z37)=1,COUNTIF(Vocabulary!$AD$5:$AD$7,AA37)=1),"OK","UNRECOGNISED_CONTROL_VALUE"))</f>
        <v/>
      </c>
      <c r="Y37" s="303" t="n"/>
      <c r="Z37" s="303" t="n"/>
      <c r="AA37" s="303" t="n"/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56" t="n"/>
      <c r="I38" s="356" t="n"/>
      <c r="J38" s="356" t="n"/>
      <c r="K38" s="356" t="n"/>
      <c r="L38" s="356" t="n"/>
      <c r="M38" s="356" t="n"/>
      <c r="N38" s="356" t="n"/>
      <c r="O38" s="302">
        <f>IF(COUNTA(A38:N38)+COUNTA(Q38:W38)+COUNTA(Y38:AA38)=0,"",IF(OR(LEN(TRIM(A38))=0,LEN(TRIM(B38))=0,LEN(TRIM(C38))=0,LEN(TRIM(D38))=0,LEN(TRIM(E38))=0,LEN(TRIM(F38))=0,LEN(TRIM(G38))=0,LEN(TRIM(H38))=0,LEN(TRIM(I38))=0,LEN(TRIM(J38))=0,LEN(TRIM(R38))=0,LEN(TRIM(S38))=0,LEN(TRIM(T38))=0,LEN(TRIM(V38))=0,LEN(TRIM(W38))=0,LEN(TRIM(Y38))=0,LEN(TRIM(Z38))=0,LEN(TRIM(AA38))=0),"Indeterminate",IF(X38&lt;&gt;"OK","Indeterminate",IF(OR(E38="Indeterminate",F38="Indeterminate",G38="Indeterminate",R38="Indeterminate",S38="Indeterminate",T38="Indeterminate",V38="Indeterminate",W38="Indeterminate",Y38="Indeterminate",Z38="Indeterminate",AA38="Indeterminate"),"Indeterminate",IF(OR(E38="Sponsor controlled - invalid",F38="Sponsor veto - invalid",G38="Sponsor/candidate controlled - invalid",H38&lt;&gt;"Yes",I38&lt;&gt;"Yes",J38&lt;&gt;"Yes",R38="Predetermined outcome - invalid",S38="No credible precommitment",T38="Material assistance undisclosed",V38="Missing",V38="Changed after unblinding",W38="Material shared-model generation undisclosed",Y38="No protected reporting channel",Z38="No anonymity/confidentiality protection",AA38="No anti-retaliation safeguard"),"Inadequate",IF(OR(E38="Joint with firewall",F38="Independent with security redaction only",G38="Joint with public rules",K38&lt;&gt;"",AND(L38&lt;&gt;"",LOWER(L38)&lt;&gt;"none"),R38="Declared interest with enforceable firewall",S38="Conditional precommitment with disclosed limits",T38="Material assistance disclosed and separated",W38="Material shared-model generation disclosed",Z38="Not applicable with recorded rationale"),"Adequate with declared controls","Adequate"))))))</f>
        <v/>
      </c>
      <c r="P38" s="302">
        <f>IF(AND(O38="",N38=""),"",IF(AND(O38&lt;&gt;"",N38=""),"UNRECORDED",IF(AND(O38="",N38&lt;&gt;""),"ORPHAN_RECORDED",IF(O38=N38,"MATCH","MISMATCH"))))</f>
        <v/>
      </c>
      <c r="Q38" s="103" t="n"/>
      <c r="R38" s="253" t="n"/>
      <c r="S38" s="254" t="n"/>
      <c r="T38" s="254" t="n"/>
      <c r="U38" s="255" t="n"/>
      <c r="X38" s="303">
        <f>IF(COUNTA(E38:J38)+COUNTA(R38:T38)+COUNTA(V38:W38)+COUNTA(Y38:AA38)=0,"",IF(AND(COUNTIF(Vocabulary!$S$5:$S$8,E38)=1,COUNTIF(Vocabulary!$T$5:$T$8,F38)=1,COUNTIF(Vocabulary!$U$5:$U$8,G38)=1,COUNTIF(Vocabulary!$J$5:$J$6,H38)=1,COUNTIF(Vocabulary!$J$5:$J$6,I38)=1,COUNTIF(Vocabulary!$J$5:$J$6,J38)=1,COUNTIF(Vocabulary!$W$5:$W$8,R38)=1,COUNTIF(Vocabulary!$X$5:$X$8,S38)=1,COUNTIF(Vocabulary!$Y$5:$Y$9,T38)=1,COUNTIF(Vocabulary!$Z$5:$Z$8,V38)=1,COUNTIF(Vocabulary!$AA$5:$AA$9,W38)=1,COUNTIF(Vocabulary!$AB$5:$AB$7,Y38)=1,COUNTIF(Vocabulary!$AC$5:$AC$8,Z38)=1,COUNTIF(Vocabulary!$AD$5:$AD$7,AA38)=1),"OK","UNRECOGNISED_CONTROL_VALUE"))</f>
        <v/>
      </c>
      <c r="Y38" s="303" t="n"/>
      <c r="Z38" s="303" t="n"/>
      <c r="AA38" s="303" t="n"/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56" t="n"/>
      <c r="I39" s="356" t="n"/>
      <c r="J39" s="356" t="n"/>
      <c r="K39" s="356" t="n"/>
      <c r="L39" s="356" t="n"/>
      <c r="M39" s="356" t="n"/>
      <c r="N39" s="356" t="n"/>
      <c r="O39" s="302">
        <f>IF(COUNTA(A39:N39)+COUNTA(Q39:W39)+COUNTA(Y39:AA39)=0,"",IF(OR(LEN(TRIM(A39))=0,LEN(TRIM(B39))=0,LEN(TRIM(C39))=0,LEN(TRIM(D39))=0,LEN(TRIM(E39))=0,LEN(TRIM(F39))=0,LEN(TRIM(G39))=0,LEN(TRIM(H39))=0,LEN(TRIM(I39))=0,LEN(TRIM(J39))=0,LEN(TRIM(R39))=0,LEN(TRIM(S39))=0,LEN(TRIM(T39))=0,LEN(TRIM(V39))=0,LEN(TRIM(W39))=0,LEN(TRIM(Y39))=0,LEN(TRIM(Z39))=0,LEN(TRIM(AA39))=0),"Indeterminate",IF(X39&lt;&gt;"OK","Indeterminate",IF(OR(E39="Indeterminate",F39="Indeterminate",G39="Indeterminate",R39="Indeterminate",S39="Indeterminate",T39="Indeterminate",V39="Indeterminate",W39="Indeterminate",Y39="Indeterminate",Z39="Indeterminate",AA39="Indeterminate"),"Indeterminate",IF(OR(E39="Sponsor controlled - invalid",F39="Sponsor veto - invalid",G39="Sponsor/candidate controlled - invalid",H39&lt;&gt;"Yes",I39&lt;&gt;"Yes",J39&lt;&gt;"Yes",R39="Predetermined outcome - invalid",S39="No credible precommitment",T39="Material assistance undisclosed",V39="Missing",V39="Changed after unblinding",W39="Material shared-model generation undisclosed",Y39="No protected reporting channel",Z39="No anonymity/confidentiality protection",AA39="No anti-retaliation safeguard"),"Inadequate",IF(OR(E39="Joint with firewall",F39="Independent with security redaction only",G39="Joint with public rules",K39&lt;&gt;"",AND(L39&lt;&gt;"",LOWER(L39)&lt;&gt;"none"),R39="Declared interest with enforceable firewall",S39="Conditional precommitment with disclosed limits",T39="Material assistance disclosed and separated",W39="Material shared-model generation disclosed",Z39="Not applicable with recorded rationale"),"Adequate with declared controls","Adequate"))))))</f>
        <v/>
      </c>
      <c r="P39" s="302">
        <f>IF(AND(O39="",N39=""),"",IF(AND(O39&lt;&gt;"",N39=""),"UNRECORDED",IF(AND(O39="",N39&lt;&gt;""),"ORPHAN_RECORDED",IF(O39=N39,"MATCH","MISMATCH"))))</f>
        <v/>
      </c>
      <c r="Q39" s="103" t="n"/>
      <c r="R39" s="253" t="n"/>
      <c r="S39" s="254" t="n"/>
      <c r="T39" s="254" t="n"/>
      <c r="U39" s="255" t="n"/>
      <c r="X39" s="303">
        <f>IF(COUNTA(E39:J39)+COUNTA(R39:T39)+COUNTA(V39:W39)+COUNTA(Y39:AA39)=0,"",IF(AND(COUNTIF(Vocabulary!$S$5:$S$8,E39)=1,COUNTIF(Vocabulary!$T$5:$T$8,F39)=1,COUNTIF(Vocabulary!$U$5:$U$8,G39)=1,COUNTIF(Vocabulary!$J$5:$J$6,H39)=1,COUNTIF(Vocabulary!$J$5:$J$6,I39)=1,COUNTIF(Vocabulary!$J$5:$J$6,J39)=1,COUNTIF(Vocabulary!$W$5:$W$8,R39)=1,COUNTIF(Vocabulary!$X$5:$X$8,S39)=1,COUNTIF(Vocabulary!$Y$5:$Y$9,T39)=1,COUNTIF(Vocabulary!$Z$5:$Z$8,V39)=1,COUNTIF(Vocabulary!$AA$5:$AA$9,W39)=1,COUNTIF(Vocabulary!$AB$5:$AB$7,Y39)=1,COUNTIF(Vocabulary!$AC$5:$AC$8,Z39)=1,COUNTIF(Vocabulary!$AD$5:$AD$7,AA39)=1),"OK","UNRECOGNISED_CONTROL_VALUE"))</f>
        <v/>
      </c>
      <c r="Y39" s="303" t="n"/>
      <c r="Z39" s="303" t="n"/>
      <c r="AA39" s="303" t="n"/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56" t="n"/>
      <c r="I40" s="356" t="n"/>
      <c r="J40" s="356" t="n"/>
      <c r="K40" s="356" t="n"/>
      <c r="L40" s="356" t="n"/>
      <c r="M40" s="356" t="n"/>
      <c r="N40" s="356" t="n"/>
      <c r="O40" s="302">
        <f>IF(COUNTA(A40:N40)+COUNTA(Q40:W40)+COUNTA(Y40:AA40)=0,"",IF(OR(LEN(TRIM(A40))=0,LEN(TRIM(B40))=0,LEN(TRIM(C40))=0,LEN(TRIM(D40))=0,LEN(TRIM(E40))=0,LEN(TRIM(F40))=0,LEN(TRIM(G40))=0,LEN(TRIM(H40))=0,LEN(TRIM(I40))=0,LEN(TRIM(J40))=0,LEN(TRIM(R40))=0,LEN(TRIM(S40))=0,LEN(TRIM(T40))=0,LEN(TRIM(V40))=0,LEN(TRIM(W40))=0,LEN(TRIM(Y40))=0,LEN(TRIM(Z40))=0,LEN(TRIM(AA40))=0),"Indeterminate",IF(X40&lt;&gt;"OK","Indeterminate",IF(OR(E40="Indeterminate",F40="Indeterminate",G40="Indeterminate",R40="Indeterminate",S40="Indeterminate",T40="Indeterminate",V40="Indeterminate",W40="Indeterminate",Y40="Indeterminate",Z40="Indeterminate",AA40="Indeterminate"),"Indeterminate",IF(OR(E40="Sponsor controlled - invalid",F40="Sponsor veto - invalid",G40="Sponsor/candidate controlled - invalid",H40&lt;&gt;"Yes",I40&lt;&gt;"Yes",J40&lt;&gt;"Yes",R40="Predetermined outcome - invalid",S40="No credible precommitment",T40="Material assistance undisclosed",V40="Missing",V40="Changed after unblinding",W40="Material shared-model generation undisclosed",Y40="No protected reporting channel",Z40="No anonymity/confidentiality protection",AA40="No anti-retaliation safeguard"),"Inadequate",IF(OR(E40="Joint with firewall",F40="Independent with security redaction only",G40="Joint with public rules",K40&lt;&gt;"",AND(L40&lt;&gt;"",LOWER(L40)&lt;&gt;"none"),R40="Declared interest with enforceable firewall",S40="Conditional precommitment with disclosed limits",T40="Material assistance disclosed and separated",W40="Material shared-model generation disclosed",Z40="Not applicable with recorded rationale"),"Adequate with declared controls","Adequate"))))))</f>
        <v/>
      </c>
      <c r="P40" s="302">
        <f>IF(AND(O40="",N40=""),"",IF(AND(O40&lt;&gt;"",N40=""),"UNRECORDED",IF(AND(O40="",N40&lt;&gt;""),"ORPHAN_RECORDED",IF(O40=N40,"MATCH","MISMATCH"))))</f>
        <v/>
      </c>
      <c r="Q40" s="103" t="n"/>
      <c r="R40" s="253" t="n"/>
      <c r="S40" s="254" t="n"/>
      <c r="T40" s="254" t="n"/>
      <c r="U40" s="255" t="n"/>
      <c r="X40" s="303">
        <f>IF(COUNTA(E40:J40)+COUNTA(R40:T40)+COUNTA(V40:W40)+COUNTA(Y40:AA40)=0,"",IF(AND(COUNTIF(Vocabulary!$S$5:$S$8,E40)=1,COUNTIF(Vocabulary!$T$5:$T$8,F40)=1,COUNTIF(Vocabulary!$U$5:$U$8,G40)=1,COUNTIF(Vocabulary!$J$5:$J$6,H40)=1,COUNTIF(Vocabulary!$J$5:$J$6,I40)=1,COUNTIF(Vocabulary!$J$5:$J$6,J40)=1,COUNTIF(Vocabulary!$W$5:$W$8,R40)=1,COUNTIF(Vocabulary!$X$5:$X$8,S40)=1,COUNTIF(Vocabulary!$Y$5:$Y$9,T40)=1,COUNTIF(Vocabulary!$Z$5:$Z$8,V40)=1,COUNTIF(Vocabulary!$AA$5:$AA$9,W40)=1,COUNTIF(Vocabulary!$AB$5:$AB$7,Y40)=1,COUNTIF(Vocabulary!$AC$5:$AC$8,Z40)=1,COUNTIF(Vocabulary!$AD$5:$AD$7,AA40)=1),"OK","UNRECOGNISED_CONTROL_VALUE"))</f>
        <v/>
      </c>
      <c r="Y40" s="303" t="n"/>
      <c r="Z40" s="303" t="n"/>
      <c r="AA40" s="303" t="n"/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02">
        <f>IF(COUNTA(A41:N41)+COUNTA(Q41:W41)+COUNTA(Y41:AA41)=0,"",IF(OR(LEN(TRIM(A41))=0,LEN(TRIM(B41))=0,LEN(TRIM(C41))=0,LEN(TRIM(D41))=0,LEN(TRIM(E41))=0,LEN(TRIM(F41))=0,LEN(TRIM(G41))=0,LEN(TRIM(H41))=0,LEN(TRIM(I41))=0,LEN(TRIM(J41))=0,LEN(TRIM(R41))=0,LEN(TRIM(S41))=0,LEN(TRIM(T41))=0,LEN(TRIM(V41))=0,LEN(TRIM(W41))=0,LEN(TRIM(Y41))=0,LEN(TRIM(Z41))=0,LEN(TRIM(AA41))=0),"Indeterminate",IF(X41&lt;&gt;"OK","Indeterminate",IF(OR(E41="Indeterminate",F41="Indeterminate",G41="Indeterminate",R41="Indeterminate",S41="Indeterminate",T41="Indeterminate",V41="Indeterminate",W41="Indeterminate",Y41="Indeterminate",Z41="Indeterminate",AA41="Indeterminate"),"Indeterminate",IF(OR(E41="Sponsor controlled - invalid",F41="Sponsor veto - invalid",G41="Sponsor/candidate controlled - invalid",H41&lt;&gt;"Yes",I41&lt;&gt;"Yes",J41&lt;&gt;"Yes",R41="Predetermined outcome - invalid",S41="No credible precommitment",T41="Material assistance undisclosed",V41="Missing",V41="Changed after unblinding",W41="Material shared-model generation undisclosed",Y41="No protected reporting channel",Z41="No anonymity/confidentiality protection",AA41="No anti-retaliation safeguard"),"Inadequate",IF(OR(E41="Joint with firewall",F41="Independent with security redaction only",G41="Joint with public rules",K41&lt;&gt;"",AND(L41&lt;&gt;"",LOWER(L41)&lt;&gt;"none"),R41="Declared interest with enforceable firewall",S41="Conditional precommitment with disclosed limits",T41="Material assistance disclosed and separated",W41="Material shared-model generation disclosed",Z41="Not applicable with recorded rationale"),"Adequate with declared controls","Adequate"))))))</f>
        <v/>
      </c>
      <c r="P41" s="302">
        <f>IF(AND(O41="",N41=""),"",IF(AND(O41&lt;&gt;"",N41=""),"UNRECORDED",IF(AND(O41="",N41&lt;&gt;""),"ORPHAN_RECORDED",IF(O41=N41,"MATCH","MISMATCH"))))</f>
        <v/>
      </c>
      <c r="Q41" s="103" t="n"/>
      <c r="R41" s="253" t="n"/>
      <c r="S41" s="254" t="n"/>
      <c r="T41" s="254" t="n"/>
      <c r="U41" s="255" t="n"/>
      <c r="X41" s="303">
        <f>IF(COUNTA(E41:J41)+COUNTA(R41:T41)+COUNTA(V41:W41)+COUNTA(Y41:AA41)=0,"",IF(AND(COUNTIF(Vocabulary!$S$5:$S$8,E41)=1,COUNTIF(Vocabulary!$T$5:$T$8,F41)=1,COUNTIF(Vocabulary!$U$5:$U$8,G41)=1,COUNTIF(Vocabulary!$J$5:$J$6,H41)=1,COUNTIF(Vocabulary!$J$5:$J$6,I41)=1,COUNTIF(Vocabulary!$J$5:$J$6,J41)=1,COUNTIF(Vocabulary!$W$5:$W$8,R41)=1,COUNTIF(Vocabulary!$X$5:$X$8,S41)=1,COUNTIF(Vocabulary!$Y$5:$Y$9,T41)=1,COUNTIF(Vocabulary!$Z$5:$Z$8,V41)=1,COUNTIF(Vocabulary!$AA$5:$AA$9,W41)=1,COUNTIF(Vocabulary!$AB$5:$AB$7,Y41)=1,COUNTIF(Vocabulary!$AC$5:$AC$8,Z41)=1,COUNTIF(Vocabulary!$AD$5:$AD$7,AA41)=1),"OK","UNRECOGNISED_CONTROL_VALUE"))</f>
        <v/>
      </c>
      <c r="Y41" s="303" t="n"/>
      <c r="Z41" s="303" t="n"/>
      <c r="AA41" s="303" t="n"/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02">
        <f>IF(COUNTA(A42:N42)+COUNTA(Q42:W42)+COUNTA(Y42:AA42)=0,"",IF(OR(LEN(TRIM(A42))=0,LEN(TRIM(B42))=0,LEN(TRIM(C42))=0,LEN(TRIM(D42))=0,LEN(TRIM(E42))=0,LEN(TRIM(F42))=0,LEN(TRIM(G42))=0,LEN(TRIM(H42))=0,LEN(TRIM(I42))=0,LEN(TRIM(J42))=0,LEN(TRIM(R42))=0,LEN(TRIM(S42))=0,LEN(TRIM(T42))=0,LEN(TRIM(V42))=0,LEN(TRIM(W42))=0,LEN(TRIM(Y42))=0,LEN(TRIM(Z42))=0,LEN(TRIM(AA42))=0),"Indeterminate",IF(X42&lt;&gt;"OK","Indeterminate",IF(OR(E42="Indeterminate",F42="Indeterminate",G42="Indeterminate",R42="Indeterminate",S42="Indeterminate",T42="Indeterminate",V42="Indeterminate",W42="Indeterminate",Y42="Indeterminate",Z42="Indeterminate",AA42="Indeterminate"),"Indeterminate",IF(OR(E42="Sponsor controlled - invalid",F42="Sponsor veto - invalid",G42="Sponsor/candidate controlled - invalid",H42&lt;&gt;"Yes",I42&lt;&gt;"Yes",J42&lt;&gt;"Yes",R42="Predetermined outcome - invalid",S42="No credible precommitment",T42="Material assistance undisclosed",V42="Missing",V42="Changed after unblinding",W42="Material shared-model generation undisclosed",Y42="No protected reporting channel",Z42="No anonymity/confidentiality protection",AA42="No anti-retaliation safeguard"),"Inadequate",IF(OR(E42="Joint with firewall",F42="Independent with security redaction only",G42="Joint with public rules",K42&lt;&gt;"",AND(L42&lt;&gt;"",LOWER(L42)&lt;&gt;"none"),R42="Declared interest with enforceable firewall",S42="Conditional precommitment with disclosed limits",T42="Material assistance disclosed and separated",W42="Material shared-model generation disclosed",Z42="Not applicable with recorded rationale"),"Adequate with declared controls","Adequate"))))))</f>
        <v/>
      </c>
      <c r="P42" s="302">
        <f>IF(AND(O42="",N42=""),"",IF(AND(O42&lt;&gt;"",N42=""),"UNRECORDED",IF(AND(O42="",N42&lt;&gt;""),"ORPHAN_RECORDED",IF(O42=N42,"MATCH","MISMATCH"))))</f>
        <v/>
      </c>
      <c r="Q42" s="103" t="n"/>
      <c r="R42" s="253" t="n"/>
      <c r="S42" s="254" t="n"/>
      <c r="T42" s="254" t="n"/>
      <c r="U42" s="255" t="n"/>
      <c r="X42" s="303">
        <f>IF(COUNTA(E42:J42)+COUNTA(R42:T42)+COUNTA(V42:W42)+COUNTA(Y42:AA42)=0,"",IF(AND(COUNTIF(Vocabulary!$S$5:$S$8,E42)=1,COUNTIF(Vocabulary!$T$5:$T$8,F42)=1,COUNTIF(Vocabulary!$U$5:$U$8,G42)=1,COUNTIF(Vocabulary!$J$5:$J$6,H42)=1,COUNTIF(Vocabulary!$J$5:$J$6,I42)=1,COUNTIF(Vocabulary!$J$5:$J$6,J42)=1,COUNTIF(Vocabulary!$W$5:$W$8,R42)=1,COUNTIF(Vocabulary!$X$5:$X$8,S42)=1,COUNTIF(Vocabulary!$Y$5:$Y$9,T42)=1,COUNTIF(Vocabulary!$Z$5:$Z$8,V42)=1,COUNTIF(Vocabulary!$AA$5:$AA$9,W42)=1,COUNTIF(Vocabulary!$AB$5:$AB$7,Y42)=1,COUNTIF(Vocabulary!$AC$5:$AC$8,Z42)=1,COUNTIF(Vocabulary!$AD$5:$AD$7,AA42)=1),"OK","UNRECOGNISED_CONTROL_VALUE"))</f>
        <v/>
      </c>
      <c r="Y42" s="303" t="n"/>
      <c r="Z42" s="303" t="n"/>
      <c r="AA42" s="303" t="n"/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56" t="n"/>
      <c r="I43" s="356" t="n"/>
      <c r="J43" s="356" t="n"/>
      <c r="K43" s="356" t="n"/>
      <c r="L43" s="356" t="n"/>
      <c r="M43" s="356" t="n"/>
      <c r="N43" s="356" t="n"/>
      <c r="O43" s="302">
        <f>IF(COUNTA(A43:N43)+COUNTA(Q43:W43)+COUNTA(Y43:AA43)=0,"",IF(OR(LEN(TRIM(A43))=0,LEN(TRIM(B43))=0,LEN(TRIM(C43))=0,LEN(TRIM(D43))=0,LEN(TRIM(E43))=0,LEN(TRIM(F43))=0,LEN(TRIM(G43))=0,LEN(TRIM(H43))=0,LEN(TRIM(I43))=0,LEN(TRIM(J43))=0,LEN(TRIM(R43))=0,LEN(TRIM(S43))=0,LEN(TRIM(T43))=0,LEN(TRIM(V43))=0,LEN(TRIM(W43))=0,LEN(TRIM(Y43))=0,LEN(TRIM(Z43))=0,LEN(TRIM(AA43))=0),"Indeterminate",IF(X43&lt;&gt;"OK","Indeterminate",IF(OR(E43="Indeterminate",F43="Indeterminate",G43="Indeterminate",R43="Indeterminate",S43="Indeterminate",T43="Indeterminate",V43="Indeterminate",W43="Indeterminate",Y43="Indeterminate",Z43="Indeterminate",AA43="Indeterminate"),"Indeterminate",IF(OR(E43="Sponsor controlled - invalid",F43="Sponsor veto - invalid",G43="Sponsor/candidate controlled - invalid",H43&lt;&gt;"Yes",I43&lt;&gt;"Yes",J43&lt;&gt;"Yes",R43="Predetermined outcome - invalid",S43="No credible precommitment",T43="Material assistance undisclosed",V43="Missing",V43="Changed after unblinding",W43="Material shared-model generation undisclosed",Y43="No protected reporting channel",Z43="No anonymity/confidentiality protection",AA43="No anti-retaliation safeguard"),"Inadequate",IF(OR(E43="Joint with firewall",F43="Independent with security redaction only",G43="Joint with public rules",K43&lt;&gt;"",AND(L43&lt;&gt;"",LOWER(L43)&lt;&gt;"none"),R43="Declared interest with enforceable firewall",S43="Conditional precommitment with disclosed limits",T43="Material assistance disclosed and separated",W43="Material shared-model generation disclosed",Z43="Not applicable with recorded rationale"),"Adequate with declared controls","Adequate"))))))</f>
        <v/>
      </c>
      <c r="P43" s="302">
        <f>IF(AND(O43="",N43=""),"",IF(AND(O43&lt;&gt;"",N43=""),"UNRECORDED",IF(AND(O43="",N43&lt;&gt;""),"ORPHAN_RECORDED",IF(O43=N43,"MATCH","MISMATCH"))))</f>
        <v/>
      </c>
      <c r="Q43" s="103" t="n"/>
      <c r="R43" s="253" t="n"/>
      <c r="S43" s="254" t="n"/>
      <c r="T43" s="254" t="n"/>
      <c r="U43" s="255" t="n"/>
      <c r="X43" s="303">
        <f>IF(COUNTA(E43:J43)+COUNTA(R43:T43)+COUNTA(V43:W43)+COUNTA(Y43:AA43)=0,"",IF(AND(COUNTIF(Vocabulary!$S$5:$S$8,E43)=1,COUNTIF(Vocabulary!$T$5:$T$8,F43)=1,COUNTIF(Vocabulary!$U$5:$U$8,G43)=1,COUNTIF(Vocabulary!$J$5:$J$6,H43)=1,COUNTIF(Vocabulary!$J$5:$J$6,I43)=1,COUNTIF(Vocabulary!$J$5:$J$6,J43)=1,COUNTIF(Vocabulary!$W$5:$W$8,R43)=1,COUNTIF(Vocabulary!$X$5:$X$8,S43)=1,COUNTIF(Vocabulary!$Y$5:$Y$9,T43)=1,COUNTIF(Vocabulary!$Z$5:$Z$8,V43)=1,COUNTIF(Vocabulary!$AA$5:$AA$9,W43)=1,COUNTIF(Vocabulary!$AB$5:$AB$7,Y43)=1,COUNTIF(Vocabulary!$AC$5:$AC$8,Z43)=1,COUNTIF(Vocabulary!$AD$5:$AD$7,AA43)=1),"OK","UNRECOGNISED_CONTROL_VALUE"))</f>
        <v/>
      </c>
      <c r="Y43" s="303" t="n"/>
      <c r="Z43" s="303" t="n"/>
      <c r="AA43" s="303" t="n"/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56" t="n"/>
      <c r="I44" s="356" t="n"/>
      <c r="J44" s="356" t="n"/>
      <c r="K44" s="356" t="n"/>
      <c r="L44" s="356" t="n"/>
      <c r="M44" s="356" t="n"/>
      <c r="N44" s="356" t="n"/>
      <c r="O44" s="302">
        <f>IF(COUNTA(A44:N44)+COUNTA(Q44:W44)+COUNTA(Y44:AA44)=0,"",IF(OR(LEN(TRIM(A44))=0,LEN(TRIM(B44))=0,LEN(TRIM(C44))=0,LEN(TRIM(D44))=0,LEN(TRIM(E44))=0,LEN(TRIM(F44))=0,LEN(TRIM(G44))=0,LEN(TRIM(H44))=0,LEN(TRIM(I44))=0,LEN(TRIM(J44))=0,LEN(TRIM(R44))=0,LEN(TRIM(S44))=0,LEN(TRIM(T44))=0,LEN(TRIM(V44))=0,LEN(TRIM(W44))=0,LEN(TRIM(Y44))=0,LEN(TRIM(Z44))=0,LEN(TRIM(AA44))=0),"Indeterminate",IF(X44&lt;&gt;"OK","Indeterminate",IF(OR(E44="Indeterminate",F44="Indeterminate",G44="Indeterminate",R44="Indeterminate",S44="Indeterminate",T44="Indeterminate",V44="Indeterminate",W44="Indeterminate",Y44="Indeterminate",Z44="Indeterminate",AA44="Indeterminate"),"Indeterminate",IF(OR(E44="Sponsor controlled - invalid",F44="Sponsor veto - invalid",G44="Sponsor/candidate controlled - invalid",H44&lt;&gt;"Yes",I44&lt;&gt;"Yes",J44&lt;&gt;"Yes",R44="Predetermined outcome - invalid",S44="No credible precommitment",T44="Material assistance undisclosed",V44="Missing",V44="Changed after unblinding",W44="Material shared-model generation undisclosed",Y44="No protected reporting channel",Z44="No anonymity/confidentiality protection",AA44="No anti-retaliation safeguard"),"Inadequate",IF(OR(E44="Joint with firewall",F44="Independent with security redaction only",G44="Joint with public rules",K44&lt;&gt;"",AND(L44&lt;&gt;"",LOWER(L44)&lt;&gt;"none"),R44="Declared interest with enforceable firewall",S44="Conditional precommitment with disclosed limits",T44="Material assistance disclosed and separated",W44="Material shared-model generation disclosed",Z44="Not applicable with recorded rationale"),"Adequate with declared controls","Adequate"))))))</f>
        <v/>
      </c>
      <c r="P44" s="302">
        <f>IF(AND(O44="",N44=""),"",IF(AND(O44&lt;&gt;"",N44=""),"UNRECORDED",IF(AND(O44="",N44&lt;&gt;""),"ORPHAN_RECORDED",IF(O44=N44,"MATCH","MISMATCH"))))</f>
        <v/>
      </c>
      <c r="Q44" s="103" t="n"/>
      <c r="R44" s="253" t="n"/>
      <c r="S44" s="254" t="n"/>
      <c r="T44" s="254" t="n"/>
      <c r="U44" s="255" t="n"/>
      <c r="X44" s="303">
        <f>IF(COUNTA(E44:J44)+COUNTA(R44:T44)+COUNTA(V44:W44)+COUNTA(Y44:AA44)=0,"",IF(AND(COUNTIF(Vocabulary!$S$5:$S$8,E44)=1,COUNTIF(Vocabulary!$T$5:$T$8,F44)=1,COUNTIF(Vocabulary!$U$5:$U$8,G44)=1,COUNTIF(Vocabulary!$J$5:$J$6,H44)=1,COUNTIF(Vocabulary!$J$5:$J$6,I44)=1,COUNTIF(Vocabulary!$J$5:$J$6,J44)=1,COUNTIF(Vocabulary!$W$5:$W$8,R44)=1,COUNTIF(Vocabulary!$X$5:$X$8,S44)=1,COUNTIF(Vocabulary!$Y$5:$Y$9,T44)=1,COUNTIF(Vocabulary!$Z$5:$Z$8,V44)=1,COUNTIF(Vocabulary!$AA$5:$AA$9,W44)=1,COUNTIF(Vocabulary!$AB$5:$AB$7,Y44)=1,COUNTIF(Vocabulary!$AC$5:$AC$8,Z44)=1,COUNTIF(Vocabulary!$AD$5:$AD$7,AA44)=1),"OK","UNRECOGNISED_CONTROL_VALUE"))</f>
        <v/>
      </c>
      <c r="Y44" s="303" t="n"/>
      <c r="Z44" s="303" t="n"/>
      <c r="AA44" s="303" t="n"/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56" t="n"/>
      <c r="I45" s="356" t="n"/>
      <c r="J45" s="356" t="n"/>
      <c r="K45" s="356" t="n"/>
      <c r="L45" s="356" t="n"/>
      <c r="M45" s="356" t="n"/>
      <c r="N45" s="356" t="n"/>
      <c r="O45" s="302">
        <f>IF(COUNTA(A45:N45)+COUNTA(Q45:W45)+COUNTA(Y45:AA45)=0,"",IF(OR(LEN(TRIM(A45))=0,LEN(TRIM(B45))=0,LEN(TRIM(C45))=0,LEN(TRIM(D45))=0,LEN(TRIM(E45))=0,LEN(TRIM(F45))=0,LEN(TRIM(G45))=0,LEN(TRIM(H45))=0,LEN(TRIM(I45))=0,LEN(TRIM(J45))=0,LEN(TRIM(R45))=0,LEN(TRIM(S45))=0,LEN(TRIM(T45))=0,LEN(TRIM(V45))=0,LEN(TRIM(W45))=0,LEN(TRIM(Y45))=0,LEN(TRIM(Z45))=0,LEN(TRIM(AA45))=0),"Indeterminate",IF(X45&lt;&gt;"OK","Indeterminate",IF(OR(E45="Indeterminate",F45="Indeterminate",G45="Indeterminate",R45="Indeterminate",S45="Indeterminate",T45="Indeterminate",V45="Indeterminate",W45="Indeterminate",Y45="Indeterminate",Z45="Indeterminate",AA45="Indeterminate"),"Indeterminate",IF(OR(E45="Sponsor controlled - invalid",F45="Sponsor veto - invalid",G45="Sponsor/candidate controlled - invalid",H45&lt;&gt;"Yes",I45&lt;&gt;"Yes",J45&lt;&gt;"Yes",R45="Predetermined outcome - invalid",S45="No credible precommitment",T45="Material assistance undisclosed",V45="Missing",V45="Changed after unblinding",W45="Material shared-model generation undisclosed",Y45="No protected reporting channel",Z45="No anonymity/confidentiality protection",AA45="No anti-retaliation safeguard"),"Inadequate",IF(OR(E45="Joint with firewall",F45="Independent with security redaction only",G45="Joint with public rules",K45&lt;&gt;"",AND(L45&lt;&gt;"",LOWER(L45)&lt;&gt;"none"),R45="Declared interest with enforceable firewall",S45="Conditional precommitment with disclosed limits",T45="Material assistance disclosed and separated",W45="Material shared-model generation disclosed",Z45="Not applicable with recorded rationale"),"Adequate with declared controls","Adequate"))))))</f>
        <v/>
      </c>
      <c r="P45" s="302">
        <f>IF(AND(O45="",N45=""),"",IF(AND(O45&lt;&gt;"",N45=""),"UNRECORDED",IF(AND(O45="",N45&lt;&gt;""),"ORPHAN_RECORDED",IF(O45=N45,"MATCH","MISMATCH"))))</f>
        <v/>
      </c>
      <c r="Q45" s="103" t="n"/>
      <c r="R45" s="253" t="n"/>
      <c r="S45" s="254" t="n"/>
      <c r="T45" s="254" t="n"/>
      <c r="U45" s="255" t="n"/>
      <c r="X45" s="303">
        <f>IF(COUNTA(E45:J45)+COUNTA(R45:T45)+COUNTA(V45:W45)+COUNTA(Y45:AA45)=0,"",IF(AND(COUNTIF(Vocabulary!$S$5:$S$8,E45)=1,COUNTIF(Vocabulary!$T$5:$T$8,F45)=1,COUNTIF(Vocabulary!$U$5:$U$8,G45)=1,COUNTIF(Vocabulary!$J$5:$J$6,H45)=1,COUNTIF(Vocabulary!$J$5:$J$6,I45)=1,COUNTIF(Vocabulary!$J$5:$J$6,J45)=1,COUNTIF(Vocabulary!$W$5:$W$8,R45)=1,COUNTIF(Vocabulary!$X$5:$X$8,S45)=1,COUNTIF(Vocabulary!$Y$5:$Y$9,T45)=1,COUNTIF(Vocabulary!$Z$5:$Z$8,V45)=1,COUNTIF(Vocabulary!$AA$5:$AA$9,W45)=1,COUNTIF(Vocabulary!$AB$5:$AB$7,Y45)=1,COUNTIF(Vocabulary!$AC$5:$AC$8,Z45)=1,COUNTIF(Vocabulary!$AD$5:$AD$7,AA45)=1),"OK","UNRECOGNISED_CONTROL_VALUE"))</f>
        <v/>
      </c>
      <c r="Y45" s="303" t="n"/>
      <c r="Z45" s="303" t="n"/>
      <c r="AA45" s="303" t="n"/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356" t="n"/>
      <c r="N46" s="356" t="n"/>
      <c r="O46" s="302">
        <f>IF(COUNTA(A46:N46)+COUNTA(Q46:W46)+COUNTA(Y46:AA46)=0,"",IF(OR(LEN(TRIM(A46))=0,LEN(TRIM(B46))=0,LEN(TRIM(C46))=0,LEN(TRIM(D46))=0,LEN(TRIM(E46))=0,LEN(TRIM(F46))=0,LEN(TRIM(G46))=0,LEN(TRIM(H46))=0,LEN(TRIM(I46))=0,LEN(TRIM(J46))=0,LEN(TRIM(R46))=0,LEN(TRIM(S46))=0,LEN(TRIM(T46))=0,LEN(TRIM(V46))=0,LEN(TRIM(W46))=0,LEN(TRIM(Y46))=0,LEN(TRIM(Z46))=0,LEN(TRIM(AA46))=0),"Indeterminate",IF(X46&lt;&gt;"OK","Indeterminate",IF(OR(E46="Indeterminate",F46="Indeterminate",G46="Indeterminate",R46="Indeterminate",S46="Indeterminate",T46="Indeterminate",V46="Indeterminate",W46="Indeterminate",Y46="Indeterminate",Z46="Indeterminate",AA46="Indeterminate"),"Indeterminate",IF(OR(E46="Sponsor controlled - invalid",F46="Sponsor veto - invalid",G46="Sponsor/candidate controlled - invalid",H46&lt;&gt;"Yes",I46&lt;&gt;"Yes",J46&lt;&gt;"Yes",R46="Predetermined outcome - invalid",S46="No credible precommitment",T46="Material assistance undisclosed",V46="Missing",V46="Changed after unblinding",W46="Material shared-model generation undisclosed",Y46="No protected reporting channel",Z46="No anonymity/confidentiality protection",AA46="No anti-retaliation safeguard"),"Inadequate",IF(OR(E46="Joint with firewall",F46="Independent with security redaction only",G46="Joint with public rules",K46&lt;&gt;"",AND(L46&lt;&gt;"",LOWER(L46)&lt;&gt;"none"),R46="Declared interest with enforceable firewall",S46="Conditional precommitment with disclosed limits",T46="Material assistance disclosed and separated",W46="Material shared-model generation disclosed",Z46="Not applicable with recorded rationale"),"Adequate with declared controls","Adequate"))))))</f>
        <v/>
      </c>
      <c r="P46" s="302">
        <f>IF(AND(O46="",N46=""),"",IF(AND(O46&lt;&gt;"",N46=""),"UNRECORDED",IF(AND(O46="",N46&lt;&gt;""),"ORPHAN_RECORDED",IF(O46=N46,"MATCH","MISMATCH"))))</f>
        <v/>
      </c>
      <c r="Q46" s="103" t="n"/>
      <c r="R46" s="253" t="n"/>
      <c r="S46" s="254" t="n"/>
      <c r="T46" s="254" t="n"/>
      <c r="U46" s="255" t="n"/>
      <c r="X46" s="303">
        <f>IF(COUNTA(E46:J46)+COUNTA(R46:T46)+COUNTA(V46:W46)+COUNTA(Y46:AA46)=0,"",IF(AND(COUNTIF(Vocabulary!$S$5:$S$8,E46)=1,COUNTIF(Vocabulary!$T$5:$T$8,F46)=1,COUNTIF(Vocabulary!$U$5:$U$8,G46)=1,COUNTIF(Vocabulary!$J$5:$J$6,H46)=1,COUNTIF(Vocabulary!$J$5:$J$6,I46)=1,COUNTIF(Vocabulary!$J$5:$J$6,J46)=1,COUNTIF(Vocabulary!$W$5:$W$8,R46)=1,COUNTIF(Vocabulary!$X$5:$X$8,S46)=1,COUNTIF(Vocabulary!$Y$5:$Y$9,T46)=1,COUNTIF(Vocabulary!$Z$5:$Z$8,V46)=1,COUNTIF(Vocabulary!$AA$5:$AA$9,W46)=1,COUNTIF(Vocabulary!$AB$5:$AB$7,Y46)=1,COUNTIF(Vocabulary!$AC$5:$AC$8,Z46)=1,COUNTIF(Vocabulary!$AD$5:$AD$7,AA46)=1),"OK","UNRECOGNISED_CONTROL_VALUE"))</f>
        <v/>
      </c>
      <c r="Y46" s="303" t="n"/>
      <c r="Z46" s="303" t="n"/>
      <c r="AA46" s="303" t="n"/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56" t="n"/>
      <c r="I47" s="356" t="n"/>
      <c r="J47" s="356" t="n"/>
      <c r="K47" s="356" t="n"/>
      <c r="L47" s="356" t="n"/>
      <c r="M47" s="356" t="n"/>
      <c r="N47" s="356" t="n"/>
      <c r="O47" s="302">
        <f>IF(COUNTA(A47:N47)+COUNTA(Q47:W47)+COUNTA(Y47:AA47)=0,"",IF(OR(LEN(TRIM(A47))=0,LEN(TRIM(B47))=0,LEN(TRIM(C47))=0,LEN(TRIM(D47))=0,LEN(TRIM(E47))=0,LEN(TRIM(F47))=0,LEN(TRIM(G47))=0,LEN(TRIM(H47))=0,LEN(TRIM(I47))=0,LEN(TRIM(J47))=0,LEN(TRIM(R47))=0,LEN(TRIM(S47))=0,LEN(TRIM(T47))=0,LEN(TRIM(V47))=0,LEN(TRIM(W47))=0,LEN(TRIM(Y47))=0,LEN(TRIM(Z47))=0,LEN(TRIM(AA47))=0),"Indeterminate",IF(X47&lt;&gt;"OK","Indeterminate",IF(OR(E47="Indeterminate",F47="Indeterminate",G47="Indeterminate",R47="Indeterminate",S47="Indeterminate",T47="Indeterminate",V47="Indeterminate",W47="Indeterminate",Y47="Indeterminate",Z47="Indeterminate",AA47="Indeterminate"),"Indeterminate",IF(OR(E47="Sponsor controlled - invalid",F47="Sponsor veto - invalid",G47="Sponsor/candidate controlled - invalid",H47&lt;&gt;"Yes",I47&lt;&gt;"Yes",J47&lt;&gt;"Yes",R47="Predetermined outcome - invalid",S47="No credible precommitment",T47="Material assistance undisclosed",V47="Missing",V47="Changed after unblinding",W47="Material shared-model generation undisclosed",Y47="No protected reporting channel",Z47="No anonymity/confidentiality protection",AA47="No anti-retaliation safeguard"),"Inadequate",IF(OR(E47="Joint with firewall",F47="Independent with security redaction only",G47="Joint with public rules",K47&lt;&gt;"",AND(L47&lt;&gt;"",LOWER(L47)&lt;&gt;"none"),R47="Declared interest with enforceable firewall",S47="Conditional precommitment with disclosed limits",T47="Material assistance disclosed and separated",W47="Material shared-model generation disclosed",Z47="Not applicable with recorded rationale"),"Adequate with declared controls","Adequate"))))))</f>
        <v/>
      </c>
      <c r="P47" s="302">
        <f>IF(AND(O47="",N47=""),"",IF(AND(O47&lt;&gt;"",N47=""),"UNRECORDED",IF(AND(O47="",N47&lt;&gt;""),"ORPHAN_RECORDED",IF(O47=N47,"MATCH","MISMATCH"))))</f>
        <v/>
      </c>
      <c r="Q47" s="103" t="n"/>
      <c r="R47" s="253" t="n"/>
      <c r="S47" s="254" t="n"/>
      <c r="T47" s="254" t="n"/>
      <c r="U47" s="255" t="n"/>
      <c r="X47" s="303">
        <f>IF(COUNTA(E47:J47)+COUNTA(R47:T47)+COUNTA(V47:W47)+COUNTA(Y47:AA47)=0,"",IF(AND(COUNTIF(Vocabulary!$S$5:$S$8,E47)=1,COUNTIF(Vocabulary!$T$5:$T$8,F47)=1,COUNTIF(Vocabulary!$U$5:$U$8,G47)=1,COUNTIF(Vocabulary!$J$5:$J$6,H47)=1,COUNTIF(Vocabulary!$J$5:$J$6,I47)=1,COUNTIF(Vocabulary!$J$5:$J$6,J47)=1,COUNTIF(Vocabulary!$W$5:$W$8,R47)=1,COUNTIF(Vocabulary!$X$5:$X$8,S47)=1,COUNTIF(Vocabulary!$Y$5:$Y$9,T47)=1,COUNTIF(Vocabulary!$Z$5:$Z$8,V47)=1,COUNTIF(Vocabulary!$AA$5:$AA$9,W47)=1,COUNTIF(Vocabulary!$AB$5:$AB$7,Y47)=1,COUNTIF(Vocabulary!$AC$5:$AC$8,Z47)=1,COUNTIF(Vocabulary!$AD$5:$AD$7,AA47)=1),"OK","UNRECOGNISED_CONTROL_VALUE"))</f>
        <v/>
      </c>
      <c r="Y47" s="303" t="n"/>
      <c r="Z47" s="303" t="n"/>
      <c r="AA47" s="303" t="n"/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356" t="n"/>
      <c r="N48" s="356" t="n"/>
      <c r="O48" s="302">
        <f>IF(COUNTA(A48:N48)+COUNTA(Q48:W48)+COUNTA(Y48:AA48)=0,"",IF(OR(LEN(TRIM(A48))=0,LEN(TRIM(B48))=0,LEN(TRIM(C48))=0,LEN(TRIM(D48))=0,LEN(TRIM(E48))=0,LEN(TRIM(F48))=0,LEN(TRIM(G48))=0,LEN(TRIM(H48))=0,LEN(TRIM(I48))=0,LEN(TRIM(J48))=0,LEN(TRIM(R48))=0,LEN(TRIM(S48))=0,LEN(TRIM(T48))=0,LEN(TRIM(V48))=0,LEN(TRIM(W48))=0,LEN(TRIM(Y48))=0,LEN(TRIM(Z48))=0,LEN(TRIM(AA48))=0),"Indeterminate",IF(X48&lt;&gt;"OK","Indeterminate",IF(OR(E48="Indeterminate",F48="Indeterminate",G48="Indeterminate",R48="Indeterminate",S48="Indeterminate",T48="Indeterminate",V48="Indeterminate",W48="Indeterminate",Y48="Indeterminate",Z48="Indeterminate",AA48="Indeterminate"),"Indeterminate",IF(OR(E48="Sponsor controlled - invalid",F48="Sponsor veto - invalid",G48="Sponsor/candidate controlled - invalid",H48&lt;&gt;"Yes",I48&lt;&gt;"Yes",J48&lt;&gt;"Yes",R48="Predetermined outcome - invalid",S48="No credible precommitment",T48="Material assistance undisclosed",V48="Missing",V48="Changed after unblinding",W48="Material shared-model generation undisclosed",Y48="No protected reporting channel",Z48="No anonymity/confidentiality protection",AA48="No anti-retaliation safeguard"),"Inadequate",IF(OR(E48="Joint with firewall",F48="Independent with security redaction only",G48="Joint with public rules",K48&lt;&gt;"",AND(L48&lt;&gt;"",LOWER(L48)&lt;&gt;"none"),R48="Declared interest with enforceable firewall",S48="Conditional precommitment with disclosed limits",T48="Material assistance disclosed and separated",W48="Material shared-model generation disclosed",Z48="Not applicable with recorded rationale"),"Adequate with declared controls","Adequate"))))))</f>
        <v/>
      </c>
      <c r="P48" s="302">
        <f>IF(AND(O48="",N48=""),"",IF(AND(O48&lt;&gt;"",N48=""),"UNRECORDED",IF(AND(O48="",N48&lt;&gt;""),"ORPHAN_RECORDED",IF(O48=N48,"MATCH","MISMATCH"))))</f>
        <v/>
      </c>
      <c r="Q48" s="103" t="n"/>
      <c r="R48" s="253" t="n"/>
      <c r="S48" s="254" t="n"/>
      <c r="T48" s="254" t="n"/>
      <c r="U48" s="255" t="n"/>
      <c r="X48" s="303">
        <f>IF(COUNTA(E48:J48)+COUNTA(R48:T48)+COUNTA(V48:W48)+COUNTA(Y48:AA48)=0,"",IF(AND(COUNTIF(Vocabulary!$S$5:$S$8,E48)=1,COUNTIF(Vocabulary!$T$5:$T$8,F48)=1,COUNTIF(Vocabulary!$U$5:$U$8,G48)=1,COUNTIF(Vocabulary!$J$5:$J$6,H48)=1,COUNTIF(Vocabulary!$J$5:$J$6,I48)=1,COUNTIF(Vocabulary!$J$5:$J$6,J48)=1,COUNTIF(Vocabulary!$W$5:$W$8,R48)=1,COUNTIF(Vocabulary!$X$5:$X$8,S48)=1,COUNTIF(Vocabulary!$Y$5:$Y$9,T48)=1,COUNTIF(Vocabulary!$Z$5:$Z$8,V48)=1,COUNTIF(Vocabulary!$AA$5:$AA$9,W48)=1,COUNTIF(Vocabulary!$AB$5:$AB$7,Y48)=1,COUNTIF(Vocabulary!$AC$5:$AC$8,Z48)=1,COUNTIF(Vocabulary!$AD$5:$AD$7,AA48)=1),"OK","UNRECOGNISED_CONTROL_VALUE"))</f>
        <v/>
      </c>
      <c r="Y48" s="303" t="n"/>
      <c r="Z48" s="303" t="n"/>
      <c r="AA48" s="303" t="n"/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56" t="n"/>
      <c r="I49" s="356" t="n"/>
      <c r="J49" s="356" t="n"/>
      <c r="K49" s="356" t="n"/>
      <c r="L49" s="356" t="n"/>
      <c r="M49" s="356" t="n"/>
      <c r="N49" s="356" t="n"/>
      <c r="O49" s="302">
        <f>IF(COUNTA(A49:N49)+COUNTA(Q49:W49)+COUNTA(Y49:AA49)=0,"",IF(OR(LEN(TRIM(A49))=0,LEN(TRIM(B49))=0,LEN(TRIM(C49))=0,LEN(TRIM(D49))=0,LEN(TRIM(E49))=0,LEN(TRIM(F49))=0,LEN(TRIM(G49))=0,LEN(TRIM(H49))=0,LEN(TRIM(I49))=0,LEN(TRIM(J49))=0,LEN(TRIM(R49))=0,LEN(TRIM(S49))=0,LEN(TRIM(T49))=0,LEN(TRIM(V49))=0,LEN(TRIM(W49))=0,LEN(TRIM(Y49))=0,LEN(TRIM(Z49))=0,LEN(TRIM(AA49))=0),"Indeterminate",IF(X49&lt;&gt;"OK","Indeterminate",IF(OR(E49="Indeterminate",F49="Indeterminate",G49="Indeterminate",R49="Indeterminate",S49="Indeterminate",T49="Indeterminate",V49="Indeterminate",W49="Indeterminate",Y49="Indeterminate",Z49="Indeterminate",AA49="Indeterminate"),"Indeterminate",IF(OR(E49="Sponsor controlled - invalid",F49="Sponsor veto - invalid",G49="Sponsor/candidate controlled - invalid",H49&lt;&gt;"Yes",I49&lt;&gt;"Yes",J49&lt;&gt;"Yes",R49="Predetermined outcome - invalid",S49="No credible precommitment",T49="Material assistance undisclosed",V49="Missing",V49="Changed after unblinding",W49="Material shared-model generation undisclosed",Y49="No protected reporting channel",Z49="No anonymity/confidentiality protection",AA49="No anti-retaliation safeguard"),"Inadequate",IF(OR(E49="Joint with firewall",F49="Independent with security redaction only",G49="Joint with public rules",K49&lt;&gt;"",AND(L49&lt;&gt;"",LOWER(L49)&lt;&gt;"none"),R49="Declared interest with enforceable firewall",S49="Conditional precommitment with disclosed limits",T49="Material assistance disclosed and separated",W49="Material shared-model generation disclosed",Z49="Not applicable with recorded rationale"),"Adequate with declared controls","Adequate"))))))</f>
        <v/>
      </c>
      <c r="P49" s="302">
        <f>IF(AND(O49="",N49=""),"",IF(AND(O49&lt;&gt;"",N49=""),"UNRECORDED",IF(AND(O49="",N49&lt;&gt;""),"ORPHAN_RECORDED",IF(O49=N49,"MATCH","MISMATCH"))))</f>
        <v/>
      </c>
      <c r="Q49" s="103" t="n"/>
      <c r="R49" s="253" t="n"/>
      <c r="S49" s="254" t="n"/>
      <c r="T49" s="254" t="n"/>
      <c r="U49" s="255" t="n"/>
      <c r="X49" s="303">
        <f>IF(COUNTA(E49:J49)+COUNTA(R49:T49)+COUNTA(V49:W49)+COUNTA(Y49:AA49)=0,"",IF(AND(COUNTIF(Vocabulary!$S$5:$S$8,E49)=1,COUNTIF(Vocabulary!$T$5:$T$8,F49)=1,COUNTIF(Vocabulary!$U$5:$U$8,G49)=1,COUNTIF(Vocabulary!$J$5:$J$6,H49)=1,COUNTIF(Vocabulary!$J$5:$J$6,I49)=1,COUNTIF(Vocabulary!$J$5:$J$6,J49)=1,COUNTIF(Vocabulary!$W$5:$W$8,R49)=1,COUNTIF(Vocabulary!$X$5:$X$8,S49)=1,COUNTIF(Vocabulary!$Y$5:$Y$9,T49)=1,COUNTIF(Vocabulary!$Z$5:$Z$8,V49)=1,COUNTIF(Vocabulary!$AA$5:$AA$9,W49)=1,COUNTIF(Vocabulary!$AB$5:$AB$7,Y49)=1,COUNTIF(Vocabulary!$AC$5:$AC$8,Z49)=1,COUNTIF(Vocabulary!$AD$5:$AD$7,AA49)=1),"OK","UNRECOGNISED_CONTROL_VALUE"))</f>
        <v/>
      </c>
      <c r="Y49" s="303" t="n"/>
      <c r="Z49" s="303" t="n"/>
      <c r="AA49" s="303" t="n"/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56" t="n"/>
      <c r="I50" s="356" t="n"/>
      <c r="J50" s="356" t="n"/>
      <c r="K50" s="356" t="n"/>
      <c r="L50" s="356" t="n"/>
      <c r="M50" s="356" t="n"/>
      <c r="N50" s="356" t="n"/>
      <c r="O50" s="302">
        <f>IF(COUNTA(A50:N50)+COUNTA(Q50:W50)+COUNTA(Y50:AA50)=0,"",IF(OR(LEN(TRIM(A50))=0,LEN(TRIM(B50))=0,LEN(TRIM(C50))=0,LEN(TRIM(D50))=0,LEN(TRIM(E50))=0,LEN(TRIM(F50))=0,LEN(TRIM(G50))=0,LEN(TRIM(H50))=0,LEN(TRIM(I50))=0,LEN(TRIM(J50))=0,LEN(TRIM(R50))=0,LEN(TRIM(S50))=0,LEN(TRIM(T50))=0,LEN(TRIM(V50))=0,LEN(TRIM(W50))=0,LEN(TRIM(Y50))=0,LEN(TRIM(Z50))=0,LEN(TRIM(AA50))=0),"Indeterminate",IF(X50&lt;&gt;"OK","Indeterminate",IF(OR(E50="Indeterminate",F50="Indeterminate",G50="Indeterminate",R50="Indeterminate",S50="Indeterminate",T50="Indeterminate",V50="Indeterminate",W50="Indeterminate",Y50="Indeterminate",Z50="Indeterminate",AA50="Indeterminate"),"Indeterminate",IF(OR(E50="Sponsor controlled - invalid",F50="Sponsor veto - invalid",G50="Sponsor/candidate controlled - invalid",H50&lt;&gt;"Yes",I50&lt;&gt;"Yes",J50&lt;&gt;"Yes",R50="Predetermined outcome - invalid",S50="No credible precommitment",T50="Material assistance undisclosed",V50="Missing",V50="Changed after unblinding",W50="Material shared-model generation undisclosed",Y50="No protected reporting channel",Z50="No anonymity/confidentiality protection",AA50="No anti-retaliation safeguard"),"Inadequate",IF(OR(E50="Joint with firewall",F50="Independent with security redaction only",G50="Joint with public rules",K50&lt;&gt;"",AND(L50&lt;&gt;"",LOWER(L50)&lt;&gt;"none"),R50="Declared interest with enforceable firewall",S50="Conditional precommitment with disclosed limits",T50="Material assistance disclosed and separated",W50="Material shared-model generation disclosed",Z50="Not applicable with recorded rationale"),"Adequate with declared controls","Adequate"))))))</f>
        <v/>
      </c>
      <c r="P50" s="302">
        <f>IF(AND(O50="",N50=""),"",IF(AND(O50&lt;&gt;"",N50=""),"UNRECORDED",IF(AND(O50="",N50&lt;&gt;""),"ORPHAN_RECORDED",IF(O50=N50,"MATCH","MISMATCH"))))</f>
        <v/>
      </c>
      <c r="Q50" s="103" t="n"/>
      <c r="R50" s="253" t="n"/>
      <c r="S50" s="254" t="n"/>
      <c r="T50" s="254" t="n"/>
      <c r="U50" s="255" t="n"/>
      <c r="X50" s="303">
        <f>IF(COUNTA(E50:J50)+COUNTA(R50:T50)+COUNTA(V50:W50)+COUNTA(Y50:AA50)=0,"",IF(AND(COUNTIF(Vocabulary!$S$5:$S$8,E50)=1,COUNTIF(Vocabulary!$T$5:$T$8,F50)=1,COUNTIF(Vocabulary!$U$5:$U$8,G50)=1,COUNTIF(Vocabulary!$J$5:$J$6,H50)=1,COUNTIF(Vocabulary!$J$5:$J$6,I50)=1,COUNTIF(Vocabulary!$J$5:$J$6,J50)=1,COUNTIF(Vocabulary!$W$5:$W$8,R50)=1,COUNTIF(Vocabulary!$X$5:$X$8,S50)=1,COUNTIF(Vocabulary!$Y$5:$Y$9,T50)=1,COUNTIF(Vocabulary!$Z$5:$Z$8,V50)=1,COUNTIF(Vocabulary!$AA$5:$AA$9,W50)=1,COUNTIF(Vocabulary!$AB$5:$AB$7,Y50)=1,COUNTIF(Vocabulary!$AC$5:$AC$8,Z50)=1,COUNTIF(Vocabulary!$AD$5:$AD$7,AA50)=1),"OK","UNRECOGNISED_CONTROL_VALUE"))</f>
        <v/>
      </c>
      <c r="Y50" s="303" t="n"/>
      <c r="Z50" s="303" t="n"/>
      <c r="AA50" s="303" t="n"/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56" t="n"/>
      <c r="I51" s="356" t="n"/>
      <c r="J51" s="356" t="n"/>
      <c r="K51" s="356" t="n"/>
      <c r="L51" s="356" t="n"/>
      <c r="M51" s="356" t="n"/>
      <c r="N51" s="356" t="n"/>
      <c r="O51" s="302">
        <f>IF(COUNTA(A51:N51)+COUNTA(Q51:W51)+COUNTA(Y51:AA51)=0,"",IF(OR(LEN(TRIM(A51))=0,LEN(TRIM(B51))=0,LEN(TRIM(C51))=0,LEN(TRIM(D51))=0,LEN(TRIM(E51))=0,LEN(TRIM(F51))=0,LEN(TRIM(G51))=0,LEN(TRIM(H51))=0,LEN(TRIM(I51))=0,LEN(TRIM(J51))=0,LEN(TRIM(R51))=0,LEN(TRIM(S51))=0,LEN(TRIM(T51))=0,LEN(TRIM(V51))=0,LEN(TRIM(W51))=0,LEN(TRIM(Y51))=0,LEN(TRIM(Z51))=0,LEN(TRIM(AA51))=0),"Indeterminate",IF(X51&lt;&gt;"OK","Indeterminate",IF(OR(E51="Indeterminate",F51="Indeterminate",G51="Indeterminate",R51="Indeterminate",S51="Indeterminate",T51="Indeterminate",V51="Indeterminate",W51="Indeterminate",Y51="Indeterminate",Z51="Indeterminate",AA51="Indeterminate"),"Indeterminate",IF(OR(E51="Sponsor controlled - invalid",F51="Sponsor veto - invalid",G51="Sponsor/candidate controlled - invalid",H51&lt;&gt;"Yes",I51&lt;&gt;"Yes",J51&lt;&gt;"Yes",R51="Predetermined outcome - invalid",S51="No credible precommitment",T51="Material assistance undisclosed",V51="Missing",V51="Changed after unblinding",W51="Material shared-model generation undisclosed",Y51="No protected reporting channel",Z51="No anonymity/confidentiality protection",AA51="No anti-retaliation safeguard"),"Inadequate",IF(OR(E51="Joint with firewall",F51="Independent with security redaction only",G51="Joint with public rules",K51&lt;&gt;"",AND(L51&lt;&gt;"",LOWER(L51)&lt;&gt;"none"),R51="Declared interest with enforceable firewall",S51="Conditional precommitment with disclosed limits",T51="Material assistance disclosed and separated",W51="Material shared-model generation disclosed",Z51="Not applicable with recorded rationale"),"Adequate with declared controls","Adequate"))))))</f>
        <v/>
      </c>
      <c r="P51" s="302">
        <f>IF(AND(O51="",N51=""),"",IF(AND(O51&lt;&gt;"",N51=""),"UNRECORDED",IF(AND(O51="",N51&lt;&gt;""),"ORPHAN_RECORDED",IF(O51=N51,"MATCH","MISMATCH"))))</f>
        <v/>
      </c>
      <c r="Q51" s="103" t="n"/>
      <c r="R51" s="253" t="n"/>
      <c r="S51" s="254" t="n"/>
      <c r="T51" s="254" t="n"/>
      <c r="U51" s="255" t="n"/>
      <c r="X51" s="303">
        <f>IF(COUNTA(E51:J51)+COUNTA(R51:T51)+COUNTA(V51:W51)+COUNTA(Y51:AA51)=0,"",IF(AND(COUNTIF(Vocabulary!$S$5:$S$8,E51)=1,COUNTIF(Vocabulary!$T$5:$T$8,F51)=1,COUNTIF(Vocabulary!$U$5:$U$8,G51)=1,COUNTIF(Vocabulary!$J$5:$J$6,H51)=1,COUNTIF(Vocabulary!$J$5:$J$6,I51)=1,COUNTIF(Vocabulary!$J$5:$J$6,J51)=1,COUNTIF(Vocabulary!$W$5:$W$8,R51)=1,COUNTIF(Vocabulary!$X$5:$X$8,S51)=1,COUNTIF(Vocabulary!$Y$5:$Y$9,T51)=1,COUNTIF(Vocabulary!$Z$5:$Z$8,V51)=1,COUNTIF(Vocabulary!$AA$5:$AA$9,W51)=1,COUNTIF(Vocabulary!$AB$5:$AB$7,Y51)=1,COUNTIF(Vocabulary!$AC$5:$AC$8,Z51)=1,COUNTIF(Vocabulary!$AD$5:$AD$7,AA51)=1),"OK","UNRECOGNISED_CONTROL_VALUE"))</f>
        <v/>
      </c>
      <c r="Y51" s="303" t="n"/>
      <c r="Z51" s="303" t="n"/>
      <c r="AA51" s="303" t="n"/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56" t="n"/>
      <c r="I52" s="356" t="n"/>
      <c r="J52" s="356" t="n"/>
      <c r="K52" s="356" t="n"/>
      <c r="L52" s="356" t="n"/>
      <c r="M52" s="356" t="n"/>
      <c r="N52" s="356" t="n"/>
      <c r="O52" s="302">
        <f>IF(COUNTA(A52:N52)+COUNTA(Q52:W52)+COUNTA(Y52:AA52)=0,"",IF(OR(LEN(TRIM(A52))=0,LEN(TRIM(B52))=0,LEN(TRIM(C52))=0,LEN(TRIM(D52))=0,LEN(TRIM(E52))=0,LEN(TRIM(F52))=0,LEN(TRIM(G52))=0,LEN(TRIM(H52))=0,LEN(TRIM(I52))=0,LEN(TRIM(J52))=0,LEN(TRIM(R52))=0,LEN(TRIM(S52))=0,LEN(TRIM(T52))=0,LEN(TRIM(V52))=0,LEN(TRIM(W52))=0,LEN(TRIM(Y52))=0,LEN(TRIM(Z52))=0,LEN(TRIM(AA52))=0),"Indeterminate",IF(X52&lt;&gt;"OK","Indeterminate",IF(OR(E52="Indeterminate",F52="Indeterminate",G52="Indeterminate",R52="Indeterminate",S52="Indeterminate",T52="Indeterminate",V52="Indeterminate",W52="Indeterminate",Y52="Indeterminate",Z52="Indeterminate",AA52="Indeterminate"),"Indeterminate",IF(OR(E52="Sponsor controlled - invalid",F52="Sponsor veto - invalid",G52="Sponsor/candidate controlled - invalid",H52&lt;&gt;"Yes",I52&lt;&gt;"Yes",J52&lt;&gt;"Yes",R52="Predetermined outcome - invalid",S52="No credible precommitment",T52="Material assistance undisclosed",V52="Missing",V52="Changed after unblinding",W52="Material shared-model generation undisclosed",Y52="No protected reporting channel",Z52="No anonymity/confidentiality protection",AA52="No anti-retaliation safeguard"),"Inadequate",IF(OR(E52="Joint with firewall",F52="Independent with security redaction only",G52="Joint with public rules",K52&lt;&gt;"",AND(L52&lt;&gt;"",LOWER(L52)&lt;&gt;"none"),R52="Declared interest with enforceable firewall",S52="Conditional precommitment with disclosed limits",T52="Material assistance disclosed and separated",W52="Material shared-model generation disclosed",Z52="Not applicable with recorded rationale"),"Adequate with declared controls","Adequate"))))))</f>
        <v/>
      </c>
      <c r="P52" s="302">
        <f>IF(AND(O52="",N52=""),"",IF(AND(O52&lt;&gt;"",N52=""),"UNRECORDED",IF(AND(O52="",N52&lt;&gt;""),"ORPHAN_RECORDED",IF(O52=N52,"MATCH","MISMATCH"))))</f>
        <v/>
      </c>
      <c r="Q52" s="103" t="n"/>
      <c r="R52" s="253" t="n"/>
      <c r="S52" s="254" t="n"/>
      <c r="T52" s="254" t="n"/>
      <c r="U52" s="255" t="n"/>
      <c r="X52" s="303">
        <f>IF(COUNTA(E52:J52)+COUNTA(R52:T52)+COUNTA(V52:W52)+COUNTA(Y52:AA52)=0,"",IF(AND(COUNTIF(Vocabulary!$S$5:$S$8,E52)=1,COUNTIF(Vocabulary!$T$5:$T$8,F52)=1,COUNTIF(Vocabulary!$U$5:$U$8,G52)=1,COUNTIF(Vocabulary!$J$5:$J$6,H52)=1,COUNTIF(Vocabulary!$J$5:$J$6,I52)=1,COUNTIF(Vocabulary!$J$5:$J$6,J52)=1,COUNTIF(Vocabulary!$W$5:$W$8,R52)=1,COUNTIF(Vocabulary!$X$5:$X$8,S52)=1,COUNTIF(Vocabulary!$Y$5:$Y$9,T52)=1,COUNTIF(Vocabulary!$Z$5:$Z$8,V52)=1,COUNTIF(Vocabulary!$AA$5:$AA$9,W52)=1,COUNTIF(Vocabulary!$AB$5:$AB$7,Y52)=1,COUNTIF(Vocabulary!$AC$5:$AC$8,Z52)=1,COUNTIF(Vocabulary!$AD$5:$AD$7,AA52)=1),"OK","UNRECOGNISED_CONTROL_VALUE"))</f>
        <v/>
      </c>
      <c r="Y52" s="303" t="n"/>
      <c r="Z52" s="303" t="n"/>
      <c r="AA52" s="303" t="n"/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56" t="n"/>
      <c r="I53" s="356" t="n"/>
      <c r="J53" s="356" t="n"/>
      <c r="K53" s="356" t="n"/>
      <c r="L53" s="356" t="n"/>
      <c r="M53" s="356" t="n"/>
      <c r="N53" s="356" t="n"/>
      <c r="O53" s="302">
        <f>IF(COUNTA(A53:N53)+COUNTA(Q53:W53)+COUNTA(Y53:AA53)=0,"",IF(OR(LEN(TRIM(A53))=0,LEN(TRIM(B53))=0,LEN(TRIM(C53))=0,LEN(TRIM(D53))=0,LEN(TRIM(E53))=0,LEN(TRIM(F53))=0,LEN(TRIM(G53))=0,LEN(TRIM(H53))=0,LEN(TRIM(I53))=0,LEN(TRIM(J53))=0,LEN(TRIM(R53))=0,LEN(TRIM(S53))=0,LEN(TRIM(T53))=0,LEN(TRIM(V53))=0,LEN(TRIM(W53))=0,LEN(TRIM(Y53))=0,LEN(TRIM(Z53))=0,LEN(TRIM(AA53))=0),"Indeterminate",IF(X53&lt;&gt;"OK","Indeterminate",IF(OR(E53="Indeterminate",F53="Indeterminate",G53="Indeterminate",R53="Indeterminate",S53="Indeterminate",T53="Indeterminate",V53="Indeterminate",W53="Indeterminate",Y53="Indeterminate",Z53="Indeterminate",AA53="Indeterminate"),"Indeterminate",IF(OR(E53="Sponsor controlled - invalid",F53="Sponsor veto - invalid",G53="Sponsor/candidate controlled - invalid",H53&lt;&gt;"Yes",I53&lt;&gt;"Yes",J53&lt;&gt;"Yes",R53="Predetermined outcome - invalid",S53="No credible precommitment",T53="Material assistance undisclosed",V53="Missing",V53="Changed after unblinding",W53="Material shared-model generation undisclosed",Y53="No protected reporting channel",Z53="No anonymity/confidentiality protection",AA53="No anti-retaliation safeguard"),"Inadequate",IF(OR(E53="Joint with firewall",F53="Independent with security redaction only",G53="Joint with public rules",K53&lt;&gt;"",AND(L53&lt;&gt;"",LOWER(L53)&lt;&gt;"none"),R53="Declared interest with enforceable firewall",S53="Conditional precommitment with disclosed limits",T53="Material assistance disclosed and separated",W53="Material shared-model generation disclosed",Z53="Not applicable with recorded rationale"),"Adequate with declared controls","Adequate"))))))</f>
        <v/>
      </c>
      <c r="P53" s="302">
        <f>IF(AND(O53="",N53=""),"",IF(AND(O53&lt;&gt;"",N53=""),"UNRECORDED",IF(AND(O53="",N53&lt;&gt;""),"ORPHAN_RECORDED",IF(O53=N53,"MATCH","MISMATCH"))))</f>
        <v/>
      </c>
      <c r="Q53" s="103" t="n"/>
      <c r="R53" s="253" t="n"/>
      <c r="S53" s="254" t="n"/>
      <c r="T53" s="254" t="n"/>
      <c r="U53" s="255" t="n"/>
      <c r="X53" s="303">
        <f>IF(COUNTA(E53:J53)+COUNTA(R53:T53)+COUNTA(V53:W53)+COUNTA(Y53:AA53)=0,"",IF(AND(COUNTIF(Vocabulary!$S$5:$S$8,E53)=1,COUNTIF(Vocabulary!$T$5:$T$8,F53)=1,COUNTIF(Vocabulary!$U$5:$U$8,G53)=1,COUNTIF(Vocabulary!$J$5:$J$6,H53)=1,COUNTIF(Vocabulary!$J$5:$J$6,I53)=1,COUNTIF(Vocabulary!$J$5:$J$6,J53)=1,COUNTIF(Vocabulary!$W$5:$W$8,R53)=1,COUNTIF(Vocabulary!$X$5:$X$8,S53)=1,COUNTIF(Vocabulary!$Y$5:$Y$9,T53)=1,COUNTIF(Vocabulary!$Z$5:$Z$8,V53)=1,COUNTIF(Vocabulary!$AA$5:$AA$9,W53)=1,COUNTIF(Vocabulary!$AB$5:$AB$7,Y53)=1,COUNTIF(Vocabulary!$AC$5:$AC$8,Z53)=1,COUNTIF(Vocabulary!$AD$5:$AD$7,AA53)=1),"OK","UNRECOGNISED_CONTROL_VALUE"))</f>
        <v/>
      </c>
      <c r="Y53" s="303" t="n"/>
      <c r="Z53" s="303" t="n"/>
      <c r="AA53" s="303" t="n"/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56" t="n"/>
      <c r="I54" s="356" t="n"/>
      <c r="J54" s="356" t="n"/>
      <c r="K54" s="356" t="n"/>
      <c r="L54" s="356" t="n"/>
      <c r="M54" s="356" t="n"/>
      <c r="N54" s="356" t="n"/>
      <c r="O54" s="302">
        <f>IF(COUNTA(A54:N54)+COUNTA(Q54:W54)+COUNTA(Y54:AA54)=0,"",IF(OR(LEN(TRIM(A54))=0,LEN(TRIM(B54))=0,LEN(TRIM(C54))=0,LEN(TRIM(D54))=0,LEN(TRIM(E54))=0,LEN(TRIM(F54))=0,LEN(TRIM(G54))=0,LEN(TRIM(H54))=0,LEN(TRIM(I54))=0,LEN(TRIM(J54))=0,LEN(TRIM(R54))=0,LEN(TRIM(S54))=0,LEN(TRIM(T54))=0,LEN(TRIM(V54))=0,LEN(TRIM(W54))=0,LEN(TRIM(Y54))=0,LEN(TRIM(Z54))=0,LEN(TRIM(AA54))=0),"Indeterminate",IF(X54&lt;&gt;"OK","Indeterminate",IF(OR(E54="Indeterminate",F54="Indeterminate",G54="Indeterminate",R54="Indeterminate",S54="Indeterminate",T54="Indeterminate",V54="Indeterminate",W54="Indeterminate",Y54="Indeterminate",Z54="Indeterminate",AA54="Indeterminate"),"Indeterminate",IF(OR(E54="Sponsor controlled - invalid",F54="Sponsor veto - invalid",G54="Sponsor/candidate controlled - invalid",H54&lt;&gt;"Yes",I54&lt;&gt;"Yes",J54&lt;&gt;"Yes",R54="Predetermined outcome - invalid",S54="No credible precommitment",T54="Material assistance undisclosed",V54="Missing",V54="Changed after unblinding",W54="Material shared-model generation undisclosed",Y54="No protected reporting channel",Z54="No anonymity/confidentiality protection",AA54="No anti-retaliation safeguard"),"Inadequate",IF(OR(E54="Joint with firewall",F54="Independent with security redaction only",G54="Joint with public rules",K54&lt;&gt;"",AND(L54&lt;&gt;"",LOWER(L54)&lt;&gt;"none"),R54="Declared interest with enforceable firewall",S54="Conditional precommitment with disclosed limits",T54="Material assistance disclosed and separated",W54="Material shared-model generation disclosed",Z54="Not applicable with recorded rationale"),"Adequate with declared controls","Adequate"))))))</f>
        <v/>
      </c>
      <c r="P54" s="302">
        <f>IF(AND(O54="",N54=""),"",IF(AND(O54&lt;&gt;"",N54=""),"UNRECORDED",IF(AND(O54="",N54&lt;&gt;""),"ORPHAN_RECORDED",IF(O54=N54,"MATCH","MISMATCH"))))</f>
        <v/>
      </c>
      <c r="Q54" s="103" t="n"/>
      <c r="R54" s="253" t="n"/>
      <c r="S54" s="254" t="n"/>
      <c r="T54" s="254" t="n"/>
      <c r="U54" s="255" t="n"/>
      <c r="X54" s="303">
        <f>IF(COUNTA(E54:J54)+COUNTA(R54:T54)+COUNTA(V54:W54)+COUNTA(Y54:AA54)=0,"",IF(AND(COUNTIF(Vocabulary!$S$5:$S$8,E54)=1,COUNTIF(Vocabulary!$T$5:$T$8,F54)=1,COUNTIF(Vocabulary!$U$5:$U$8,G54)=1,COUNTIF(Vocabulary!$J$5:$J$6,H54)=1,COUNTIF(Vocabulary!$J$5:$J$6,I54)=1,COUNTIF(Vocabulary!$J$5:$J$6,J54)=1,COUNTIF(Vocabulary!$W$5:$W$8,R54)=1,COUNTIF(Vocabulary!$X$5:$X$8,S54)=1,COUNTIF(Vocabulary!$Y$5:$Y$9,T54)=1,COUNTIF(Vocabulary!$Z$5:$Z$8,V54)=1,COUNTIF(Vocabulary!$AA$5:$AA$9,W54)=1,COUNTIF(Vocabulary!$AB$5:$AB$7,Y54)=1,COUNTIF(Vocabulary!$AC$5:$AC$8,Z54)=1,COUNTIF(Vocabulary!$AD$5:$AD$7,AA54)=1),"OK","UNRECOGNISED_CONTROL_VALUE"))</f>
        <v/>
      </c>
      <c r="Y54" s="303" t="n"/>
      <c r="Z54" s="303" t="n"/>
      <c r="AA54" s="303" t="n"/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56" t="n"/>
      <c r="I55" s="356" t="n"/>
      <c r="J55" s="356" t="n"/>
      <c r="K55" s="356" t="n"/>
      <c r="L55" s="356" t="n"/>
      <c r="M55" s="356" t="n"/>
      <c r="N55" s="356" t="n"/>
      <c r="O55" s="302">
        <f>IF(COUNTA(A55:N55)+COUNTA(Q55:W55)+COUNTA(Y55:AA55)=0,"",IF(OR(LEN(TRIM(A55))=0,LEN(TRIM(B55))=0,LEN(TRIM(C55))=0,LEN(TRIM(D55))=0,LEN(TRIM(E55))=0,LEN(TRIM(F55))=0,LEN(TRIM(G55))=0,LEN(TRIM(H55))=0,LEN(TRIM(I55))=0,LEN(TRIM(J55))=0,LEN(TRIM(R55))=0,LEN(TRIM(S55))=0,LEN(TRIM(T55))=0,LEN(TRIM(V55))=0,LEN(TRIM(W55))=0,LEN(TRIM(Y55))=0,LEN(TRIM(Z55))=0,LEN(TRIM(AA55))=0),"Indeterminate",IF(X55&lt;&gt;"OK","Indeterminate",IF(OR(E55="Indeterminate",F55="Indeterminate",G55="Indeterminate",R55="Indeterminate",S55="Indeterminate",T55="Indeterminate",V55="Indeterminate",W55="Indeterminate",Y55="Indeterminate",Z55="Indeterminate",AA55="Indeterminate"),"Indeterminate",IF(OR(E55="Sponsor controlled - invalid",F55="Sponsor veto - invalid",G55="Sponsor/candidate controlled - invalid",H55&lt;&gt;"Yes",I55&lt;&gt;"Yes",J55&lt;&gt;"Yes",R55="Predetermined outcome - invalid",S55="No credible precommitment",T55="Material assistance undisclosed",V55="Missing",V55="Changed after unblinding",W55="Material shared-model generation undisclosed",Y55="No protected reporting channel",Z55="No anonymity/confidentiality protection",AA55="No anti-retaliation safeguard"),"Inadequate",IF(OR(E55="Joint with firewall",F55="Independent with security redaction only",G55="Joint with public rules",K55&lt;&gt;"",AND(L55&lt;&gt;"",LOWER(L55)&lt;&gt;"none"),R55="Declared interest with enforceable firewall",S55="Conditional precommitment with disclosed limits",T55="Material assistance disclosed and separated",W55="Material shared-model generation disclosed",Z55="Not applicable with recorded rationale"),"Adequate with declared controls","Adequate"))))))</f>
        <v/>
      </c>
      <c r="P55" s="302">
        <f>IF(AND(O55="",N55=""),"",IF(AND(O55&lt;&gt;"",N55=""),"UNRECORDED",IF(AND(O55="",N55&lt;&gt;""),"ORPHAN_RECORDED",IF(O55=N55,"MATCH","MISMATCH"))))</f>
        <v/>
      </c>
      <c r="Q55" s="103" t="n"/>
      <c r="R55" s="253" t="n"/>
      <c r="S55" s="254" t="n"/>
      <c r="T55" s="254" t="n"/>
      <c r="U55" s="255" t="n"/>
      <c r="X55" s="303">
        <f>IF(COUNTA(E55:J55)+COUNTA(R55:T55)+COUNTA(V55:W55)+COUNTA(Y55:AA55)=0,"",IF(AND(COUNTIF(Vocabulary!$S$5:$S$8,E55)=1,COUNTIF(Vocabulary!$T$5:$T$8,F55)=1,COUNTIF(Vocabulary!$U$5:$U$8,G55)=1,COUNTIF(Vocabulary!$J$5:$J$6,H55)=1,COUNTIF(Vocabulary!$J$5:$J$6,I55)=1,COUNTIF(Vocabulary!$J$5:$J$6,J55)=1,COUNTIF(Vocabulary!$W$5:$W$8,R55)=1,COUNTIF(Vocabulary!$X$5:$X$8,S55)=1,COUNTIF(Vocabulary!$Y$5:$Y$9,T55)=1,COUNTIF(Vocabulary!$Z$5:$Z$8,V55)=1,COUNTIF(Vocabulary!$AA$5:$AA$9,W55)=1,COUNTIF(Vocabulary!$AB$5:$AB$7,Y55)=1,COUNTIF(Vocabulary!$AC$5:$AC$8,Z55)=1,COUNTIF(Vocabulary!$AD$5:$AD$7,AA55)=1),"OK","UNRECOGNISED_CONTROL_VALUE"))</f>
        <v/>
      </c>
      <c r="Y55" s="303" t="n"/>
      <c r="Z55" s="303" t="n"/>
      <c r="AA55" s="303" t="n"/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356" t="n"/>
      <c r="N56" s="356" t="n"/>
      <c r="O56" s="302">
        <f>IF(COUNTA(A56:N56)+COUNTA(Q56:W56)+COUNTA(Y56:AA56)=0,"",IF(OR(LEN(TRIM(A56))=0,LEN(TRIM(B56))=0,LEN(TRIM(C56))=0,LEN(TRIM(D56))=0,LEN(TRIM(E56))=0,LEN(TRIM(F56))=0,LEN(TRIM(G56))=0,LEN(TRIM(H56))=0,LEN(TRIM(I56))=0,LEN(TRIM(J56))=0,LEN(TRIM(R56))=0,LEN(TRIM(S56))=0,LEN(TRIM(T56))=0,LEN(TRIM(V56))=0,LEN(TRIM(W56))=0,LEN(TRIM(Y56))=0,LEN(TRIM(Z56))=0,LEN(TRIM(AA56))=0),"Indeterminate",IF(X56&lt;&gt;"OK","Indeterminate",IF(OR(E56="Indeterminate",F56="Indeterminate",G56="Indeterminate",R56="Indeterminate",S56="Indeterminate",T56="Indeterminate",V56="Indeterminate",W56="Indeterminate",Y56="Indeterminate",Z56="Indeterminate",AA56="Indeterminate"),"Indeterminate",IF(OR(E56="Sponsor controlled - invalid",F56="Sponsor veto - invalid",G56="Sponsor/candidate controlled - invalid",H56&lt;&gt;"Yes",I56&lt;&gt;"Yes",J56&lt;&gt;"Yes",R56="Predetermined outcome - invalid",S56="No credible precommitment",T56="Material assistance undisclosed",V56="Missing",V56="Changed after unblinding",W56="Material shared-model generation undisclosed",Y56="No protected reporting channel",Z56="No anonymity/confidentiality protection",AA56="No anti-retaliation safeguard"),"Inadequate",IF(OR(E56="Joint with firewall",F56="Independent with security redaction only",G56="Joint with public rules",K56&lt;&gt;"",AND(L56&lt;&gt;"",LOWER(L56)&lt;&gt;"none"),R56="Declared interest with enforceable firewall",S56="Conditional precommitment with disclosed limits",T56="Material assistance disclosed and separated",W56="Material shared-model generation disclosed",Z56="Not applicable with recorded rationale"),"Adequate with declared controls","Adequate"))))))</f>
        <v/>
      </c>
      <c r="P56" s="302">
        <f>IF(AND(O56="",N56=""),"",IF(AND(O56&lt;&gt;"",N56=""),"UNRECORDED",IF(AND(O56="",N56&lt;&gt;""),"ORPHAN_RECORDED",IF(O56=N56,"MATCH","MISMATCH"))))</f>
        <v/>
      </c>
      <c r="Q56" s="103" t="n"/>
      <c r="R56" s="253" t="n"/>
      <c r="S56" s="254" t="n"/>
      <c r="T56" s="254" t="n"/>
      <c r="U56" s="255" t="n"/>
      <c r="X56" s="303">
        <f>IF(COUNTA(E56:J56)+COUNTA(R56:T56)+COUNTA(V56:W56)+COUNTA(Y56:AA56)=0,"",IF(AND(COUNTIF(Vocabulary!$S$5:$S$8,E56)=1,COUNTIF(Vocabulary!$T$5:$T$8,F56)=1,COUNTIF(Vocabulary!$U$5:$U$8,G56)=1,COUNTIF(Vocabulary!$J$5:$J$6,H56)=1,COUNTIF(Vocabulary!$J$5:$J$6,I56)=1,COUNTIF(Vocabulary!$J$5:$J$6,J56)=1,COUNTIF(Vocabulary!$W$5:$W$8,R56)=1,COUNTIF(Vocabulary!$X$5:$X$8,S56)=1,COUNTIF(Vocabulary!$Y$5:$Y$9,T56)=1,COUNTIF(Vocabulary!$Z$5:$Z$8,V56)=1,COUNTIF(Vocabulary!$AA$5:$AA$9,W56)=1,COUNTIF(Vocabulary!$AB$5:$AB$7,Y56)=1,COUNTIF(Vocabulary!$AC$5:$AC$8,Z56)=1,COUNTIF(Vocabulary!$AD$5:$AD$7,AA56)=1),"OK","UNRECOGNISED_CONTROL_VALUE"))</f>
        <v/>
      </c>
      <c r="Y56" s="303" t="n"/>
      <c r="Z56" s="303" t="n"/>
      <c r="AA56" s="303" t="n"/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56" t="n"/>
      <c r="I57" s="356" t="n"/>
      <c r="J57" s="356" t="n"/>
      <c r="K57" s="356" t="n"/>
      <c r="L57" s="356" t="n"/>
      <c r="M57" s="356" t="n"/>
      <c r="N57" s="356" t="n"/>
      <c r="O57" s="302">
        <f>IF(COUNTA(A57:N57)+COUNTA(Q57:W57)+COUNTA(Y57:AA57)=0,"",IF(OR(LEN(TRIM(A57))=0,LEN(TRIM(B57))=0,LEN(TRIM(C57))=0,LEN(TRIM(D57))=0,LEN(TRIM(E57))=0,LEN(TRIM(F57))=0,LEN(TRIM(G57))=0,LEN(TRIM(H57))=0,LEN(TRIM(I57))=0,LEN(TRIM(J57))=0,LEN(TRIM(R57))=0,LEN(TRIM(S57))=0,LEN(TRIM(T57))=0,LEN(TRIM(V57))=0,LEN(TRIM(W57))=0,LEN(TRIM(Y57))=0,LEN(TRIM(Z57))=0,LEN(TRIM(AA57))=0),"Indeterminate",IF(X57&lt;&gt;"OK","Indeterminate",IF(OR(E57="Indeterminate",F57="Indeterminate",G57="Indeterminate",R57="Indeterminate",S57="Indeterminate",T57="Indeterminate",V57="Indeterminate",W57="Indeterminate",Y57="Indeterminate",Z57="Indeterminate",AA57="Indeterminate"),"Indeterminate",IF(OR(E57="Sponsor controlled - invalid",F57="Sponsor veto - invalid",G57="Sponsor/candidate controlled - invalid",H57&lt;&gt;"Yes",I57&lt;&gt;"Yes",J57&lt;&gt;"Yes",R57="Predetermined outcome - invalid",S57="No credible precommitment",T57="Material assistance undisclosed",V57="Missing",V57="Changed after unblinding",W57="Material shared-model generation undisclosed",Y57="No protected reporting channel",Z57="No anonymity/confidentiality protection",AA57="No anti-retaliation safeguard"),"Inadequate",IF(OR(E57="Joint with firewall",F57="Independent with security redaction only",G57="Joint with public rules",K57&lt;&gt;"",AND(L57&lt;&gt;"",LOWER(L57)&lt;&gt;"none"),R57="Declared interest with enforceable firewall",S57="Conditional precommitment with disclosed limits",T57="Material assistance disclosed and separated",W57="Material shared-model generation disclosed",Z57="Not applicable with recorded rationale"),"Adequate with declared controls","Adequate"))))))</f>
        <v/>
      </c>
      <c r="P57" s="302">
        <f>IF(AND(O57="",N57=""),"",IF(AND(O57&lt;&gt;"",N57=""),"UNRECORDED",IF(AND(O57="",N57&lt;&gt;""),"ORPHAN_RECORDED",IF(O57=N57,"MATCH","MISMATCH"))))</f>
        <v/>
      </c>
      <c r="Q57" s="103" t="n"/>
      <c r="R57" s="253" t="n"/>
      <c r="S57" s="254" t="n"/>
      <c r="T57" s="254" t="n"/>
      <c r="U57" s="255" t="n"/>
      <c r="X57" s="303">
        <f>IF(COUNTA(E57:J57)+COUNTA(R57:T57)+COUNTA(V57:W57)+COUNTA(Y57:AA57)=0,"",IF(AND(COUNTIF(Vocabulary!$S$5:$S$8,E57)=1,COUNTIF(Vocabulary!$T$5:$T$8,F57)=1,COUNTIF(Vocabulary!$U$5:$U$8,G57)=1,COUNTIF(Vocabulary!$J$5:$J$6,H57)=1,COUNTIF(Vocabulary!$J$5:$J$6,I57)=1,COUNTIF(Vocabulary!$J$5:$J$6,J57)=1,COUNTIF(Vocabulary!$W$5:$W$8,R57)=1,COUNTIF(Vocabulary!$X$5:$X$8,S57)=1,COUNTIF(Vocabulary!$Y$5:$Y$9,T57)=1,COUNTIF(Vocabulary!$Z$5:$Z$8,V57)=1,COUNTIF(Vocabulary!$AA$5:$AA$9,W57)=1,COUNTIF(Vocabulary!$AB$5:$AB$7,Y57)=1,COUNTIF(Vocabulary!$AC$5:$AC$8,Z57)=1,COUNTIF(Vocabulary!$AD$5:$AD$7,AA57)=1),"OK","UNRECOGNISED_CONTROL_VALUE"))</f>
        <v/>
      </c>
      <c r="Y57" s="303" t="n"/>
      <c r="Z57" s="303" t="n"/>
      <c r="AA57" s="303" t="n"/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356" t="n"/>
      <c r="N58" s="356" t="n"/>
      <c r="O58" s="302">
        <f>IF(COUNTA(A58:N58)+COUNTA(Q58:W58)+COUNTA(Y58:AA58)=0,"",IF(OR(LEN(TRIM(A58))=0,LEN(TRIM(B58))=0,LEN(TRIM(C58))=0,LEN(TRIM(D58))=0,LEN(TRIM(E58))=0,LEN(TRIM(F58))=0,LEN(TRIM(G58))=0,LEN(TRIM(H58))=0,LEN(TRIM(I58))=0,LEN(TRIM(J58))=0,LEN(TRIM(R58))=0,LEN(TRIM(S58))=0,LEN(TRIM(T58))=0,LEN(TRIM(V58))=0,LEN(TRIM(W58))=0,LEN(TRIM(Y58))=0,LEN(TRIM(Z58))=0,LEN(TRIM(AA58))=0),"Indeterminate",IF(X58&lt;&gt;"OK","Indeterminate",IF(OR(E58="Indeterminate",F58="Indeterminate",G58="Indeterminate",R58="Indeterminate",S58="Indeterminate",T58="Indeterminate",V58="Indeterminate",W58="Indeterminate",Y58="Indeterminate",Z58="Indeterminate",AA58="Indeterminate"),"Indeterminate",IF(OR(E58="Sponsor controlled - invalid",F58="Sponsor veto - invalid",G58="Sponsor/candidate controlled - invalid",H58&lt;&gt;"Yes",I58&lt;&gt;"Yes",J58&lt;&gt;"Yes",R58="Predetermined outcome - invalid",S58="No credible precommitment",T58="Material assistance undisclosed",V58="Missing",V58="Changed after unblinding",W58="Material shared-model generation undisclosed",Y58="No protected reporting channel",Z58="No anonymity/confidentiality protection",AA58="No anti-retaliation safeguard"),"Inadequate",IF(OR(E58="Joint with firewall",F58="Independent with security redaction only",G58="Joint with public rules",K58&lt;&gt;"",AND(L58&lt;&gt;"",LOWER(L58)&lt;&gt;"none"),R58="Declared interest with enforceable firewall",S58="Conditional precommitment with disclosed limits",T58="Material assistance disclosed and separated",W58="Material shared-model generation disclosed",Z58="Not applicable with recorded rationale"),"Adequate with declared controls","Adequate"))))))</f>
        <v/>
      </c>
      <c r="P58" s="302">
        <f>IF(AND(O58="",N58=""),"",IF(AND(O58&lt;&gt;"",N58=""),"UNRECORDED",IF(AND(O58="",N58&lt;&gt;""),"ORPHAN_RECORDED",IF(O58=N58,"MATCH","MISMATCH"))))</f>
        <v/>
      </c>
      <c r="Q58" s="103" t="n"/>
      <c r="R58" s="253" t="n"/>
      <c r="S58" s="254" t="n"/>
      <c r="T58" s="254" t="n"/>
      <c r="U58" s="255" t="n"/>
      <c r="X58" s="303">
        <f>IF(COUNTA(E58:J58)+COUNTA(R58:T58)+COUNTA(V58:W58)+COUNTA(Y58:AA58)=0,"",IF(AND(COUNTIF(Vocabulary!$S$5:$S$8,E58)=1,COUNTIF(Vocabulary!$T$5:$T$8,F58)=1,COUNTIF(Vocabulary!$U$5:$U$8,G58)=1,COUNTIF(Vocabulary!$J$5:$J$6,H58)=1,COUNTIF(Vocabulary!$J$5:$J$6,I58)=1,COUNTIF(Vocabulary!$J$5:$J$6,J58)=1,COUNTIF(Vocabulary!$W$5:$W$8,R58)=1,COUNTIF(Vocabulary!$X$5:$X$8,S58)=1,COUNTIF(Vocabulary!$Y$5:$Y$9,T58)=1,COUNTIF(Vocabulary!$Z$5:$Z$8,V58)=1,COUNTIF(Vocabulary!$AA$5:$AA$9,W58)=1,COUNTIF(Vocabulary!$AB$5:$AB$7,Y58)=1,COUNTIF(Vocabulary!$AC$5:$AC$8,Z58)=1,COUNTIF(Vocabulary!$AD$5:$AD$7,AA58)=1),"OK","UNRECOGNISED_CONTROL_VALUE"))</f>
        <v/>
      </c>
      <c r="Y58" s="303" t="n"/>
      <c r="Z58" s="303" t="n"/>
      <c r="AA58" s="303" t="n"/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56" t="n"/>
      <c r="I59" s="356" t="n"/>
      <c r="J59" s="356" t="n"/>
      <c r="K59" s="356" t="n"/>
      <c r="L59" s="356" t="n"/>
      <c r="M59" s="356" t="n"/>
      <c r="N59" s="356" t="n"/>
      <c r="O59" s="302">
        <f>IF(COUNTA(A59:N59)+COUNTA(Q59:W59)+COUNTA(Y59:AA59)=0,"",IF(OR(LEN(TRIM(A59))=0,LEN(TRIM(B59))=0,LEN(TRIM(C59))=0,LEN(TRIM(D59))=0,LEN(TRIM(E59))=0,LEN(TRIM(F59))=0,LEN(TRIM(G59))=0,LEN(TRIM(H59))=0,LEN(TRIM(I59))=0,LEN(TRIM(J59))=0,LEN(TRIM(R59))=0,LEN(TRIM(S59))=0,LEN(TRIM(T59))=0,LEN(TRIM(V59))=0,LEN(TRIM(W59))=0,LEN(TRIM(Y59))=0,LEN(TRIM(Z59))=0,LEN(TRIM(AA59))=0),"Indeterminate",IF(X59&lt;&gt;"OK","Indeterminate",IF(OR(E59="Indeterminate",F59="Indeterminate",G59="Indeterminate",R59="Indeterminate",S59="Indeterminate",T59="Indeterminate",V59="Indeterminate",W59="Indeterminate",Y59="Indeterminate",Z59="Indeterminate",AA59="Indeterminate"),"Indeterminate",IF(OR(E59="Sponsor controlled - invalid",F59="Sponsor veto - invalid",G59="Sponsor/candidate controlled - invalid",H59&lt;&gt;"Yes",I59&lt;&gt;"Yes",J59&lt;&gt;"Yes",R59="Predetermined outcome - invalid",S59="No credible precommitment",T59="Material assistance undisclosed",V59="Missing",V59="Changed after unblinding",W59="Material shared-model generation undisclosed",Y59="No protected reporting channel",Z59="No anonymity/confidentiality protection",AA59="No anti-retaliation safeguard"),"Inadequate",IF(OR(E59="Joint with firewall",F59="Independent with security redaction only",G59="Joint with public rules",K59&lt;&gt;"",AND(L59&lt;&gt;"",LOWER(L59)&lt;&gt;"none"),R59="Declared interest with enforceable firewall",S59="Conditional precommitment with disclosed limits",T59="Material assistance disclosed and separated",W59="Material shared-model generation disclosed",Z59="Not applicable with recorded rationale"),"Adequate with declared controls","Adequate"))))))</f>
        <v/>
      </c>
      <c r="P59" s="302">
        <f>IF(AND(O59="",N59=""),"",IF(AND(O59&lt;&gt;"",N59=""),"UNRECORDED",IF(AND(O59="",N59&lt;&gt;""),"ORPHAN_RECORDED",IF(O59=N59,"MATCH","MISMATCH"))))</f>
        <v/>
      </c>
      <c r="Q59" s="103" t="n"/>
      <c r="R59" s="253" t="n"/>
      <c r="S59" s="254" t="n"/>
      <c r="T59" s="254" t="n"/>
      <c r="U59" s="255" t="n"/>
      <c r="X59" s="303">
        <f>IF(COUNTA(E59:J59)+COUNTA(R59:T59)+COUNTA(V59:W59)+COUNTA(Y59:AA59)=0,"",IF(AND(COUNTIF(Vocabulary!$S$5:$S$8,E59)=1,COUNTIF(Vocabulary!$T$5:$T$8,F59)=1,COUNTIF(Vocabulary!$U$5:$U$8,G59)=1,COUNTIF(Vocabulary!$J$5:$J$6,H59)=1,COUNTIF(Vocabulary!$J$5:$J$6,I59)=1,COUNTIF(Vocabulary!$J$5:$J$6,J59)=1,COUNTIF(Vocabulary!$W$5:$W$8,R59)=1,COUNTIF(Vocabulary!$X$5:$X$8,S59)=1,COUNTIF(Vocabulary!$Y$5:$Y$9,T59)=1,COUNTIF(Vocabulary!$Z$5:$Z$8,V59)=1,COUNTIF(Vocabulary!$AA$5:$AA$9,W59)=1,COUNTIF(Vocabulary!$AB$5:$AB$7,Y59)=1,COUNTIF(Vocabulary!$AC$5:$AC$8,Z59)=1,COUNTIF(Vocabulary!$AD$5:$AD$7,AA59)=1),"OK","UNRECOGNISED_CONTROL_VALUE"))</f>
        <v/>
      </c>
      <c r="Y59" s="303" t="n"/>
      <c r="Z59" s="303" t="n"/>
      <c r="AA59" s="303" t="n"/>
    </row>
    <row r="60">
      <c r="A60" s="83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96">
        <f>IF(COUNTA(A60:N60)+COUNTA(Q60:W60)+COUNTA(Y60:AA60)=0,"",IF(OR(LEN(TRIM(A60))=0,LEN(TRIM(B60))=0,LEN(TRIM(C60))=0,LEN(TRIM(D60))=0,LEN(TRIM(E60))=0,LEN(TRIM(F60))=0,LEN(TRIM(G60))=0,LEN(TRIM(H60))=0,LEN(TRIM(I60))=0,LEN(TRIM(J60))=0,LEN(TRIM(R60))=0,LEN(TRIM(S60))=0,LEN(TRIM(T60))=0,LEN(TRIM(V60))=0,LEN(TRIM(W60))=0,LEN(TRIM(Y60))=0,LEN(TRIM(Z60))=0,LEN(TRIM(AA60))=0),"Indeterminate",IF(X60&lt;&gt;"OK","Indeterminate",IF(OR(E60="Indeterminate",F60="Indeterminate",G60="Indeterminate",R60="Indeterminate",S60="Indeterminate",T60="Indeterminate",V60="Indeterminate",W60="Indeterminate",Y60="Indeterminate",Z60="Indeterminate",AA60="Indeterminate"),"Indeterminate",IF(OR(E60="Sponsor controlled - invalid",F60="Sponsor veto - invalid",G60="Sponsor/candidate controlled - invalid",H60&lt;&gt;"Yes",I60&lt;&gt;"Yes",J60&lt;&gt;"Yes",R60="Predetermined outcome - invalid",S60="No credible precommitment",T60="Material assistance undisclosed",V60="Missing",V60="Changed after unblinding",W60="Material shared-model generation undisclosed",Y60="No protected reporting channel",Z60="No anonymity/confidentiality protection",AA60="No anti-retaliation safeguard"),"Inadequate",IF(OR(E60="Joint with firewall",F60="Independent with security redaction only",G60="Joint with public rules",K60&lt;&gt;"",AND(L60&lt;&gt;"",LOWER(L60)&lt;&gt;"none"),R60="Declared interest with enforceable firewall",S60="Conditional precommitment with disclosed limits",T60="Material assistance disclosed and separated",W60="Material shared-model generation disclosed",Z60="Not applicable with recorded rationale"),"Adequate with declared controls","Adequate"))))))</f>
        <v/>
      </c>
      <c r="P60" s="96">
        <f>IF(AND(O60="",N60=""),"",IF(AND(O60&lt;&gt;"",N60=""),"UNRECORDED",IF(AND(O60="",N60&lt;&gt;""),"ORPHAN_RECORDED",IF(O60=N60,"MATCH","MISMATCH"))))</f>
        <v/>
      </c>
      <c r="Q60" s="104" t="n"/>
      <c r="R60" s="256" t="n"/>
      <c r="S60" s="257" t="n"/>
      <c r="T60" s="257" t="n"/>
      <c r="U60" s="258" t="n"/>
      <c r="X60" s="303">
        <f>IF(COUNTA(E60:J60)+COUNTA(R60:T60)+COUNTA(V60:W60)+COUNTA(Y60:AA60)=0,"",IF(AND(COUNTIF(Vocabulary!$S$5:$S$8,E60)=1,COUNTIF(Vocabulary!$T$5:$T$8,F60)=1,COUNTIF(Vocabulary!$U$5:$U$8,G60)=1,COUNTIF(Vocabulary!$J$5:$J$6,H60)=1,COUNTIF(Vocabulary!$J$5:$J$6,I60)=1,COUNTIF(Vocabulary!$J$5:$J$6,J60)=1,COUNTIF(Vocabulary!$W$5:$W$8,R60)=1,COUNTIF(Vocabulary!$X$5:$X$8,S60)=1,COUNTIF(Vocabulary!$Y$5:$Y$9,T60)=1,COUNTIF(Vocabulary!$Z$5:$Z$8,V60)=1,COUNTIF(Vocabulary!$AA$5:$AA$9,W60)=1,COUNTIF(Vocabulary!$AB$5:$AB$7,Y60)=1,COUNTIF(Vocabulary!$AC$5:$AC$8,Z60)=1,COUNTIF(Vocabulary!$AD$5:$AD$7,AA60)=1),"OK","UNRECOGNISED_CONTROL_VALUE"))</f>
        <v/>
      </c>
      <c r="Y60" s="303" t="n"/>
      <c r="Z60" s="303" t="n"/>
      <c r="AA60" s="303" t="n"/>
    </row>
    <row r="61">
      <c r="O61">
        <f>IF(COUNTA(A61:N61)+COUNTA(Q61:W61)+COUNTA(Y61:AA61)=0,"",IF(OR(LEN(TRIM(A61))=0,LEN(TRIM(B61))=0,LEN(TRIM(C61))=0,LEN(TRIM(D61))=0,LEN(TRIM(E61))=0,LEN(TRIM(F61))=0,LEN(TRIM(G61))=0,LEN(TRIM(H61))=0,LEN(TRIM(I61))=0,LEN(TRIM(J61))=0,LEN(TRIM(R61))=0,LEN(TRIM(S61))=0,LEN(TRIM(T61))=0,LEN(TRIM(V61))=0,LEN(TRIM(W61))=0,LEN(TRIM(Y61))=0,LEN(TRIM(Z61))=0,LEN(TRIM(AA61))=0),"Indeterminate",IF(X61&lt;&gt;"OK","Indeterminate",IF(OR(E61="Indeterminate",F61="Indeterminate",G61="Indeterminate",R61="Indeterminate",S61="Indeterminate",T61="Indeterminate",V61="Indeterminate",W61="Indeterminate",Y61="Indeterminate",Z61="Indeterminate",AA61="Indeterminate"),"Indeterminate",IF(OR(E61="Sponsor controlled - invalid",F61="Sponsor veto - invalid",G61="Sponsor/candidate controlled - invalid",H61&lt;&gt;"Yes",I61&lt;&gt;"Yes",J61&lt;&gt;"Yes",R61="Predetermined outcome - invalid",S61="No credible precommitment",T61="Material assistance undisclosed",V61="Missing",V61="Changed after unblinding",W61="Material shared-model generation undisclosed",Y61="No protected reporting channel",Z61="No anonymity/confidentiality protection",AA61="No anti-retaliation safeguard"),"Inadequate",IF(OR(E61="Joint with firewall",F61="Independent with security redaction only",G61="Joint with public rules",K61&lt;&gt;"",AND(L61&lt;&gt;"",LOWER(L61)&lt;&gt;"none"),R61="Declared interest with enforceable firewall",S61="Conditional precommitment with disclosed limits",T61="Material assistance disclosed and separated",W61="Material shared-model generation disclosed",Z61="Not applicable with recorded rationale"),"Adequate with declared controls","Adequate"))))))</f>
        <v/>
      </c>
      <c r="P61">
        <f>IF(AND(O61="",N61=""),"",IF(AND(O61&lt;&gt;"",N61=""),"UNRECORDED",IF(AND(O61="",N61&lt;&gt;""),"ORPHAN_RECORDED",IF(O61=N61,"MATCH","MISMATCH"))))</f>
        <v/>
      </c>
      <c r="X61" s="303">
        <f>IF(COUNTA(E61:J61)+COUNTA(R61:T61)+COUNTA(V61:W61)+COUNTA(Y61:AA61)=0,"",IF(AND(COUNTIF(Vocabulary!$S$5:$S$8,E61)=1,COUNTIF(Vocabulary!$T$5:$T$8,F61)=1,COUNTIF(Vocabulary!$U$5:$U$8,G61)=1,COUNTIF(Vocabulary!$J$5:$J$6,H61)=1,COUNTIF(Vocabulary!$J$5:$J$6,I61)=1,COUNTIF(Vocabulary!$J$5:$J$6,J61)=1,COUNTIF(Vocabulary!$W$5:$W$8,R61)=1,COUNTIF(Vocabulary!$X$5:$X$8,S61)=1,COUNTIF(Vocabulary!$Y$5:$Y$9,T61)=1,COUNTIF(Vocabulary!$Z$5:$Z$8,V61)=1,COUNTIF(Vocabulary!$AA$5:$AA$9,W61)=1,COUNTIF(Vocabulary!$AB$5:$AB$7,Y61)=1,COUNTIF(Vocabulary!$AC$5:$AC$8,Z61)=1,COUNTIF(Vocabulary!$AD$5:$AD$7,AA61)=1),"OK","UNRECOGNISED_CONTROL_VALUE"))</f>
        <v/>
      </c>
      <c r="Y61" s="303" t="n"/>
      <c r="Z61" s="303" t="n"/>
      <c r="AA61" s="303" t="n"/>
    </row>
    <row r="62">
      <c r="O62">
        <f>IF(COUNTA(A62:N62)+COUNTA(Q62:W62)+COUNTA(Y62:AA62)=0,"",IF(OR(LEN(TRIM(A62))=0,LEN(TRIM(B62))=0,LEN(TRIM(C62))=0,LEN(TRIM(D62))=0,LEN(TRIM(E62))=0,LEN(TRIM(F62))=0,LEN(TRIM(G62))=0,LEN(TRIM(H62))=0,LEN(TRIM(I62))=0,LEN(TRIM(J62))=0,LEN(TRIM(R62))=0,LEN(TRIM(S62))=0,LEN(TRIM(T62))=0,LEN(TRIM(V62))=0,LEN(TRIM(W62))=0,LEN(TRIM(Y62))=0,LEN(TRIM(Z62))=0,LEN(TRIM(AA62))=0),"Indeterminate",IF(X62&lt;&gt;"OK","Indeterminate",IF(OR(E62="Indeterminate",F62="Indeterminate",G62="Indeterminate",R62="Indeterminate",S62="Indeterminate",T62="Indeterminate",V62="Indeterminate",W62="Indeterminate",Y62="Indeterminate",Z62="Indeterminate",AA62="Indeterminate"),"Indeterminate",IF(OR(E62="Sponsor controlled - invalid",F62="Sponsor veto - invalid",G62="Sponsor/candidate controlled - invalid",H62&lt;&gt;"Yes",I62&lt;&gt;"Yes",J62&lt;&gt;"Yes",R62="Predetermined outcome - invalid",S62="No credible precommitment",T62="Material assistance undisclosed",V62="Missing",V62="Changed after unblinding",W62="Material shared-model generation undisclosed",Y62="No protected reporting channel",Z62="No anonymity/confidentiality protection",AA62="No anti-retaliation safeguard"),"Inadequate",IF(OR(E62="Joint with firewall",F62="Independent with security redaction only",G62="Joint with public rules",K62&lt;&gt;"",AND(L62&lt;&gt;"",LOWER(L62)&lt;&gt;"none"),R62="Declared interest with enforceable firewall",S62="Conditional precommitment with disclosed limits",T62="Material assistance disclosed and separated",W62="Material shared-model generation disclosed",Z62="Not applicable with recorded rationale"),"Adequate with declared controls","Adequate"))))))</f>
        <v/>
      </c>
      <c r="P62">
        <f>IF(AND(O62="",N62=""),"",IF(AND(O62&lt;&gt;"",N62=""),"UNRECORDED",IF(AND(O62="",N62&lt;&gt;""),"ORPHAN_RECORDED",IF(O62=N62,"MATCH","MISMATCH"))))</f>
        <v/>
      </c>
      <c r="X62" s="303">
        <f>IF(COUNTA(E62:J62)+COUNTA(R62:T62)+COUNTA(V62:W62)+COUNTA(Y62:AA62)=0,"",IF(AND(COUNTIF(Vocabulary!$S$5:$S$8,E62)=1,COUNTIF(Vocabulary!$T$5:$T$8,F62)=1,COUNTIF(Vocabulary!$U$5:$U$8,G62)=1,COUNTIF(Vocabulary!$J$5:$J$6,H62)=1,COUNTIF(Vocabulary!$J$5:$J$6,I62)=1,COUNTIF(Vocabulary!$J$5:$J$6,J62)=1,COUNTIF(Vocabulary!$W$5:$W$8,R62)=1,COUNTIF(Vocabulary!$X$5:$X$8,S62)=1,COUNTIF(Vocabulary!$Y$5:$Y$9,T62)=1,COUNTIF(Vocabulary!$Z$5:$Z$8,V62)=1,COUNTIF(Vocabulary!$AA$5:$AA$9,W62)=1,COUNTIF(Vocabulary!$AB$5:$AB$7,Y62)=1,COUNTIF(Vocabulary!$AC$5:$AC$8,Z62)=1,COUNTIF(Vocabulary!$AD$5:$AD$7,AA62)=1),"OK","UNRECOGNISED_CONTROL_VALUE"))</f>
        <v/>
      </c>
      <c r="Y62" s="303" t="n"/>
      <c r="Z62" s="303" t="n"/>
      <c r="AA62" s="303" t="n"/>
    </row>
    <row r="63">
      <c r="O63">
        <f>IF(COUNTA(A63:N63)+COUNTA(Q63:W63)+COUNTA(Y63:AA63)=0,"",IF(OR(LEN(TRIM(A63))=0,LEN(TRIM(B63))=0,LEN(TRIM(C63))=0,LEN(TRIM(D63))=0,LEN(TRIM(E63))=0,LEN(TRIM(F63))=0,LEN(TRIM(G63))=0,LEN(TRIM(H63))=0,LEN(TRIM(I63))=0,LEN(TRIM(J63))=0,LEN(TRIM(R63))=0,LEN(TRIM(S63))=0,LEN(TRIM(T63))=0,LEN(TRIM(V63))=0,LEN(TRIM(W63))=0,LEN(TRIM(Y63))=0,LEN(TRIM(Z63))=0,LEN(TRIM(AA63))=0),"Indeterminate",IF(X63&lt;&gt;"OK","Indeterminate",IF(OR(E63="Indeterminate",F63="Indeterminate",G63="Indeterminate",R63="Indeterminate",S63="Indeterminate",T63="Indeterminate",V63="Indeterminate",W63="Indeterminate",Y63="Indeterminate",Z63="Indeterminate",AA63="Indeterminate"),"Indeterminate",IF(OR(E63="Sponsor controlled - invalid",F63="Sponsor veto - invalid",G63="Sponsor/candidate controlled - invalid",H63&lt;&gt;"Yes",I63&lt;&gt;"Yes",J63&lt;&gt;"Yes",R63="Predetermined outcome - invalid",S63="No credible precommitment",T63="Material assistance undisclosed",V63="Missing",V63="Changed after unblinding",W63="Material shared-model generation undisclosed",Y63="No protected reporting channel",Z63="No anonymity/confidentiality protection",AA63="No anti-retaliation safeguard"),"Inadequate",IF(OR(E63="Joint with firewall",F63="Independent with security redaction only",G63="Joint with public rules",K63&lt;&gt;"",AND(L63&lt;&gt;"",LOWER(L63)&lt;&gt;"none"),R63="Declared interest with enforceable firewall",S63="Conditional precommitment with disclosed limits",T63="Material assistance disclosed and separated",W63="Material shared-model generation disclosed",Z63="Not applicable with recorded rationale"),"Adequate with declared controls","Adequate"))))))</f>
        <v/>
      </c>
      <c r="P63">
        <f>IF(AND(O63="",N63=""),"",IF(AND(O63&lt;&gt;"",N63=""),"UNRECORDED",IF(AND(O63="",N63&lt;&gt;""),"ORPHAN_RECORDED",IF(O63=N63,"MATCH","MISMATCH"))))</f>
        <v/>
      </c>
      <c r="X63" s="303">
        <f>IF(COUNTA(E63:J63)+COUNTA(R63:T63)+COUNTA(V63:W63)+COUNTA(Y63:AA63)=0,"",IF(AND(COUNTIF(Vocabulary!$S$5:$S$8,E63)=1,COUNTIF(Vocabulary!$T$5:$T$8,F63)=1,COUNTIF(Vocabulary!$U$5:$U$8,G63)=1,COUNTIF(Vocabulary!$J$5:$J$6,H63)=1,COUNTIF(Vocabulary!$J$5:$J$6,I63)=1,COUNTIF(Vocabulary!$J$5:$J$6,J63)=1,COUNTIF(Vocabulary!$W$5:$W$8,R63)=1,COUNTIF(Vocabulary!$X$5:$X$8,S63)=1,COUNTIF(Vocabulary!$Y$5:$Y$9,T63)=1,COUNTIF(Vocabulary!$Z$5:$Z$8,V63)=1,COUNTIF(Vocabulary!$AA$5:$AA$9,W63)=1,COUNTIF(Vocabulary!$AB$5:$AB$7,Y63)=1,COUNTIF(Vocabulary!$AC$5:$AC$8,Z63)=1,COUNTIF(Vocabulary!$AD$5:$AD$7,AA63)=1),"OK","UNRECOGNISED_CONTROL_VALUE"))</f>
        <v/>
      </c>
      <c r="Y63" s="303" t="n"/>
      <c r="Z63" s="303" t="n"/>
      <c r="AA63" s="303" t="n"/>
    </row>
    <row r="64">
      <c r="O64">
        <f>IF(COUNTA(A64:N64)+COUNTA(Q64:W64)+COUNTA(Y64:AA64)=0,"",IF(OR(LEN(TRIM(A64))=0,LEN(TRIM(B64))=0,LEN(TRIM(C64))=0,LEN(TRIM(D64))=0,LEN(TRIM(E64))=0,LEN(TRIM(F64))=0,LEN(TRIM(G64))=0,LEN(TRIM(H64))=0,LEN(TRIM(I64))=0,LEN(TRIM(J64))=0,LEN(TRIM(R64))=0,LEN(TRIM(S64))=0,LEN(TRIM(T64))=0,LEN(TRIM(V64))=0,LEN(TRIM(W64))=0,LEN(TRIM(Y64))=0,LEN(TRIM(Z64))=0,LEN(TRIM(AA64))=0),"Indeterminate",IF(X64&lt;&gt;"OK","Indeterminate",IF(OR(E64="Indeterminate",F64="Indeterminate",G64="Indeterminate",R64="Indeterminate",S64="Indeterminate",T64="Indeterminate",V64="Indeterminate",W64="Indeterminate",Y64="Indeterminate",Z64="Indeterminate",AA64="Indeterminate"),"Indeterminate",IF(OR(E64="Sponsor controlled - invalid",F64="Sponsor veto - invalid",G64="Sponsor/candidate controlled - invalid",H64&lt;&gt;"Yes",I64&lt;&gt;"Yes",J64&lt;&gt;"Yes",R64="Predetermined outcome - invalid",S64="No credible precommitment",T64="Material assistance undisclosed",V64="Missing",V64="Changed after unblinding",W64="Material shared-model generation undisclosed",Y64="No protected reporting channel",Z64="No anonymity/confidentiality protection",AA64="No anti-retaliation safeguard"),"Inadequate",IF(OR(E64="Joint with firewall",F64="Independent with security redaction only",G64="Joint with public rules",K64&lt;&gt;"",AND(L64&lt;&gt;"",LOWER(L64)&lt;&gt;"none"),R64="Declared interest with enforceable firewall",S64="Conditional precommitment with disclosed limits",T64="Material assistance disclosed and separated",W64="Material shared-model generation disclosed",Z64="Not applicable with recorded rationale"),"Adequate with declared controls","Adequate"))))))</f>
        <v/>
      </c>
      <c r="P64">
        <f>IF(AND(O64="",N64=""),"",IF(AND(O64&lt;&gt;"",N64=""),"UNRECORDED",IF(AND(O64="",N64&lt;&gt;""),"ORPHAN_RECORDED",IF(O64=N64,"MATCH","MISMATCH"))))</f>
        <v/>
      </c>
      <c r="X64" s="303">
        <f>IF(COUNTA(E64:J64)+COUNTA(R64:T64)+COUNTA(V64:W64)+COUNTA(Y64:AA64)=0,"",IF(AND(COUNTIF(Vocabulary!$S$5:$S$8,E64)=1,COUNTIF(Vocabulary!$T$5:$T$8,F64)=1,COUNTIF(Vocabulary!$U$5:$U$8,G64)=1,COUNTIF(Vocabulary!$J$5:$J$6,H64)=1,COUNTIF(Vocabulary!$J$5:$J$6,I64)=1,COUNTIF(Vocabulary!$J$5:$J$6,J64)=1,COUNTIF(Vocabulary!$W$5:$W$8,R64)=1,COUNTIF(Vocabulary!$X$5:$X$8,S64)=1,COUNTIF(Vocabulary!$Y$5:$Y$9,T64)=1,COUNTIF(Vocabulary!$Z$5:$Z$8,V64)=1,COUNTIF(Vocabulary!$AA$5:$AA$9,W64)=1,COUNTIF(Vocabulary!$AB$5:$AB$7,Y64)=1,COUNTIF(Vocabulary!$AC$5:$AC$8,Z64)=1,COUNTIF(Vocabulary!$AD$5:$AD$7,AA64)=1),"OK","UNRECOGNISED_CONTROL_VALUE"))</f>
        <v/>
      </c>
      <c r="Y64" s="303" t="n"/>
      <c r="Z64" s="303" t="n"/>
      <c r="AA64" s="303" t="n"/>
    </row>
    <row r="65">
      <c r="O65">
        <f>IF(COUNTA(A65:N65)+COUNTA(Q65:W65)+COUNTA(Y65:AA65)=0,"",IF(OR(LEN(TRIM(A65))=0,LEN(TRIM(B65))=0,LEN(TRIM(C65))=0,LEN(TRIM(D65))=0,LEN(TRIM(E65))=0,LEN(TRIM(F65))=0,LEN(TRIM(G65))=0,LEN(TRIM(H65))=0,LEN(TRIM(I65))=0,LEN(TRIM(J65))=0,LEN(TRIM(R65))=0,LEN(TRIM(S65))=0,LEN(TRIM(T65))=0,LEN(TRIM(V65))=0,LEN(TRIM(W65))=0,LEN(TRIM(Y65))=0,LEN(TRIM(Z65))=0,LEN(TRIM(AA65))=0),"Indeterminate",IF(X65&lt;&gt;"OK","Indeterminate",IF(OR(E65="Indeterminate",F65="Indeterminate",G65="Indeterminate",R65="Indeterminate",S65="Indeterminate",T65="Indeterminate",V65="Indeterminate",W65="Indeterminate",Y65="Indeterminate",Z65="Indeterminate",AA65="Indeterminate"),"Indeterminate",IF(OR(E65="Sponsor controlled - invalid",F65="Sponsor veto - invalid",G65="Sponsor/candidate controlled - invalid",H65&lt;&gt;"Yes",I65&lt;&gt;"Yes",J65&lt;&gt;"Yes",R65="Predetermined outcome - invalid",S65="No credible precommitment",T65="Material assistance undisclosed",V65="Missing",V65="Changed after unblinding",W65="Material shared-model generation undisclosed",Y65="No protected reporting channel",Z65="No anonymity/confidentiality protection",AA65="No anti-retaliation safeguard"),"Inadequate",IF(OR(E65="Joint with firewall",F65="Independent with security redaction only",G65="Joint with public rules",K65&lt;&gt;"",AND(L65&lt;&gt;"",LOWER(L65)&lt;&gt;"none"),R65="Declared interest with enforceable firewall",S65="Conditional precommitment with disclosed limits",T65="Material assistance disclosed and separated",W65="Material shared-model generation disclosed",Z65="Not applicable with recorded rationale"),"Adequate with declared controls","Adequate"))))))</f>
        <v/>
      </c>
      <c r="P65">
        <f>IF(AND(O65="",N65=""),"",IF(AND(O65&lt;&gt;"",N65=""),"UNRECORDED",IF(AND(O65="",N65&lt;&gt;""),"ORPHAN_RECORDED",IF(O65=N65,"MATCH","MISMATCH"))))</f>
        <v/>
      </c>
      <c r="X65" s="303">
        <f>IF(COUNTA(E65:J65)+COUNTA(R65:T65)+COUNTA(V65:W65)+COUNTA(Y65:AA65)=0,"",IF(AND(COUNTIF(Vocabulary!$S$5:$S$8,E65)=1,COUNTIF(Vocabulary!$T$5:$T$8,F65)=1,COUNTIF(Vocabulary!$U$5:$U$8,G65)=1,COUNTIF(Vocabulary!$J$5:$J$6,H65)=1,COUNTIF(Vocabulary!$J$5:$J$6,I65)=1,COUNTIF(Vocabulary!$J$5:$J$6,J65)=1,COUNTIF(Vocabulary!$W$5:$W$8,R65)=1,COUNTIF(Vocabulary!$X$5:$X$8,S65)=1,COUNTIF(Vocabulary!$Y$5:$Y$9,T65)=1,COUNTIF(Vocabulary!$Z$5:$Z$8,V65)=1,COUNTIF(Vocabulary!$AA$5:$AA$9,W65)=1,COUNTIF(Vocabulary!$AB$5:$AB$7,Y65)=1,COUNTIF(Vocabulary!$AC$5:$AC$8,Z65)=1,COUNTIF(Vocabulary!$AD$5:$AD$7,AA65)=1),"OK","UNRECOGNISED_CONTROL_VALUE"))</f>
        <v/>
      </c>
      <c r="Y65" s="303" t="n"/>
      <c r="Z65" s="303" t="n"/>
      <c r="AA65" s="303" t="n"/>
    </row>
    <row r="66">
      <c r="O66">
        <f>IF(COUNTA(A66:N66)+COUNTA(Q66:W66)+COUNTA(Y66:AA66)=0,"",IF(OR(LEN(TRIM(A66))=0,LEN(TRIM(B66))=0,LEN(TRIM(C66))=0,LEN(TRIM(D66))=0,LEN(TRIM(E66))=0,LEN(TRIM(F66))=0,LEN(TRIM(G66))=0,LEN(TRIM(H66))=0,LEN(TRIM(I66))=0,LEN(TRIM(J66))=0,LEN(TRIM(R66))=0,LEN(TRIM(S66))=0,LEN(TRIM(T66))=0,LEN(TRIM(V66))=0,LEN(TRIM(W66))=0,LEN(TRIM(Y66))=0,LEN(TRIM(Z66))=0,LEN(TRIM(AA66))=0),"Indeterminate",IF(X66&lt;&gt;"OK","Indeterminate",IF(OR(E66="Indeterminate",F66="Indeterminate",G66="Indeterminate",R66="Indeterminate",S66="Indeterminate",T66="Indeterminate",V66="Indeterminate",W66="Indeterminate",Y66="Indeterminate",Z66="Indeterminate",AA66="Indeterminate"),"Indeterminate",IF(OR(E66="Sponsor controlled - invalid",F66="Sponsor veto - invalid",G66="Sponsor/candidate controlled - invalid",H66&lt;&gt;"Yes",I66&lt;&gt;"Yes",J66&lt;&gt;"Yes",R66="Predetermined outcome - invalid",S66="No credible precommitment",T66="Material assistance undisclosed",V66="Missing",V66="Changed after unblinding",W66="Material shared-model generation undisclosed",Y66="No protected reporting channel",Z66="No anonymity/confidentiality protection",AA66="No anti-retaliation safeguard"),"Inadequate",IF(OR(E66="Joint with firewall",F66="Independent with security redaction only",G66="Joint with public rules",K66&lt;&gt;"",AND(L66&lt;&gt;"",LOWER(L66)&lt;&gt;"none"),R66="Declared interest with enforceable firewall",S66="Conditional precommitment with disclosed limits",T66="Material assistance disclosed and separated",W66="Material shared-model generation disclosed",Z66="Not applicable with recorded rationale"),"Adequate with declared controls","Adequate"))))))</f>
        <v/>
      </c>
      <c r="P66">
        <f>IF(AND(O66="",N66=""),"",IF(AND(O66&lt;&gt;"",N66=""),"UNRECORDED",IF(AND(O66="",N66&lt;&gt;""),"ORPHAN_RECORDED",IF(O66=N66,"MATCH","MISMATCH"))))</f>
        <v/>
      </c>
      <c r="X66" s="303">
        <f>IF(COUNTA(E66:J66)+COUNTA(R66:T66)+COUNTA(V66:W66)+COUNTA(Y66:AA66)=0,"",IF(AND(COUNTIF(Vocabulary!$S$5:$S$8,E66)=1,COUNTIF(Vocabulary!$T$5:$T$8,F66)=1,COUNTIF(Vocabulary!$U$5:$U$8,G66)=1,COUNTIF(Vocabulary!$J$5:$J$6,H66)=1,COUNTIF(Vocabulary!$J$5:$J$6,I66)=1,COUNTIF(Vocabulary!$J$5:$J$6,J66)=1,COUNTIF(Vocabulary!$W$5:$W$8,R66)=1,COUNTIF(Vocabulary!$X$5:$X$8,S66)=1,COUNTIF(Vocabulary!$Y$5:$Y$9,T66)=1,COUNTIF(Vocabulary!$Z$5:$Z$8,V66)=1,COUNTIF(Vocabulary!$AA$5:$AA$9,W66)=1,COUNTIF(Vocabulary!$AB$5:$AB$7,Y66)=1,COUNTIF(Vocabulary!$AC$5:$AC$8,Z66)=1,COUNTIF(Vocabulary!$AD$5:$AD$7,AA66)=1),"OK","UNRECOGNISED_CONTROL_VALUE"))</f>
        <v/>
      </c>
      <c r="Y66" s="303" t="n"/>
      <c r="Z66" s="303" t="n"/>
      <c r="AA66" s="303" t="n"/>
    </row>
    <row r="67">
      <c r="O67">
        <f>IF(COUNTA(A67:N67)+COUNTA(Q67:W67)+COUNTA(Y67:AA67)=0,"",IF(OR(LEN(TRIM(A67))=0,LEN(TRIM(B67))=0,LEN(TRIM(C67))=0,LEN(TRIM(D67))=0,LEN(TRIM(E67))=0,LEN(TRIM(F67))=0,LEN(TRIM(G67))=0,LEN(TRIM(H67))=0,LEN(TRIM(I67))=0,LEN(TRIM(J67))=0,LEN(TRIM(R67))=0,LEN(TRIM(S67))=0,LEN(TRIM(T67))=0,LEN(TRIM(V67))=0,LEN(TRIM(W67))=0,LEN(TRIM(Y67))=0,LEN(TRIM(Z67))=0,LEN(TRIM(AA67))=0),"Indeterminate",IF(X67&lt;&gt;"OK","Indeterminate",IF(OR(E67="Indeterminate",F67="Indeterminate",G67="Indeterminate",R67="Indeterminate",S67="Indeterminate",T67="Indeterminate",V67="Indeterminate",W67="Indeterminate",Y67="Indeterminate",Z67="Indeterminate",AA67="Indeterminate"),"Indeterminate",IF(OR(E67="Sponsor controlled - invalid",F67="Sponsor veto - invalid",G67="Sponsor/candidate controlled - invalid",H67&lt;&gt;"Yes",I67&lt;&gt;"Yes",J67&lt;&gt;"Yes",R67="Predetermined outcome - invalid",S67="No credible precommitment",T67="Material assistance undisclosed",V67="Missing",V67="Changed after unblinding",W67="Material shared-model generation undisclosed",Y67="No protected reporting channel",Z67="No anonymity/confidentiality protection",AA67="No anti-retaliation safeguard"),"Inadequate",IF(OR(E67="Joint with firewall",F67="Independent with security redaction only",G67="Joint with public rules",K67&lt;&gt;"",AND(L67&lt;&gt;"",LOWER(L67)&lt;&gt;"none"),R67="Declared interest with enforceable firewall",S67="Conditional precommitment with disclosed limits",T67="Material assistance disclosed and separated",W67="Material shared-model generation disclosed",Z67="Not applicable with recorded rationale"),"Adequate with declared controls","Adequate"))))))</f>
        <v/>
      </c>
      <c r="P67">
        <f>IF(AND(O67="",N67=""),"",IF(AND(O67&lt;&gt;"",N67=""),"UNRECORDED",IF(AND(O67="",N67&lt;&gt;""),"ORPHAN_RECORDED",IF(O67=N67,"MATCH","MISMATCH"))))</f>
        <v/>
      </c>
      <c r="X67" s="303">
        <f>IF(COUNTA(E67:J67)+COUNTA(R67:T67)+COUNTA(V67:W67)+COUNTA(Y67:AA67)=0,"",IF(AND(COUNTIF(Vocabulary!$S$5:$S$8,E67)=1,COUNTIF(Vocabulary!$T$5:$T$8,F67)=1,COUNTIF(Vocabulary!$U$5:$U$8,G67)=1,COUNTIF(Vocabulary!$J$5:$J$6,H67)=1,COUNTIF(Vocabulary!$J$5:$J$6,I67)=1,COUNTIF(Vocabulary!$J$5:$J$6,J67)=1,COUNTIF(Vocabulary!$W$5:$W$8,R67)=1,COUNTIF(Vocabulary!$X$5:$X$8,S67)=1,COUNTIF(Vocabulary!$Y$5:$Y$9,T67)=1,COUNTIF(Vocabulary!$Z$5:$Z$8,V67)=1,COUNTIF(Vocabulary!$AA$5:$AA$9,W67)=1,COUNTIF(Vocabulary!$AB$5:$AB$7,Y67)=1,COUNTIF(Vocabulary!$AC$5:$AC$8,Z67)=1,COUNTIF(Vocabulary!$AD$5:$AD$7,AA67)=1),"OK","UNRECOGNISED_CONTROL_VALUE"))</f>
        <v/>
      </c>
      <c r="Y67" s="303" t="n"/>
      <c r="Z67" s="303" t="n"/>
      <c r="AA67" s="303" t="n"/>
    </row>
    <row r="68">
      <c r="O68">
        <f>IF(COUNTA(A68:N68)+COUNTA(Q68:W68)+COUNTA(Y68:AA68)=0,"",IF(OR(LEN(TRIM(A68))=0,LEN(TRIM(B68))=0,LEN(TRIM(C68))=0,LEN(TRIM(D68))=0,LEN(TRIM(E68))=0,LEN(TRIM(F68))=0,LEN(TRIM(G68))=0,LEN(TRIM(H68))=0,LEN(TRIM(I68))=0,LEN(TRIM(J68))=0,LEN(TRIM(R68))=0,LEN(TRIM(S68))=0,LEN(TRIM(T68))=0,LEN(TRIM(V68))=0,LEN(TRIM(W68))=0,LEN(TRIM(Y68))=0,LEN(TRIM(Z68))=0,LEN(TRIM(AA68))=0),"Indeterminate",IF(X68&lt;&gt;"OK","Indeterminate",IF(OR(E68="Indeterminate",F68="Indeterminate",G68="Indeterminate",R68="Indeterminate",S68="Indeterminate",T68="Indeterminate",V68="Indeterminate",W68="Indeterminate",Y68="Indeterminate",Z68="Indeterminate",AA68="Indeterminate"),"Indeterminate",IF(OR(E68="Sponsor controlled - invalid",F68="Sponsor veto - invalid",G68="Sponsor/candidate controlled - invalid",H68&lt;&gt;"Yes",I68&lt;&gt;"Yes",J68&lt;&gt;"Yes",R68="Predetermined outcome - invalid",S68="No credible precommitment",T68="Material assistance undisclosed",V68="Missing",V68="Changed after unblinding",W68="Material shared-model generation undisclosed",Y68="No protected reporting channel",Z68="No anonymity/confidentiality protection",AA68="No anti-retaliation safeguard"),"Inadequate",IF(OR(E68="Joint with firewall",F68="Independent with security redaction only",G68="Joint with public rules",K68&lt;&gt;"",AND(L68&lt;&gt;"",LOWER(L68)&lt;&gt;"none"),R68="Declared interest with enforceable firewall",S68="Conditional precommitment with disclosed limits",T68="Material assistance disclosed and separated",W68="Material shared-model generation disclosed",Z68="Not applicable with recorded rationale"),"Adequate with declared controls","Adequate"))))))</f>
        <v/>
      </c>
      <c r="P68">
        <f>IF(AND(O68="",N68=""),"",IF(AND(O68&lt;&gt;"",N68=""),"UNRECORDED",IF(AND(O68="",N68&lt;&gt;""),"ORPHAN_RECORDED",IF(O68=N68,"MATCH","MISMATCH"))))</f>
        <v/>
      </c>
      <c r="X68" s="303">
        <f>IF(COUNTA(E68:J68)+COUNTA(R68:T68)+COUNTA(V68:W68)+COUNTA(Y68:AA68)=0,"",IF(AND(COUNTIF(Vocabulary!$S$5:$S$8,E68)=1,COUNTIF(Vocabulary!$T$5:$T$8,F68)=1,COUNTIF(Vocabulary!$U$5:$U$8,G68)=1,COUNTIF(Vocabulary!$J$5:$J$6,H68)=1,COUNTIF(Vocabulary!$J$5:$J$6,I68)=1,COUNTIF(Vocabulary!$J$5:$J$6,J68)=1,COUNTIF(Vocabulary!$W$5:$W$8,R68)=1,COUNTIF(Vocabulary!$X$5:$X$8,S68)=1,COUNTIF(Vocabulary!$Y$5:$Y$9,T68)=1,COUNTIF(Vocabulary!$Z$5:$Z$8,V68)=1,COUNTIF(Vocabulary!$AA$5:$AA$9,W68)=1,COUNTIF(Vocabulary!$AB$5:$AB$7,Y68)=1,COUNTIF(Vocabulary!$AC$5:$AC$8,Z68)=1,COUNTIF(Vocabulary!$AD$5:$AD$7,AA68)=1),"OK","UNRECOGNISED_CONTROL_VALUE"))</f>
        <v/>
      </c>
      <c r="Y68" s="303" t="n"/>
      <c r="Z68" s="303" t="n"/>
      <c r="AA68" s="303" t="n"/>
    </row>
    <row r="69">
      <c r="O69">
        <f>IF(COUNTA(A69:N69)+COUNTA(Q69:W69)+COUNTA(Y69:AA69)=0,"",IF(OR(LEN(TRIM(A69))=0,LEN(TRIM(B69))=0,LEN(TRIM(C69))=0,LEN(TRIM(D69))=0,LEN(TRIM(E69))=0,LEN(TRIM(F69))=0,LEN(TRIM(G69))=0,LEN(TRIM(H69))=0,LEN(TRIM(I69))=0,LEN(TRIM(J69))=0,LEN(TRIM(R69))=0,LEN(TRIM(S69))=0,LEN(TRIM(T69))=0,LEN(TRIM(V69))=0,LEN(TRIM(W69))=0,LEN(TRIM(Y69))=0,LEN(TRIM(Z69))=0,LEN(TRIM(AA69))=0),"Indeterminate",IF(X69&lt;&gt;"OK","Indeterminate",IF(OR(E69="Indeterminate",F69="Indeterminate",G69="Indeterminate",R69="Indeterminate",S69="Indeterminate",T69="Indeterminate",V69="Indeterminate",W69="Indeterminate",Y69="Indeterminate",Z69="Indeterminate",AA69="Indeterminate"),"Indeterminate",IF(OR(E69="Sponsor controlled - invalid",F69="Sponsor veto - invalid",G69="Sponsor/candidate controlled - invalid",H69&lt;&gt;"Yes",I69&lt;&gt;"Yes",J69&lt;&gt;"Yes",R69="Predetermined outcome - invalid",S69="No credible precommitment",T69="Material assistance undisclosed",V69="Missing",V69="Changed after unblinding",W69="Material shared-model generation undisclosed",Y69="No protected reporting channel",Z69="No anonymity/confidentiality protection",AA69="No anti-retaliation safeguard"),"Inadequate",IF(OR(E69="Joint with firewall",F69="Independent with security redaction only",G69="Joint with public rules",K69&lt;&gt;"",AND(L69&lt;&gt;"",LOWER(L69)&lt;&gt;"none"),R69="Declared interest with enforceable firewall",S69="Conditional precommitment with disclosed limits",T69="Material assistance disclosed and separated",W69="Material shared-model generation disclosed",Z69="Not applicable with recorded rationale"),"Adequate with declared controls","Adequate"))))))</f>
        <v/>
      </c>
      <c r="P69">
        <f>IF(AND(O69="",N69=""),"",IF(AND(O69&lt;&gt;"",N69=""),"UNRECORDED",IF(AND(O69="",N69&lt;&gt;""),"ORPHAN_RECORDED",IF(O69=N69,"MATCH","MISMATCH"))))</f>
        <v/>
      </c>
      <c r="X69" s="303">
        <f>IF(COUNTA(E69:J69)+COUNTA(R69:T69)+COUNTA(V69:W69)+COUNTA(Y69:AA69)=0,"",IF(AND(COUNTIF(Vocabulary!$S$5:$S$8,E69)=1,COUNTIF(Vocabulary!$T$5:$T$8,F69)=1,COUNTIF(Vocabulary!$U$5:$U$8,G69)=1,COUNTIF(Vocabulary!$J$5:$J$6,H69)=1,COUNTIF(Vocabulary!$J$5:$J$6,I69)=1,COUNTIF(Vocabulary!$J$5:$J$6,J69)=1,COUNTIF(Vocabulary!$W$5:$W$8,R69)=1,COUNTIF(Vocabulary!$X$5:$X$8,S69)=1,COUNTIF(Vocabulary!$Y$5:$Y$9,T69)=1,COUNTIF(Vocabulary!$Z$5:$Z$8,V69)=1,COUNTIF(Vocabulary!$AA$5:$AA$9,W69)=1,COUNTIF(Vocabulary!$AB$5:$AB$7,Y69)=1,COUNTIF(Vocabulary!$AC$5:$AC$8,Z69)=1,COUNTIF(Vocabulary!$AD$5:$AD$7,AA69)=1),"OK","UNRECOGNISED_CONTROL_VALUE"))</f>
        <v/>
      </c>
      <c r="Y69" s="303" t="n"/>
      <c r="Z69" s="303" t="n"/>
      <c r="AA69" s="303" t="n"/>
    </row>
    <row r="70">
      <c r="O70">
        <f>IF(COUNTA(A70:N70)+COUNTA(Q70:W70)+COUNTA(Y70:AA70)=0,"",IF(OR(LEN(TRIM(A70))=0,LEN(TRIM(B70))=0,LEN(TRIM(C70))=0,LEN(TRIM(D70))=0,LEN(TRIM(E70))=0,LEN(TRIM(F70))=0,LEN(TRIM(G70))=0,LEN(TRIM(H70))=0,LEN(TRIM(I70))=0,LEN(TRIM(J70))=0,LEN(TRIM(R70))=0,LEN(TRIM(S70))=0,LEN(TRIM(T70))=0,LEN(TRIM(V70))=0,LEN(TRIM(W70))=0,LEN(TRIM(Y70))=0,LEN(TRIM(Z70))=0,LEN(TRIM(AA70))=0),"Indeterminate",IF(X70&lt;&gt;"OK","Indeterminate",IF(OR(E70="Indeterminate",F70="Indeterminate",G70="Indeterminate",R70="Indeterminate",S70="Indeterminate",T70="Indeterminate",V70="Indeterminate",W70="Indeterminate",Y70="Indeterminate",Z70="Indeterminate",AA70="Indeterminate"),"Indeterminate",IF(OR(E70="Sponsor controlled - invalid",F70="Sponsor veto - invalid",G70="Sponsor/candidate controlled - invalid",H70&lt;&gt;"Yes",I70&lt;&gt;"Yes",J70&lt;&gt;"Yes",R70="Predetermined outcome - invalid",S70="No credible precommitment",T70="Material assistance undisclosed",V70="Missing",V70="Changed after unblinding",W70="Material shared-model generation undisclosed",Y70="No protected reporting channel",Z70="No anonymity/confidentiality protection",AA70="No anti-retaliation safeguard"),"Inadequate",IF(OR(E70="Joint with firewall",F70="Independent with security redaction only",G70="Joint with public rules",K70&lt;&gt;"",AND(L70&lt;&gt;"",LOWER(L70)&lt;&gt;"none"),R70="Declared interest with enforceable firewall",S70="Conditional precommitment with disclosed limits",T70="Material assistance disclosed and separated",W70="Material shared-model generation disclosed",Z70="Not applicable with recorded rationale"),"Adequate with declared controls","Adequate"))))))</f>
        <v/>
      </c>
      <c r="P70">
        <f>IF(AND(O70="",N70=""),"",IF(AND(O70&lt;&gt;"",N70=""),"UNRECORDED",IF(AND(O70="",N70&lt;&gt;""),"ORPHAN_RECORDED",IF(O70=N70,"MATCH","MISMATCH"))))</f>
        <v/>
      </c>
      <c r="X70" s="303">
        <f>IF(COUNTA(E70:J70)+COUNTA(R70:T70)+COUNTA(V70:W70)+COUNTA(Y70:AA70)=0,"",IF(AND(COUNTIF(Vocabulary!$S$5:$S$8,E70)=1,COUNTIF(Vocabulary!$T$5:$T$8,F70)=1,COUNTIF(Vocabulary!$U$5:$U$8,G70)=1,COUNTIF(Vocabulary!$J$5:$J$6,H70)=1,COUNTIF(Vocabulary!$J$5:$J$6,I70)=1,COUNTIF(Vocabulary!$J$5:$J$6,J70)=1,COUNTIF(Vocabulary!$W$5:$W$8,R70)=1,COUNTIF(Vocabulary!$X$5:$X$8,S70)=1,COUNTIF(Vocabulary!$Y$5:$Y$9,T70)=1,COUNTIF(Vocabulary!$Z$5:$Z$8,V70)=1,COUNTIF(Vocabulary!$AA$5:$AA$9,W70)=1,COUNTIF(Vocabulary!$AB$5:$AB$7,Y70)=1,COUNTIF(Vocabulary!$AC$5:$AC$8,Z70)=1,COUNTIF(Vocabulary!$AD$5:$AD$7,AA70)=1),"OK","UNRECOGNISED_CONTROL_VALUE"))</f>
        <v/>
      </c>
      <c r="Y70" s="303" t="n"/>
      <c r="Z70" s="303" t="n"/>
      <c r="AA70" s="303" t="n"/>
    </row>
    <row r="71">
      <c r="O71">
        <f>IF(COUNTA(A71:N71)+COUNTA(Q71:W71)+COUNTA(Y71:AA71)=0,"",IF(OR(LEN(TRIM(A71))=0,LEN(TRIM(B71))=0,LEN(TRIM(C71))=0,LEN(TRIM(D71))=0,LEN(TRIM(E71))=0,LEN(TRIM(F71))=0,LEN(TRIM(G71))=0,LEN(TRIM(H71))=0,LEN(TRIM(I71))=0,LEN(TRIM(J71))=0,LEN(TRIM(R71))=0,LEN(TRIM(S71))=0,LEN(TRIM(T71))=0,LEN(TRIM(V71))=0,LEN(TRIM(W71))=0,LEN(TRIM(Y71))=0,LEN(TRIM(Z71))=0,LEN(TRIM(AA71))=0),"Indeterminate",IF(X71&lt;&gt;"OK","Indeterminate",IF(OR(E71="Indeterminate",F71="Indeterminate",G71="Indeterminate",R71="Indeterminate",S71="Indeterminate",T71="Indeterminate",V71="Indeterminate",W71="Indeterminate",Y71="Indeterminate",Z71="Indeterminate",AA71="Indeterminate"),"Indeterminate",IF(OR(E71="Sponsor controlled - invalid",F71="Sponsor veto - invalid",G71="Sponsor/candidate controlled - invalid",H71&lt;&gt;"Yes",I71&lt;&gt;"Yes",J71&lt;&gt;"Yes",R71="Predetermined outcome - invalid",S71="No credible precommitment",T71="Material assistance undisclosed",V71="Missing",V71="Changed after unblinding",W71="Material shared-model generation undisclosed",Y71="No protected reporting channel",Z71="No anonymity/confidentiality protection",AA71="No anti-retaliation safeguard"),"Inadequate",IF(OR(E71="Joint with firewall",F71="Independent with security redaction only",G71="Joint with public rules",K71&lt;&gt;"",AND(L71&lt;&gt;"",LOWER(L71)&lt;&gt;"none"),R71="Declared interest with enforceable firewall",S71="Conditional precommitment with disclosed limits",T71="Material assistance disclosed and separated",W71="Material shared-model generation disclosed",Z71="Not applicable with recorded rationale"),"Adequate with declared controls","Adequate"))))))</f>
        <v/>
      </c>
      <c r="P71">
        <f>IF(AND(O71="",N71=""),"",IF(AND(O71&lt;&gt;"",N71=""),"UNRECORDED",IF(AND(O71="",N71&lt;&gt;""),"ORPHAN_RECORDED",IF(O71=N71,"MATCH","MISMATCH"))))</f>
        <v/>
      </c>
      <c r="X71" s="303">
        <f>IF(COUNTA(E71:J71)+COUNTA(R71:T71)+COUNTA(V71:W71)+COUNTA(Y71:AA71)=0,"",IF(AND(COUNTIF(Vocabulary!$S$5:$S$8,E71)=1,COUNTIF(Vocabulary!$T$5:$T$8,F71)=1,COUNTIF(Vocabulary!$U$5:$U$8,G71)=1,COUNTIF(Vocabulary!$J$5:$J$6,H71)=1,COUNTIF(Vocabulary!$J$5:$J$6,I71)=1,COUNTIF(Vocabulary!$J$5:$J$6,J71)=1,COUNTIF(Vocabulary!$W$5:$W$8,R71)=1,COUNTIF(Vocabulary!$X$5:$X$8,S71)=1,COUNTIF(Vocabulary!$Y$5:$Y$9,T71)=1,COUNTIF(Vocabulary!$Z$5:$Z$8,V71)=1,COUNTIF(Vocabulary!$AA$5:$AA$9,W71)=1,COUNTIF(Vocabulary!$AB$5:$AB$7,Y71)=1,COUNTIF(Vocabulary!$AC$5:$AC$8,Z71)=1,COUNTIF(Vocabulary!$AD$5:$AD$7,AA71)=1),"OK","UNRECOGNISED_CONTROL_VALUE"))</f>
        <v/>
      </c>
      <c r="Y71" s="303" t="n"/>
      <c r="Z71" s="303" t="n"/>
      <c r="AA71" s="303" t="n"/>
    </row>
    <row r="72">
      <c r="O72">
        <f>IF(COUNTA(A72:N72)+COUNTA(Q72:W72)+COUNTA(Y72:AA72)=0,"",IF(OR(LEN(TRIM(A72))=0,LEN(TRIM(B72))=0,LEN(TRIM(C72))=0,LEN(TRIM(D72))=0,LEN(TRIM(E72))=0,LEN(TRIM(F72))=0,LEN(TRIM(G72))=0,LEN(TRIM(H72))=0,LEN(TRIM(I72))=0,LEN(TRIM(J72))=0,LEN(TRIM(R72))=0,LEN(TRIM(S72))=0,LEN(TRIM(T72))=0,LEN(TRIM(V72))=0,LEN(TRIM(W72))=0,LEN(TRIM(Y72))=0,LEN(TRIM(Z72))=0,LEN(TRIM(AA72))=0),"Indeterminate",IF(X72&lt;&gt;"OK","Indeterminate",IF(OR(E72="Indeterminate",F72="Indeterminate",G72="Indeterminate",R72="Indeterminate",S72="Indeterminate",T72="Indeterminate",V72="Indeterminate",W72="Indeterminate",Y72="Indeterminate",Z72="Indeterminate",AA72="Indeterminate"),"Indeterminate",IF(OR(E72="Sponsor controlled - invalid",F72="Sponsor veto - invalid",G72="Sponsor/candidate controlled - invalid",H72&lt;&gt;"Yes",I72&lt;&gt;"Yes",J72&lt;&gt;"Yes",R72="Predetermined outcome - invalid",S72="No credible precommitment",T72="Material assistance undisclosed",V72="Missing",V72="Changed after unblinding",W72="Material shared-model generation undisclosed",Y72="No protected reporting channel",Z72="No anonymity/confidentiality protection",AA72="No anti-retaliation safeguard"),"Inadequate",IF(OR(E72="Joint with firewall",F72="Independent with security redaction only",G72="Joint with public rules",K72&lt;&gt;"",AND(L72&lt;&gt;"",LOWER(L72)&lt;&gt;"none"),R72="Declared interest with enforceable firewall",S72="Conditional precommitment with disclosed limits",T72="Material assistance disclosed and separated",W72="Material shared-model generation disclosed",Z72="Not applicable with recorded rationale"),"Adequate with declared controls","Adequate"))))))</f>
        <v/>
      </c>
      <c r="P72">
        <f>IF(AND(O72="",N72=""),"",IF(AND(O72&lt;&gt;"",N72=""),"UNRECORDED",IF(AND(O72="",N72&lt;&gt;""),"ORPHAN_RECORDED",IF(O72=N72,"MATCH","MISMATCH"))))</f>
        <v/>
      </c>
      <c r="X72" s="303">
        <f>IF(COUNTA(E72:J72)+COUNTA(R72:T72)+COUNTA(V72:W72)+COUNTA(Y72:AA72)=0,"",IF(AND(COUNTIF(Vocabulary!$S$5:$S$8,E72)=1,COUNTIF(Vocabulary!$T$5:$T$8,F72)=1,COUNTIF(Vocabulary!$U$5:$U$8,G72)=1,COUNTIF(Vocabulary!$J$5:$J$6,H72)=1,COUNTIF(Vocabulary!$J$5:$J$6,I72)=1,COUNTIF(Vocabulary!$J$5:$J$6,J72)=1,COUNTIF(Vocabulary!$W$5:$W$8,R72)=1,COUNTIF(Vocabulary!$X$5:$X$8,S72)=1,COUNTIF(Vocabulary!$Y$5:$Y$9,T72)=1,COUNTIF(Vocabulary!$Z$5:$Z$8,V72)=1,COUNTIF(Vocabulary!$AA$5:$AA$9,W72)=1,COUNTIF(Vocabulary!$AB$5:$AB$7,Y72)=1,COUNTIF(Vocabulary!$AC$5:$AC$8,Z72)=1,COUNTIF(Vocabulary!$AD$5:$AD$7,AA72)=1),"OK","UNRECOGNISED_CONTROL_VALUE"))</f>
        <v/>
      </c>
      <c r="Y72" s="303" t="n"/>
      <c r="Z72" s="303" t="n"/>
      <c r="AA72" s="303" t="n"/>
    </row>
    <row r="73">
      <c r="O73">
        <f>IF(COUNTA(A73:N73)+COUNTA(Q73:W73)+COUNTA(Y73:AA73)=0,"",IF(OR(LEN(TRIM(A73))=0,LEN(TRIM(B73))=0,LEN(TRIM(C73))=0,LEN(TRIM(D73))=0,LEN(TRIM(E73))=0,LEN(TRIM(F73))=0,LEN(TRIM(G73))=0,LEN(TRIM(H73))=0,LEN(TRIM(I73))=0,LEN(TRIM(J73))=0,LEN(TRIM(R73))=0,LEN(TRIM(S73))=0,LEN(TRIM(T73))=0,LEN(TRIM(V73))=0,LEN(TRIM(W73))=0,LEN(TRIM(Y73))=0,LEN(TRIM(Z73))=0,LEN(TRIM(AA73))=0),"Indeterminate",IF(X73&lt;&gt;"OK","Indeterminate",IF(OR(E73="Indeterminate",F73="Indeterminate",G73="Indeterminate",R73="Indeterminate",S73="Indeterminate",T73="Indeterminate",V73="Indeterminate",W73="Indeterminate",Y73="Indeterminate",Z73="Indeterminate",AA73="Indeterminate"),"Indeterminate",IF(OR(E73="Sponsor controlled - invalid",F73="Sponsor veto - invalid",G73="Sponsor/candidate controlled - invalid",H73&lt;&gt;"Yes",I73&lt;&gt;"Yes",J73&lt;&gt;"Yes",R73="Predetermined outcome - invalid",S73="No credible precommitment",T73="Material assistance undisclosed",V73="Missing",V73="Changed after unblinding",W73="Material shared-model generation undisclosed",Y73="No protected reporting channel",Z73="No anonymity/confidentiality protection",AA73="No anti-retaliation safeguard"),"Inadequate",IF(OR(E73="Joint with firewall",F73="Independent with security redaction only",G73="Joint with public rules",K73&lt;&gt;"",AND(L73&lt;&gt;"",LOWER(L73)&lt;&gt;"none"),R73="Declared interest with enforceable firewall",S73="Conditional precommitment with disclosed limits",T73="Material assistance disclosed and separated",W73="Material shared-model generation disclosed",Z73="Not applicable with recorded rationale"),"Adequate with declared controls","Adequate"))))))</f>
        <v/>
      </c>
      <c r="P73">
        <f>IF(AND(O73="",N73=""),"",IF(AND(O73&lt;&gt;"",N73=""),"UNRECORDED",IF(AND(O73="",N73&lt;&gt;""),"ORPHAN_RECORDED",IF(O73=N73,"MATCH","MISMATCH"))))</f>
        <v/>
      </c>
      <c r="X73" s="303">
        <f>IF(COUNTA(E73:J73)+COUNTA(R73:T73)+COUNTA(V73:W73)+COUNTA(Y73:AA73)=0,"",IF(AND(COUNTIF(Vocabulary!$S$5:$S$8,E73)=1,COUNTIF(Vocabulary!$T$5:$T$8,F73)=1,COUNTIF(Vocabulary!$U$5:$U$8,G73)=1,COUNTIF(Vocabulary!$J$5:$J$6,H73)=1,COUNTIF(Vocabulary!$J$5:$J$6,I73)=1,COUNTIF(Vocabulary!$J$5:$J$6,J73)=1,COUNTIF(Vocabulary!$W$5:$W$8,R73)=1,COUNTIF(Vocabulary!$X$5:$X$8,S73)=1,COUNTIF(Vocabulary!$Y$5:$Y$9,T73)=1,COUNTIF(Vocabulary!$Z$5:$Z$8,V73)=1,COUNTIF(Vocabulary!$AA$5:$AA$9,W73)=1,COUNTIF(Vocabulary!$AB$5:$AB$7,Y73)=1,COUNTIF(Vocabulary!$AC$5:$AC$8,Z73)=1,COUNTIF(Vocabulary!$AD$5:$AD$7,AA73)=1),"OK","UNRECOGNISED_CONTROL_VALUE"))</f>
        <v/>
      </c>
      <c r="Y73" s="303" t="n"/>
      <c r="Z73" s="303" t="n"/>
      <c r="AA73" s="303" t="n"/>
    </row>
    <row r="74">
      <c r="O74">
        <f>IF(COUNTA(A74:N74)+COUNTA(Q74:W74)+COUNTA(Y74:AA74)=0,"",IF(OR(LEN(TRIM(A74))=0,LEN(TRIM(B74))=0,LEN(TRIM(C74))=0,LEN(TRIM(D74))=0,LEN(TRIM(E74))=0,LEN(TRIM(F74))=0,LEN(TRIM(G74))=0,LEN(TRIM(H74))=0,LEN(TRIM(I74))=0,LEN(TRIM(J74))=0,LEN(TRIM(R74))=0,LEN(TRIM(S74))=0,LEN(TRIM(T74))=0,LEN(TRIM(V74))=0,LEN(TRIM(W74))=0,LEN(TRIM(Y74))=0,LEN(TRIM(Z74))=0,LEN(TRIM(AA74))=0),"Indeterminate",IF(X74&lt;&gt;"OK","Indeterminate",IF(OR(E74="Indeterminate",F74="Indeterminate",G74="Indeterminate",R74="Indeterminate",S74="Indeterminate",T74="Indeterminate",V74="Indeterminate",W74="Indeterminate",Y74="Indeterminate",Z74="Indeterminate",AA74="Indeterminate"),"Indeterminate",IF(OR(E74="Sponsor controlled - invalid",F74="Sponsor veto - invalid",G74="Sponsor/candidate controlled - invalid",H74&lt;&gt;"Yes",I74&lt;&gt;"Yes",J74&lt;&gt;"Yes",R74="Predetermined outcome - invalid",S74="No credible precommitment",T74="Material assistance undisclosed",V74="Missing",V74="Changed after unblinding",W74="Material shared-model generation undisclosed",Y74="No protected reporting channel",Z74="No anonymity/confidentiality protection",AA74="No anti-retaliation safeguard"),"Inadequate",IF(OR(E74="Joint with firewall",F74="Independent with security redaction only",G74="Joint with public rules",K74&lt;&gt;"",AND(L74&lt;&gt;"",LOWER(L74)&lt;&gt;"none"),R74="Declared interest with enforceable firewall",S74="Conditional precommitment with disclosed limits",T74="Material assistance disclosed and separated",W74="Material shared-model generation disclosed",Z74="Not applicable with recorded rationale"),"Adequate with declared controls","Adequate"))))))</f>
        <v/>
      </c>
      <c r="P74">
        <f>IF(AND(O74="",N74=""),"",IF(AND(O74&lt;&gt;"",N74=""),"UNRECORDED",IF(AND(O74="",N74&lt;&gt;""),"ORPHAN_RECORDED",IF(O74=N74,"MATCH","MISMATCH"))))</f>
        <v/>
      </c>
      <c r="X74" s="303">
        <f>IF(COUNTA(E74:J74)+COUNTA(R74:T74)+COUNTA(V74:W74)+COUNTA(Y74:AA74)=0,"",IF(AND(COUNTIF(Vocabulary!$S$5:$S$8,E74)=1,COUNTIF(Vocabulary!$T$5:$T$8,F74)=1,COUNTIF(Vocabulary!$U$5:$U$8,G74)=1,COUNTIF(Vocabulary!$J$5:$J$6,H74)=1,COUNTIF(Vocabulary!$J$5:$J$6,I74)=1,COUNTIF(Vocabulary!$J$5:$J$6,J74)=1,COUNTIF(Vocabulary!$W$5:$W$8,R74)=1,COUNTIF(Vocabulary!$X$5:$X$8,S74)=1,COUNTIF(Vocabulary!$Y$5:$Y$9,T74)=1,COUNTIF(Vocabulary!$Z$5:$Z$8,V74)=1,COUNTIF(Vocabulary!$AA$5:$AA$9,W74)=1,COUNTIF(Vocabulary!$AB$5:$AB$7,Y74)=1,COUNTIF(Vocabulary!$AC$5:$AC$8,Z74)=1,COUNTIF(Vocabulary!$AD$5:$AD$7,AA74)=1),"OK","UNRECOGNISED_CONTROL_VALUE"))</f>
        <v/>
      </c>
      <c r="Y74" s="303" t="n"/>
      <c r="Z74" s="303" t="n"/>
      <c r="AA74" s="303" t="n"/>
    </row>
    <row r="75">
      <c r="O75">
        <f>IF(COUNTA(A75:N75)+COUNTA(Q75:W75)+COUNTA(Y75:AA75)=0,"",IF(OR(LEN(TRIM(A75))=0,LEN(TRIM(B75))=0,LEN(TRIM(C75))=0,LEN(TRIM(D75))=0,LEN(TRIM(E75))=0,LEN(TRIM(F75))=0,LEN(TRIM(G75))=0,LEN(TRIM(H75))=0,LEN(TRIM(I75))=0,LEN(TRIM(J75))=0,LEN(TRIM(R75))=0,LEN(TRIM(S75))=0,LEN(TRIM(T75))=0,LEN(TRIM(V75))=0,LEN(TRIM(W75))=0,LEN(TRIM(Y75))=0,LEN(TRIM(Z75))=0,LEN(TRIM(AA75))=0),"Indeterminate",IF(X75&lt;&gt;"OK","Indeterminate",IF(OR(E75="Indeterminate",F75="Indeterminate",G75="Indeterminate",R75="Indeterminate",S75="Indeterminate",T75="Indeterminate",V75="Indeterminate",W75="Indeterminate",Y75="Indeterminate",Z75="Indeterminate",AA75="Indeterminate"),"Indeterminate",IF(OR(E75="Sponsor controlled - invalid",F75="Sponsor veto - invalid",G75="Sponsor/candidate controlled - invalid",H75&lt;&gt;"Yes",I75&lt;&gt;"Yes",J75&lt;&gt;"Yes",R75="Predetermined outcome - invalid",S75="No credible precommitment",T75="Material assistance undisclosed",V75="Missing",V75="Changed after unblinding",W75="Material shared-model generation undisclosed",Y75="No protected reporting channel",Z75="No anonymity/confidentiality protection",AA75="No anti-retaliation safeguard"),"Inadequate",IF(OR(E75="Joint with firewall",F75="Independent with security redaction only",G75="Joint with public rules",K75&lt;&gt;"",AND(L75&lt;&gt;"",LOWER(L75)&lt;&gt;"none"),R75="Declared interest with enforceable firewall",S75="Conditional precommitment with disclosed limits",T75="Material assistance disclosed and separated",W75="Material shared-model generation disclosed",Z75="Not applicable with recorded rationale"),"Adequate with declared controls","Adequate"))))))</f>
        <v/>
      </c>
      <c r="P75">
        <f>IF(AND(O75="",N75=""),"",IF(AND(O75&lt;&gt;"",N75=""),"UNRECORDED",IF(AND(O75="",N75&lt;&gt;""),"ORPHAN_RECORDED",IF(O75=N75,"MATCH","MISMATCH"))))</f>
        <v/>
      </c>
      <c r="X75" s="303">
        <f>IF(COUNTA(E75:J75)+COUNTA(R75:T75)+COUNTA(V75:W75)+COUNTA(Y75:AA75)=0,"",IF(AND(COUNTIF(Vocabulary!$S$5:$S$8,E75)=1,COUNTIF(Vocabulary!$T$5:$T$8,F75)=1,COUNTIF(Vocabulary!$U$5:$U$8,G75)=1,COUNTIF(Vocabulary!$J$5:$J$6,H75)=1,COUNTIF(Vocabulary!$J$5:$J$6,I75)=1,COUNTIF(Vocabulary!$J$5:$J$6,J75)=1,COUNTIF(Vocabulary!$W$5:$W$8,R75)=1,COUNTIF(Vocabulary!$X$5:$X$8,S75)=1,COUNTIF(Vocabulary!$Y$5:$Y$9,T75)=1,COUNTIF(Vocabulary!$Z$5:$Z$8,V75)=1,COUNTIF(Vocabulary!$AA$5:$AA$9,W75)=1,COUNTIF(Vocabulary!$AB$5:$AB$7,Y75)=1,COUNTIF(Vocabulary!$AC$5:$AC$8,Z75)=1,COUNTIF(Vocabulary!$AD$5:$AD$7,AA75)=1),"OK","UNRECOGNISED_CONTROL_VALUE"))</f>
        <v/>
      </c>
      <c r="Y75" s="303" t="n"/>
      <c r="Z75" s="303" t="n"/>
      <c r="AA75" s="303" t="n"/>
    </row>
    <row r="76">
      <c r="O76">
        <f>IF(COUNTA(A76:N76)+COUNTA(Q76:W76)+COUNTA(Y76:AA76)=0,"",IF(OR(LEN(TRIM(A76))=0,LEN(TRIM(B76))=0,LEN(TRIM(C76))=0,LEN(TRIM(D76))=0,LEN(TRIM(E76))=0,LEN(TRIM(F76))=0,LEN(TRIM(G76))=0,LEN(TRIM(H76))=0,LEN(TRIM(I76))=0,LEN(TRIM(J76))=0,LEN(TRIM(R76))=0,LEN(TRIM(S76))=0,LEN(TRIM(T76))=0,LEN(TRIM(V76))=0,LEN(TRIM(W76))=0,LEN(TRIM(Y76))=0,LEN(TRIM(Z76))=0,LEN(TRIM(AA76))=0),"Indeterminate",IF(X76&lt;&gt;"OK","Indeterminate",IF(OR(E76="Indeterminate",F76="Indeterminate",G76="Indeterminate",R76="Indeterminate",S76="Indeterminate",T76="Indeterminate",V76="Indeterminate",W76="Indeterminate",Y76="Indeterminate",Z76="Indeterminate",AA76="Indeterminate"),"Indeterminate",IF(OR(E76="Sponsor controlled - invalid",F76="Sponsor veto - invalid",G76="Sponsor/candidate controlled - invalid",H76&lt;&gt;"Yes",I76&lt;&gt;"Yes",J76&lt;&gt;"Yes",R76="Predetermined outcome - invalid",S76="No credible precommitment",T76="Material assistance undisclosed",V76="Missing",V76="Changed after unblinding",W76="Material shared-model generation undisclosed",Y76="No protected reporting channel",Z76="No anonymity/confidentiality protection",AA76="No anti-retaliation safeguard"),"Inadequate",IF(OR(E76="Joint with firewall",F76="Independent with security redaction only",G76="Joint with public rules",K76&lt;&gt;"",AND(L76&lt;&gt;"",LOWER(L76)&lt;&gt;"none"),R76="Declared interest with enforceable firewall",S76="Conditional precommitment with disclosed limits",T76="Material assistance disclosed and separated",W76="Material shared-model generation disclosed",Z76="Not applicable with recorded rationale"),"Adequate with declared controls","Adequate"))))))</f>
        <v/>
      </c>
      <c r="P76">
        <f>IF(AND(O76="",N76=""),"",IF(AND(O76&lt;&gt;"",N76=""),"UNRECORDED",IF(AND(O76="",N76&lt;&gt;""),"ORPHAN_RECORDED",IF(O76=N76,"MATCH","MISMATCH"))))</f>
        <v/>
      </c>
      <c r="X76" s="303">
        <f>IF(COUNTA(E76:J76)+COUNTA(R76:T76)+COUNTA(V76:W76)+COUNTA(Y76:AA76)=0,"",IF(AND(COUNTIF(Vocabulary!$S$5:$S$8,E76)=1,COUNTIF(Vocabulary!$T$5:$T$8,F76)=1,COUNTIF(Vocabulary!$U$5:$U$8,G76)=1,COUNTIF(Vocabulary!$J$5:$J$6,H76)=1,COUNTIF(Vocabulary!$J$5:$J$6,I76)=1,COUNTIF(Vocabulary!$J$5:$J$6,J76)=1,COUNTIF(Vocabulary!$W$5:$W$8,R76)=1,COUNTIF(Vocabulary!$X$5:$X$8,S76)=1,COUNTIF(Vocabulary!$Y$5:$Y$9,T76)=1,COUNTIF(Vocabulary!$Z$5:$Z$8,V76)=1,COUNTIF(Vocabulary!$AA$5:$AA$9,W76)=1,COUNTIF(Vocabulary!$AB$5:$AB$7,Y76)=1,COUNTIF(Vocabulary!$AC$5:$AC$8,Z76)=1,COUNTIF(Vocabulary!$AD$5:$AD$7,AA76)=1),"OK","UNRECOGNISED_CONTROL_VALUE"))</f>
        <v/>
      </c>
      <c r="Y76" s="303" t="n"/>
      <c r="Z76" s="303" t="n"/>
      <c r="AA76" s="303" t="n"/>
    </row>
    <row r="77">
      <c r="O77">
        <f>IF(COUNTA(A77:N77)+COUNTA(Q77:W77)+COUNTA(Y77:AA77)=0,"",IF(OR(LEN(TRIM(A77))=0,LEN(TRIM(B77))=0,LEN(TRIM(C77))=0,LEN(TRIM(D77))=0,LEN(TRIM(E77))=0,LEN(TRIM(F77))=0,LEN(TRIM(G77))=0,LEN(TRIM(H77))=0,LEN(TRIM(I77))=0,LEN(TRIM(J77))=0,LEN(TRIM(R77))=0,LEN(TRIM(S77))=0,LEN(TRIM(T77))=0,LEN(TRIM(V77))=0,LEN(TRIM(W77))=0,LEN(TRIM(Y77))=0,LEN(TRIM(Z77))=0,LEN(TRIM(AA77))=0),"Indeterminate",IF(X77&lt;&gt;"OK","Indeterminate",IF(OR(E77="Indeterminate",F77="Indeterminate",G77="Indeterminate",R77="Indeterminate",S77="Indeterminate",T77="Indeterminate",V77="Indeterminate",W77="Indeterminate",Y77="Indeterminate",Z77="Indeterminate",AA77="Indeterminate"),"Indeterminate",IF(OR(E77="Sponsor controlled - invalid",F77="Sponsor veto - invalid",G77="Sponsor/candidate controlled - invalid",H77&lt;&gt;"Yes",I77&lt;&gt;"Yes",J77&lt;&gt;"Yes",R77="Predetermined outcome - invalid",S77="No credible precommitment",T77="Material assistance undisclosed",V77="Missing",V77="Changed after unblinding",W77="Material shared-model generation undisclosed",Y77="No protected reporting channel",Z77="No anonymity/confidentiality protection",AA77="No anti-retaliation safeguard"),"Inadequate",IF(OR(E77="Joint with firewall",F77="Independent with security redaction only",G77="Joint with public rules",K77&lt;&gt;"",AND(L77&lt;&gt;"",LOWER(L77)&lt;&gt;"none"),R77="Declared interest with enforceable firewall",S77="Conditional precommitment with disclosed limits",T77="Material assistance disclosed and separated",W77="Material shared-model generation disclosed",Z77="Not applicable with recorded rationale"),"Adequate with declared controls","Adequate"))))))</f>
        <v/>
      </c>
      <c r="P77">
        <f>IF(AND(O77="",N77=""),"",IF(AND(O77&lt;&gt;"",N77=""),"UNRECORDED",IF(AND(O77="",N77&lt;&gt;""),"ORPHAN_RECORDED",IF(O77=N77,"MATCH","MISMATCH"))))</f>
        <v/>
      </c>
      <c r="X77" s="303">
        <f>IF(COUNTA(E77:J77)+COUNTA(R77:T77)+COUNTA(V77:W77)+COUNTA(Y77:AA77)=0,"",IF(AND(COUNTIF(Vocabulary!$S$5:$S$8,E77)=1,COUNTIF(Vocabulary!$T$5:$T$8,F77)=1,COUNTIF(Vocabulary!$U$5:$U$8,G77)=1,COUNTIF(Vocabulary!$J$5:$J$6,H77)=1,COUNTIF(Vocabulary!$J$5:$J$6,I77)=1,COUNTIF(Vocabulary!$J$5:$J$6,J77)=1,COUNTIF(Vocabulary!$W$5:$W$8,R77)=1,COUNTIF(Vocabulary!$X$5:$X$8,S77)=1,COUNTIF(Vocabulary!$Y$5:$Y$9,T77)=1,COUNTIF(Vocabulary!$Z$5:$Z$8,V77)=1,COUNTIF(Vocabulary!$AA$5:$AA$9,W77)=1,COUNTIF(Vocabulary!$AB$5:$AB$7,Y77)=1,COUNTIF(Vocabulary!$AC$5:$AC$8,Z77)=1,COUNTIF(Vocabulary!$AD$5:$AD$7,AA77)=1),"OK","UNRECOGNISED_CONTROL_VALUE"))</f>
        <v/>
      </c>
      <c r="Y77" s="303" t="n"/>
      <c r="Z77" s="303" t="n"/>
      <c r="AA77" s="303" t="n"/>
    </row>
    <row r="78">
      <c r="O78">
        <f>IF(COUNTA(A78:N78)+COUNTA(Q78:W78)+COUNTA(Y78:AA78)=0,"",IF(OR(LEN(TRIM(A78))=0,LEN(TRIM(B78))=0,LEN(TRIM(C78))=0,LEN(TRIM(D78))=0,LEN(TRIM(E78))=0,LEN(TRIM(F78))=0,LEN(TRIM(G78))=0,LEN(TRIM(H78))=0,LEN(TRIM(I78))=0,LEN(TRIM(J78))=0,LEN(TRIM(R78))=0,LEN(TRIM(S78))=0,LEN(TRIM(T78))=0,LEN(TRIM(V78))=0,LEN(TRIM(W78))=0,LEN(TRIM(Y78))=0,LEN(TRIM(Z78))=0,LEN(TRIM(AA78))=0),"Indeterminate",IF(X78&lt;&gt;"OK","Indeterminate",IF(OR(E78="Indeterminate",F78="Indeterminate",G78="Indeterminate",R78="Indeterminate",S78="Indeterminate",T78="Indeterminate",V78="Indeterminate",W78="Indeterminate",Y78="Indeterminate",Z78="Indeterminate",AA78="Indeterminate"),"Indeterminate",IF(OR(E78="Sponsor controlled - invalid",F78="Sponsor veto - invalid",G78="Sponsor/candidate controlled - invalid",H78&lt;&gt;"Yes",I78&lt;&gt;"Yes",J78&lt;&gt;"Yes",R78="Predetermined outcome - invalid",S78="No credible precommitment",T78="Material assistance undisclosed",V78="Missing",V78="Changed after unblinding",W78="Material shared-model generation undisclosed",Y78="No protected reporting channel",Z78="No anonymity/confidentiality protection",AA78="No anti-retaliation safeguard"),"Inadequate",IF(OR(E78="Joint with firewall",F78="Independent with security redaction only",G78="Joint with public rules",K78&lt;&gt;"",AND(L78&lt;&gt;"",LOWER(L78)&lt;&gt;"none"),R78="Declared interest with enforceable firewall",S78="Conditional precommitment with disclosed limits",T78="Material assistance disclosed and separated",W78="Material shared-model generation disclosed",Z78="Not applicable with recorded rationale"),"Adequate with declared controls","Adequate"))))))</f>
        <v/>
      </c>
      <c r="P78">
        <f>IF(AND(O78="",N78=""),"",IF(AND(O78&lt;&gt;"",N78=""),"UNRECORDED",IF(AND(O78="",N78&lt;&gt;""),"ORPHAN_RECORDED",IF(O78=N78,"MATCH","MISMATCH"))))</f>
        <v/>
      </c>
      <c r="X78" s="303">
        <f>IF(COUNTA(E78:J78)+COUNTA(R78:T78)+COUNTA(V78:W78)+COUNTA(Y78:AA78)=0,"",IF(AND(COUNTIF(Vocabulary!$S$5:$S$8,E78)=1,COUNTIF(Vocabulary!$T$5:$T$8,F78)=1,COUNTIF(Vocabulary!$U$5:$U$8,G78)=1,COUNTIF(Vocabulary!$J$5:$J$6,H78)=1,COUNTIF(Vocabulary!$J$5:$J$6,I78)=1,COUNTIF(Vocabulary!$J$5:$J$6,J78)=1,COUNTIF(Vocabulary!$W$5:$W$8,R78)=1,COUNTIF(Vocabulary!$X$5:$X$8,S78)=1,COUNTIF(Vocabulary!$Y$5:$Y$9,T78)=1,COUNTIF(Vocabulary!$Z$5:$Z$8,V78)=1,COUNTIF(Vocabulary!$AA$5:$AA$9,W78)=1,COUNTIF(Vocabulary!$AB$5:$AB$7,Y78)=1,COUNTIF(Vocabulary!$AC$5:$AC$8,Z78)=1,COUNTIF(Vocabulary!$AD$5:$AD$7,AA78)=1),"OK","UNRECOGNISED_CONTROL_VALUE"))</f>
        <v/>
      </c>
      <c r="Y78" s="303" t="n"/>
      <c r="Z78" s="303" t="n"/>
      <c r="AA78" s="303" t="n"/>
    </row>
    <row r="79">
      <c r="O79">
        <f>IF(COUNTA(A79:N79)+COUNTA(Q79:W79)+COUNTA(Y79:AA79)=0,"",IF(OR(LEN(TRIM(A79))=0,LEN(TRIM(B79))=0,LEN(TRIM(C79))=0,LEN(TRIM(D79))=0,LEN(TRIM(E79))=0,LEN(TRIM(F79))=0,LEN(TRIM(G79))=0,LEN(TRIM(H79))=0,LEN(TRIM(I79))=0,LEN(TRIM(J79))=0,LEN(TRIM(R79))=0,LEN(TRIM(S79))=0,LEN(TRIM(T79))=0,LEN(TRIM(V79))=0,LEN(TRIM(W79))=0,LEN(TRIM(Y79))=0,LEN(TRIM(Z79))=0,LEN(TRIM(AA79))=0),"Indeterminate",IF(X79&lt;&gt;"OK","Indeterminate",IF(OR(E79="Indeterminate",F79="Indeterminate",G79="Indeterminate",R79="Indeterminate",S79="Indeterminate",T79="Indeterminate",V79="Indeterminate",W79="Indeterminate",Y79="Indeterminate",Z79="Indeterminate",AA79="Indeterminate"),"Indeterminate",IF(OR(E79="Sponsor controlled - invalid",F79="Sponsor veto - invalid",G79="Sponsor/candidate controlled - invalid",H79&lt;&gt;"Yes",I79&lt;&gt;"Yes",J79&lt;&gt;"Yes",R79="Predetermined outcome - invalid",S79="No credible precommitment",T79="Material assistance undisclosed",V79="Missing",V79="Changed after unblinding",W79="Material shared-model generation undisclosed",Y79="No protected reporting channel",Z79="No anonymity/confidentiality protection",AA79="No anti-retaliation safeguard"),"Inadequate",IF(OR(E79="Joint with firewall",F79="Independent with security redaction only",G79="Joint with public rules",K79&lt;&gt;"",AND(L79&lt;&gt;"",LOWER(L79)&lt;&gt;"none"),R79="Declared interest with enforceable firewall",S79="Conditional precommitment with disclosed limits",T79="Material assistance disclosed and separated",W79="Material shared-model generation disclosed",Z79="Not applicable with recorded rationale"),"Adequate with declared controls","Adequate"))))))</f>
        <v/>
      </c>
      <c r="P79">
        <f>IF(AND(O79="",N79=""),"",IF(AND(O79&lt;&gt;"",N79=""),"UNRECORDED",IF(AND(O79="",N79&lt;&gt;""),"ORPHAN_RECORDED",IF(O79=N79,"MATCH","MISMATCH"))))</f>
        <v/>
      </c>
      <c r="X79" s="303">
        <f>IF(COUNTA(E79:J79)+COUNTA(R79:T79)+COUNTA(V79:W79)+COUNTA(Y79:AA79)=0,"",IF(AND(COUNTIF(Vocabulary!$S$5:$S$8,E79)=1,COUNTIF(Vocabulary!$T$5:$T$8,F79)=1,COUNTIF(Vocabulary!$U$5:$U$8,G79)=1,COUNTIF(Vocabulary!$J$5:$J$6,H79)=1,COUNTIF(Vocabulary!$J$5:$J$6,I79)=1,COUNTIF(Vocabulary!$J$5:$J$6,J79)=1,COUNTIF(Vocabulary!$W$5:$W$8,R79)=1,COUNTIF(Vocabulary!$X$5:$X$8,S79)=1,COUNTIF(Vocabulary!$Y$5:$Y$9,T79)=1,COUNTIF(Vocabulary!$Z$5:$Z$8,V79)=1,COUNTIF(Vocabulary!$AA$5:$AA$9,W79)=1,COUNTIF(Vocabulary!$AB$5:$AB$7,Y79)=1,COUNTIF(Vocabulary!$AC$5:$AC$8,Z79)=1,COUNTIF(Vocabulary!$AD$5:$AD$7,AA79)=1),"OK","UNRECOGNISED_CONTROL_VALUE"))</f>
        <v/>
      </c>
      <c r="Y79" s="303" t="n"/>
      <c r="Z79" s="303" t="n"/>
      <c r="AA79" s="303" t="n"/>
    </row>
    <row r="80">
      <c r="O80">
        <f>IF(COUNTA(A80:N80)+COUNTA(Q80:W80)+COUNTA(Y80:AA80)=0,"",IF(OR(LEN(TRIM(A80))=0,LEN(TRIM(B80))=0,LEN(TRIM(C80))=0,LEN(TRIM(D80))=0,LEN(TRIM(E80))=0,LEN(TRIM(F80))=0,LEN(TRIM(G80))=0,LEN(TRIM(H80))=0,LEN(TRIM(I80))=0,LEN(TRIM(J80))=0,LEN(TRIM(R80))=0,LEN(TRIM(S80))=0,LEN(TRIM(T80))=0,LEN(TRIM(V80))=0,LEN(TRIM(W80))=0,LEN(TRIM(Y80))=0,LEN(TRIM(Z80))=0,LEN(TRIM(AA80))=0),"Indeterminate",IF(X80&lt;&gt;"OK","Indeterminate",IF(OR(E80="Indeterminate",F80="Indeterminate",G80="Indeterminate",R80="Indeterminate",S80="Indeterminate",T80="Indeterminate",V80="Indeterminate",W80="Indeterminate",Y80="Indeterminate",Z80="Indeterminate",AA80="Indeterminate"),"Indeterminate",IF(OR(E80="Sponsor controlled - invalid",F80="Sponsor veto - invalid",G80="Sponsor/candidate controlled - invalid",H80&lt;&gt;"Yes",I80&lt;&gt;"Yes",J80&lt;&gt;"Yes",R80="Predetermined outcome - invalid",S80="No credible precommitment",T80="Material assistance undisclosed",V80="Missing",V80="Changed after unblinding",W80="Material shared-model generation undisclosed",Y80="No protected reporting channel",Z80="No anonymity/confidentiality protection",AA80="No anti-retaliation safeguard"),"Inadequate",IF(OR(E80="Joint with firewall",F80="Independent with security redaction only",G80="Joint with public rules",K80&lt;&gt;"",AND(L80&lt;&gt;"",LOWER(L80)&lt;&gt;"none"),R80="Declared interest with enforceable firewall",S80="Conditional precommitment with disclosed limits",T80="Material assistance disclosed and separated",W80="Material shared-model generation disclosed",Z80="Not applicable with recorded rationale"),"Adequate with declared controls","Adequate"))))))</f>
        <v/>
      </c>
      <c r="P80">
        <f>IF(AND(O80="",N80=""),"",IF(AND(O80&lt;&gt;"",N80=""),"UNRECORDED",IF(AND(O80="",N80&lt;&gt;""),"ORPHAN_RECORDED",IF(O80=N80,"MATCH","MISMATCH"))))</f>
        <v/>
      </c>
      <c r="X80" s="303">
        <f>IF(COUNTA(E80:J80)+COUNTA(R80:T80)+COUNTA(V80:W80)+COUNTA(Y80:AA80)=0,"",IF(AND(COUNTIF(Vocabulary!$S$5:$S$8,E80)=1,COUNTIF(Vocabulary!$T$5:$T$8,F80)=1,COUNTIF(Vocabulary!$U$5:$U$8,G80)=1,COUNTIF(Vocabulary!$J$5:$J$6,H80)=1,COUNTIF(Vocabulary!$J$5:$J$6,I80)=1,COUNTIF(Vocabulary!$J$5:$J$6,J80)=1,COUNTIF(Vocabulary!$W$5:$W$8,R80)=1,COUNTIF(Vocabulary!$X$5:$X$8,S80)=1,COUNTIF(Vocabulary!$Y$5:$Y$9,T80)=1,COUNTIF(Vocabulary!$Z$5:$Z$8,V80)=1,COUNTIF(Vocabulary!$AA$5:$AA$9,W80)=1,COUNTIF(Vocabulary!$AB$5:$AB$7,Y80)=1,COUNTIF(Vocabulary!$AC$5:$AC$8,Z80)=1,COUNTIF(Vocabulary!$AD$5:$AD$7,AA80)=1),"OK","UNRECOGNISED_CONTROL_VALUE"))</f>
        <v/>
      </c>
      <c r="Y80" s="303" t="n"/>
      <c r="Z80" s="303" t="n"/>
      <c r="AA80" s="303" t="n"/>
    </row>
    <row r="81">
      <c r="O81">
        <f>IF(COUNTA(A81:N81)+COUNTA(Q81:W81)+COUNTA(Y81:AA81)=0,"",IF(OR(LEN(TRIM(A81))=0,LEN(TRIM(B81))=0,LEN(TRIM(C81))=0,LEN(TRIM(D81))=0,LEN(TRIM(E81))=0,LEN(TRIM(F81))=0,LEN(TRIM(G81))=0,LEN(TRIM(H81))=0,LEN(TRIM(I81))=0,LEN(TRIM(J81))=0,LEN(TRIM(R81))=0,LEN(TRIM(S81))=0,LEN(TRIM(T81))=0,LEN(TRIM(V81))=0,LEN(TRIM(W81))=0,LEN(TRIM(Y81))=0,LEN(TRIM(Z81))=0,LEN(TRIM(AA81))=0),"Indeterminate",IF(X81&lt;&gt;"OK","Indeterminate",IF(OR(E81="Indeterminate",F81="Indeterminate",G81="Indeterminate",R81="Indeterminate",S81="Indeterminate",T81="Indeterminate",V81="Indeterminate",W81="Indeterminate",Y81="Indeterminate",Z81="Indeterminate",AA81="Indeterminate"),"Indeterminate",IF(OR(E81="Sponsor controlled - invalid",F81="Sponsor veto - invalid",G81="Sponsor/candidate controlled - invalid",H81&lt;&gt;"Yes",I81&lt;&gt;"Yes",J81&lt;&gt;"Yes",R81="Predetermined outcome - invalid",S81="No credible precommitment",T81="Material assistance undisclosed",V81="Missing",V81="Changed after unblinding",W81="Material shared-model generation undisclosed",Y81="No protected reporting channel",Z81="No anonymity/confidentiality protection",AA81="No anti-retaliation safeguard"),"Inadequate",IF(OR(E81="Joint with firewall",F81="Independent with security redaction only",G81="Joint with public rules",K81&lt;&gt;"",AND(L81&lt;&gt;"",LOWER(L81)&lt;&gt;"none"),R81="Declared interest with enforceable firewall",S81="Conditional precommitment with disclosed limits",T81="Material assistance disclosed and separated",W81="Material shared-model generation disclosed",Z81="Not applicable with recorded rationale"),"Adequate with declared controls","Adequate"))))))</f>
        <v/>
      </c>
      <c r="P81">
        <f>IF(AND(O81="",N81=""),"",IF(AND(O81&lt;&gt;"",N81=""),"UNRECORDED",IF(AND(O81="",N81&lt;&gt;""),"ORPHAN_RECORDED",IF(O81=N81,"MATCH","MISMATCH"))))</f>
        <v/>
      </c>
      <c r="X81" s="303">
        <f>IF(COUNTA(E81:J81)+COUNTA(R81:T81)+COUNTA(V81:W81)+COUNTA(Y81:AA81)=0,"",IF(AND(COUNTIF(Vocabulary!$S$5:$S$8,E81)=1,COUNTIF(Vocabulary!$T$5:$T$8,F81)=1,COUNTIF(Vocabulary!$U$5:$U$8,G81)=1,COUNTIF(Vocabulary!$J$5:$J$6,H81)=1,COUNTIF(Vocabulary!$J$5:$J$6,I81)=1,COUNTIF(Vocabulary!$J$5:$J$6,J81)=1,COUNTIF(Vocabulary!$W$5:$W$8,R81)=1,COUNTIF(Vocabulary!$X$5:$X$8,S81)=1,COUNTIF(Vocabulary!$Y$5:$Y$9,T81)=1,COUNTIF(Vocabulary!$Z$5:$Z$8,V81)=1,COUNTIF(Vocabulary!$AA$5:$AA$9,W81)=1,COUNTIF(Vocabulary!$AB$5:$AB$7,Y81)=1,COUNTIF(Vocabulary!$AC$5:$AC$8,Z81)=1,COUNTIF(Vocabulary!$AD$5:$AD$7,AA81)=1),"OK","UNRECOGNISED_CONTROL_VALUE"))</f>
        <v/>
      </c>
      <c r="Y81" s="303" t="n"/>
      <c r="Z81" s="303" t="n"/>
      <c r="AA81" s="303" t="n"/>
    </row>
    <row r="82">
      <c r="O82">
        <f>IF(COUNTA(A82:N82)+COUNTA(Q82:W82)+COUNTA(Y82:AA82)=0,"",IF(OR(LEN(TRIM(A82))=0,LEN(TRIM(B82))=0,LEN(TRIM(C82))=0,LEN(TRIM(D82))=0,LEN(TRIM(E82))=0,LEN(TRIM(F82))=0,LEN(TRIM(G82))=0,LEN(TRIM(H82))=0,LEN(TRIM(I82))=0,LEN(TRIM(J82))=0,LEN(TRIM(R82))=0,LEN(TRIM(S82))=0,LEN(TRIM(T82))=0,LEN(TRIM(V82))=0,LEN(TRIM(W82))=0,LEN(TRIM(Y82))=0,LEN(TRIM(Z82))=0,LEN(TRIM(AA82))=0),"Indeterminate",IF(X82&lt;&gt;"OK","Indeterminate",IF(OR(E82="Indeterminate",F82="Indeterminate",G82="Indeterminate",R82="Indeterminate",S82="Indeterminate",T82="Indeterminate",V82="Indeterminate",W82="Indeterminate",Y82="Indeterminate",Z82="Indeterminate",AA82="Indeterminate"),"Indeterminate",IF(OR(E82="Sponsor controlled - invalid",F82="Sponsor veto - invalid",G82="Sponsor/candidate controlled - invalid",H82&lt;&gt;"Yes",I82&lt;&gt;"Yes",J82&lt;&gt;"Yes",R82="Predetermined outcome - invalid",S82="No credible precommitment",T82="Material assistance undisclosed",V82="Missing",V82="Changed after unblinding",W82="Material shared-model generation undisclosed",Y82="No protected reporting channel",Z82="No anonymity/confidentiality protection",AA82="No anti-retaliation safeguard"),"Inadequate",IF(OR(E82="Joint with firewall",F82="Independent with security redaction only",G82="Joint with public rules",K82&lt;&gt;"",AND(L82&lt;&gt;"",LOWER(L82)&lt;&gt;"none"),R82="Declared interest with enforceable firewall",S82="Conditional precommitment with disclosed limits",T82="Material assistance disclosed and separated",W82="Material shared-model generation disclosed",Z82="Not applicable with recorded rationale"),"Adequate with declared controls","Adequate"))))))</f>
        <v/>
      </c>
      <c r="P82">
        <f>IF(AND(O82="",N82=""),"",IF(AND(O82&lt;&gt;"",N82=""),"UNRECORDED",IF(AND(O82="",N82&lt;&gt;""),"ORPHAN_RECORDED",IF(O82=N82,"MATCH","MISMATCH"))))</f>
        <v/>
      </c>
      <c r="X82" s="303">
        <f>IF(COUNTA(E82:J82)+COUNTA(R82:T82)+COUNTA(V82:W82)+COUNTA(Y82:AA82)=0,"",IF(AND(COUNTIF(Vocabulary!$S$5:$S$8,E82)=1,COUNTIF(Vocabulary!$T$5:$T$8,F82)=1,COUNTIF(Vocabulary!$U$5:$U$8,G82)=1,COUNTIF(Vocabulary!$J$5:$J$6,H82)=1,COUNTIF(Vocabulary!$J$5:$J$6,I82)=1,COUNTIF(Vocabulary!$J$5:$J$6,J82)=1,COUNTIF(Vocabulary!$W$5:$W$8,R82)=1,COUNTIF(Vocabulary!$X$5:$X$8,S82)=1,COUNTIF(Vocabulary!$Y$5:$Y$9,T82)=1,COUNTIF(Vocabulary!$Z$5:$Z$8,V82)=1,COUNTIF(Vocabulary!$AA$5:$AA$9,W82)=1,COUNTIF(Vocabulary!$AB$5:$AB$7,Y82)=1,COUNTIF(Vocabulary!$AC$5:$AC$8,Z82)=1,COUNTIF(Vocabulary!$AD$5:$AD$7,AA82)=1),"OK","UNRECOGNISED_CONTROL_VALUE"))</f>
        <v/>
      </c>
      <c r="Y82" s="303" t="n"/>
      <c r="Z82" s="303" t="n"/>
      <c r="AA82" s="303" t="n"/>
    </row>
    <row r="83">
      <c r="O83">
        <f>IF(COUNTA(A83:N83)+COUNTA(Q83:W83)+COUNTA(Y83:AA83)=0,"",IF(OR(LEN(TRIM(A83))=0,LEN(TRIM(B83))=0,LEN(TRIM(C83))=0,LEN(TRIM(D83))=0,LEN(TRIM(E83))=0,LEN(TRIM(F83))=0,LEN(TRIM(G83))=0,LEN(TRIM(H83))=0,LEN(TRIM(I83))=0,LEN(TRIM(J83))=0,LEN(TRIM(R83))=0,LEN(TRIM(S83))=0,LEN(TRIM(T83))=0,LEN(TRIM(V83))=0,LEN(TRIM(W83))=0,LEN(TRIM(Y83))=0,LEN(TRIM(Z83))=0,LEN(TRIM(AA83))=0),"Indeterminate",IF(X83&lt;&gt;"OK","Indeterminate",IF(OR(E83="Indeterminate",F83="Indeterminate",G83="Indeterminate",R83="Indeterminate",S83="Indeterminate",T83="Indeterminate",V83="Indeterminate",W83="Indeterminate",Y83="Indeterminate",Z83="Indeterminate",AA83="Indeterminate"),"Indeterminate",IF(OR(E83="Sponsor controlled - invalid",F83="Sponsor veto - invalid",G83="Sponsor/candidate controlled - invalid",H83&lt;&gt;"Yes",I83&lt;&gt;"Yes",J83&lt;&gt;"Yes",R83="Predetermined outcome - invalid",S83="No credible precommitment",T83="Material assistance undisclosed",V83="Missing",V83="Changed after unblinding",W83="Material shared-model generation undisclosed",Y83="No protected reporting channel",Z83="No anonymity/confidentiality protection",AA83="No anti-retaliation safeguard"),"Inadequate",IF(OR(E83="Joint with firewall",F83="Independent with security redaction only",G83="Joint with public rules",K83&lt;&gt;"",AND(L83&lt;&gt;"",LOWER(L83)&lt;&gt;"none"),R83="Declared interest with enforceable firewall",S83="Conditional precommitment with disclosed limits",T83="Material assistance disclosed and separated",W83="Material shared-model generation disclosed",Z83="Not applicable with recorded rationale"),"Adequate with declared controls","Adequate"))))))</f>
        <v/>
      </c>
      <c r="P83">
        <f>IF(AND(O83="",N83=""),"",IF(AND(O83&lt;&gt;"",N83=""),"UNRECORDED",IF(AND(O83="",N83&lt;&gt;""),"ORPHAN_RECORDED",IF(O83=N83,"MATCH","MISMATCH"))))</f>
        <v/>
      </c>
      <c r="X83" s="303">
        <f>IF(COUNTA(E83:J83)+COUNTA(R83:T83)+COUNTA(V83:W83)+COUNTA(Y83:AA83)=0,"",IF(AND(COUNTIF(Vocabulary!$S$5:$S$8,E83)=1,COUNTIF(Vocabulary!$T$5:$T$8,F83)=1,COUNTIF(Vocabulary!$U$5:$U$8,G83)=1,COUNTIF(Vocabulary!$J$5:$J$6,H83)=1,COUNTIF(Vocabulary!$J$5:$J$6,I83)=1,COUNTIF(Vocabulary!$J$5:$J$6,J83)=1,COUNTIF(Vocabulary!$W$5:$W$8,R83)=1,COUNTIF(Vocabulary!$X$5:$X$8,S83)=1,COUNTIF(Vocabulary!$Y$5:$Y$9,T83)=1,COUNTIF(Vocabulary!$Z$5:$Z$8,V83)=1,COUNTIF(Vocabulary!$AA$5:$AA$9,W83)=1,COUNTIF(Vocabulary!$AB$5:$AB$7,Y83)=1,COUNTIF(Vocabulary!$AC$5:$AC$8,Z83)=1,COUNTIF(Vocabulary!$AD$5:$AD$7,AA83)=1),"OK","UNRECOGNISED_CONTROL_VALUE"))</f>
        <v/>
      </c>
      <c r="Y83" s="303" t="n"/>
      <c r="Z83" s="303" t="n"/>
      <c r="AA83" s="303" t="n"/>
    </row>
    <row r="84">
      <c r="O84">
        <f>IF(COUNTA(A84:N84)+COUNTA(Q84:W84)+COUNTA(Y84:AA84)=0,"",IF(OR(LEN(TRIM(A84))=0,LEN(TRIM(B84))=0,LEN(TRIM(C84))=0,LEN(TRIM(D84))=0,LEN(TRIM(E84))=0,LEN(TRIM(F84))=0,LEN(TRIM(G84))=0,LEN(TRIM(H84))=0,LEN(TRIM(I84))=0,LEN(TRIM(J84))=0,LEN(TRIM(R84))=0,LEN(TRIM(S84))=0,LEN(TRIM(T84))=0,LEN(TRIM(V84))=0,LEN(TRIM(W84))=0,LEN(TRIM(Y84))=0,LEN(TRIM(Z84))=0,LEN(TRIM(AA84))=0),"Indeterminate",IF(X84&lt;&gt;"OK","Indeterminate",IF(OR(E84="Indeterminate",F84="Indeterminate",G84="Indeterminate",R84="Indeterminate",S84="Indeterminate",T84="Indeterminate",V84="Indeterminate",W84="Indeterminate",Y84="Indeterminate",Z84="Indeterminate",AA84="Indeterminate"),"Indeterminate",IF(OR(E84="Sponsor controlled - invalid",F84="Sponsor veto - invalid",G84="Sponsor/candidate controlled - invalid",H84&lt;&gt;"Yes",I84&lt;&gt;"Yes",J84&lt;&gt;"Yes",R84="Predetermined outcome - invalid",S84="No credible precommitment",T84="Material assistance undisclosed",V84="Missing",V84="Changed after unblinding",W84="Material shared-model generation undisclosed",Y84="No protected reporting channel",Z84="No anonymity/confidentiality protection",AA84="No anti-retaliation safeguard"),"Inadequate",IF(OR(E84="Joint with firewall",F84="Independent with security redaction only",G84="Joint with public rules",K84&lt;&gt;"",AND(L84&lt;&gt;"",LOWER(L84)&lt;&gt;"none"),R84="Declared interest with enforceable firewall",S84="Conditional precommitment with disclosed limits",T84="Material assistance disclosed and separated",W84="Material shared-model generation disclosed",Z84="Not applicable with recorded rationale"),"Adequate with declared controls","Adequate"))))))</f>
        <v/>
      </c>
      <c r="P84">
        <f>IF(AND(O84="",N84=""),"",IF(AND(O84&lt;&gt;"",N84=""),"UNRECORDED",IF(AND(O84="",N84&lt;&gt;""),"ORPHAN_RECORDED",IF(O84=N84,"MATCH","MISMATCH"))))</f>
        <v/>
      </c>
      <c r="X84" s="303">
        <f>IF(COUNTA(E84:J84)+COUNTA(R84:T84)+COUNTA(V84:W84)+COUNTA(Y84:AA84)=0,"",IF(AND(COUNTIF(Vocabulary!$S$5:$S$8,E84)=1,COUNTIF(Vocabulary!$T$5:$T$8,F84)=1,COUNTIF(Vocabulary!$U$5:$U$8,G84)=1,COUNTIF(Vocabulary!$J$5:$J$6,H84)=1,COUNTIF(Vocabulary!$J$5:$J$6,I84)=1,COUNTIF(Vocabulary!$J$5:$J$6,J84)=1,COUNTIF(Vocabulary!$W$5:$W$8,R84)=1,COUNTIF(Vocabulary!$X$5:$X$8,S84)=1,COUNTIF(Vocabulary!$Y$5:$Y$9,T84)=1,COUNTIF(Vocabulary!$Z$5:$Z$8,V84)=1,COUNTIF(Vocabulary!$AA$5:$AA$9,W84)=1,COUNTIF(Vocabulary!$AB$5:$AB$7,Y84)=1,COUNTIF(Vocabulary!$AC$5:$AC$8,Z84)=1,COUNTIF(Vocabulary!$AD$5:$AD$7,AA84)=1),"OK","UNRECOGNISED_CONTROL_VALUE"))</f>
        <v/>
      </c>
      <c r="Y84" s="303" t="n"/>
      <c r="Z84" s="303" t="n"/>
      <c r="AA84" s="303" t="n"/>
    </row>
    <row r="85">
      <c r="O85">
        <f>IF(COUNTA(A85:N85)+COUNTA(Q85:W85)+COUNTA(Y85:AA85)=0,"",IF(OR(LEN(TRIM(A85))=0,LEN(TRIM(B85))=0,LEN(TRIM(C85))=0,LEN(TRIM(D85))=0,LEN(TRIM(E85))=0,LEN(TRIM(F85))=0,LEN(TRIM(G85))=0,LEN(TRIM(H85))=0,LEN(TRIM(I85))=0,LEN(TRIM(J85))=0,LEN(TRIM(R85))=0,LEN(TRIM(S85))=0,LEN(TRIM(T85))=0,LEN(TRIM(V85))=0,LEN(TRIM(W85))=0,LEN(TRIM(Y85))=0,LEN(TRIM(Z85))=0,LEN(TRIM(AA85))=0),"Indeterminate",IF(X85&lt;&gt;"OK","Indeterminate",IF(OR(E85="Indeterminate",F85="Indeterminate",G85="Indeterminate",R85="Indeterminate",S85="Indeterminate",T85="Indeterminate",V85="Indeterminate",W85="Indeterminate",Y85="Indeterminate",Z85="Indeterminate",AA85="Indeterminate"),"Indeterminate",IF(OR(E85="Sponsor controlled - invalid",F85="Sponsor veto - invalid",G85="Sponsor/candidate controlled - invalid",H85&lt;&gt;"Yes",I85&lt;&gt;"Yes",J85&lt;&gt;"Yes",R85="Predetermined outcome - invalid",S85="No credible precommitment",T85="Material assistance undisclosed",V85="Missing",V85="Changed after unblinding",W85="Material shared-model generation undisclosed",Y85="No protected reporting channel",Z85="No anonymity/confidentiality protection",AA85="No anti-retaliation safeguard"),"Inadequate",IF(OR(E85="Joint with firewall",F85="Independent with security redaction only",G85="Joint with public rules",K85&lt;&gt;"",AND(L85&lt;&gt;"",LOWER(L85)&lt;&gt;"none"),R85="Declared interest with enforceable firewall",S85="Conditional precommitment with disclosed limits",T85="Material assistance disclosed and separated",W85="Material shared-model generation disclosed",Z85="Not applicable with recorded rationale"),"Adequate with declared controls","Adequate"))))))</f>
        <v/>
      </c>
      <c r="P85">
        <f>IF(AND(O85="",N85=""),"",IF(AND(O85&lt;&gt;"",N85=""),"UNRECORDED",IF(AND(O85="",N85&lt;&gt;""),"ORPHAN_RECORDED",IF(O85=N85,"MATCH","MISMATCH"))))</f>
        <v/>
      </c>
      <c r="X85" s="303">
        <f>IF(COUNTA(E85:J85)+COUNTA(R85:T85)+COUNTA(V85:W85)+COUNTA(Y85:AA85)=0,"",IF(AND(COUNTIF(Vocabulary!$S$5:$S$8,E85)=1,COUNTIF(Vocabulary!$T$5:$T$8,F85)=1,COUNTIF(Vocabulary!$U$5:$U$8,G85)=1,COUNTIF(Vocabulary!$J$5:$J$6,H85)=1,COUNTIF(Vocabulary!$J$5:$J$6,I85)=1,COUNTIF(Vocabulary!$J$5:$J$6,J85)=1,COUNTIF(Vocabulary!$W$5:$W$8,R85)=1,COUNTIF(Vocabulary!$X$5:$X$8,S85)=1,COUNTIF(Vocabulary!$Y$5:$Y$9,T85)=1,COUNTIF(Vocabulary!$Z$5:$Z$8,V85)=1,COUNTIF(Vocabulary!$AA$5:$AA$9,W85)=1,COUNTIF(Vocabulary!$AB$5:$AB$7,Y85)=1,COUNTIF(Vocabulary!$AC$5:$AC$8,Z85)=1,COUNTIF(Vocabulary!$AD$5:$AD$7,AA85)=1),"OK","UNRECOGNISED_CONTROL_VALUE"))</f>
        <v/>
      </c>
      <c r="Y85" s="303" t="n"/>
      <c r="Z85" s="303" t="n"/>
      <c r="AA85" s="303" t="n"/>
    </row>
    <row r="86">
      <c r="O86">
        <f>IF(COUNTA(A86:N86)+COUNTA(Q86:W86)+COUNTA(Y86:AA86)=0,"",IF(OR(LEN(TRIM(A86))=0,LEN(TRIM(B86))=0,LEN(TRIM(C86))=0,LEN(TRIM(D86))=0,LEN(TRIM(E86))=0,LEN(TRIM(F86))=0,LEN(TRIM(G86))=0,LEN(TRIM(H86))=0,LEN(TRIM(I86))=0,LEN(TRIM(J86))=0,LEN(TRIM(R86))=0,LEN(TRIM(S86))=0,LEN(TRIM(T86))=0,LEN(TRIM(V86))=0,LEN(TRIM(W86))=0,LEN(TRIM(Y86))=0,LEN(TRIM(Z86))=0,LEN(TRIM(AA86))=0),"Indeterminate",IF(X86&lt;&gt;"OK","Indeterminate",IF(OR(E86="Indeterminate",F86="Indeterminate",G86="Indeterminate",R86="Indeterminate",S86="Indeterminate",T86="Indeterminate",V86="Indeterminate",W86="Indeterminate",Y86="Indeterminate",Z86="Indeterminate",AA86="Indeterminate"),"Indeterminate",IF(OR(E86="Sponsor controlled - invalid",F86="Sponsor veto - invalid",G86="Sponsor/candidate controlled - invalid",H86&lt;&gt;"Yes",I86&lt;&gt;"Yes",J86&lt;&gt;"Yes",R86="Predetermined outcome - invalid",S86="No credible precommitment",T86="Material assistance undisclosed",V86="Missing",V86="Changed after unblinding",W86="Material shared-model generation undisclosed",Y86="No protected reporting channel",Z86="No anonymity/confidentiality protection",AA86="No anti-retaliation safeguard"),"Inadequate",IF(OR(E86="Joint with firewall",F86="Independent with security redaction only",G86="Joint with public rules",K86&lt;&gt;"",AND(L86&lt;&gt;"",LOWER(L86)&lt;&gt;"none"),R86="Declared interest with enforceable firewall",S86="Conditional precommitment with disclosed limits",T86="Material assistance disclosed and separated",W86="Material shared-model generation disclosed",Z86="Not applicable with recorded rationale"),"Adequate with declared controls","Adequate"))))))</f>
        <v/>
      </c>
      <c r="P86">
        <f>IF(AND(O86="",N86=""),"",IF(AND(O86&lt;&gt;"",N86=""),"UNRECORDED",IF(AND(O86="",N86&lt;&gt;""),"ORPHAN_RECORDED",IF(O86=N86,"MATCH","MISMATCH"))))</f>
        <v/>
      </c>
      <c r="X86" s="303">
        <f>IF(COUNTA(E86:J86)+COUNTA(R86:T86)+COUNTA(V86:W86)+COUNTA(Y86:AA86)=0,"",IF(AND(COUNTIF(Vocabulary!$S$5:$S$8,E86)=1,COUNTIF(Vocabulary!$T$5:$T$8,F86)=1,COUNTIF(Vocabulary!$U$5:$U$8,G86)=1,COUNTIF(Vocabulary!$J$5:$J$6,H86)=1,COUNTIF(Vocabulary!$J$5:$J$6,I86)=1,COUNTIF(Vocabulary!$J$5:$J$6,J86)=1,COUNTIF(Vocabulary!$W$5:$W$8,R86)=1,COUNTIF(Vocabulary!$X$5:$X$8,S86)=1,COUNTIF(Vocabulary!$Y$5:$Y$9,T86)=1,COUNTIF(Vocabulary!$Z$5:$Z$8,V86)=1,COUNTIF(Vocabulary!$AA$5:$AA$9,W86)=1,COUNTIF(Vocabulary!$AB$5:$AB$7,Y86)=1,COUNTIF(Vocabulary!$AC$5:$AC$8,Z86)=1,COUNTIF(Vocabulary!$AD$5:$AD$7,AA86)=1),"OK","UNRECOGNISED_CONTROL_VALUE"))</f>
        <v/>
      </c>
      <c r="Y86" s="303" t="n"/>
      <c r="Z86" s="303" t="n"/>
      <c r="AA86" s="303" t="n"/>
    </row>
    <row r="87">
      <c r="O87">
        <f>IF(COUNTA(A87:N87)+COUNTA(Q87:W87)+COUNTA(Y87:AA87)=0,"",IF(OR(LEN(TRIM(A87))=0,LEN(TRIM(B87))=0,LEN(TRIM(C87))=0,LEN(TRIM(D87))=0,LEN(TRIM(E87))=0,LEN(TRIM(F87))=0,LEN(TRIM(G87))=0,LEN(TRIM(H87))=0,LEN(TRIM(I87))=0,LEN(TRIM(J87))=0,LEN(TRIM(R87))=0,LEN(TRIM(S87))=0,LEN(TRIM(T87))=0,LEN(TRIM(V87))=0,LEN(TRIM(W87))=0,LEN(TRIM(Y87))=0,LEN(TRIM(Z87))=0,LEN(TRIM(AA87))=0),"Indeterminate",IF(X87&lt;&gt;"OK","Indeterminate",IF(OR(E87="Indeterminate",F87="Indeterminate",G87="Indeterminate",R87="Indeterminate",S87="Indeterminate",T87="Indeterminate",V87="Indeterminate",W87="Indeterminate",Y87="Indeterminate",Z87="Indeterminate",AA87="Indeterminate"),"Indeterminate",IF(OR(E87="Sponsor controlled - invalid",F87="Sponsor veto - invalid",G87="Sponsor/candidate controlled - invalid",H87&lt;&gt;"Yes",I87&lt;&gt;"Yes",J87&lt;&gt;"Yes",R87="Predetermined outcome - invalid",S87="No credible precommitment",T87="Material assistance undisclosed",V87="Missing",V87="Changed after unblinding",W87="Material shared-model generation undisclosed",Y87="No protected reporting channel",Z87="No anonymity/confidentiality protection",AA87="No anti-retaliation safeguard"),"Inadequate",IF(OR(E87="Joint with firewall",F87="Independent with security redaction only",G87="Joint with public rules",K87&lt;&gt;"",AND(L87&lt;&gt;"",LOWER(L87)&lt;&gt;"none"),R87="Declared interest with enforceable firewall",S87="Conditional precommitment with disclosed limits",T87="Material assistance disclosed and separated",W87="Material shared-model generation disclosed",Z87="Not applicable with recorded rationale"),"Adequate with declared controls","Adequate"))))))</f>
        <v/>
      </c>
      <c r="P87">
        <f>IF(AND(O87="",N87=""),"",IF(AND(O87&lt;&gt;"",N87=""),"UNRECORDED",IF(AND(O87="",N87&lt;&gt;""),"ORPHAN_RECORDED",IF(O87=N87,"MATCH","MISMATCH"))))</f>
        <v/>
      </c>
      <c r="X87" s="303">
        <f>IF(COUNTA(E87:J87)+COUNTA(R87:T87)+COUNTA(V87:W87)+COUNTA(Y87:AA87)=0,"",IF(AND(COUNTIF(Vocabulary!$S$5:$S$8,E87)=1,COUNTIF(Vocabulary!$T$5:$T$8,F87)=1,COUNTIF(Vocabulary!$U$5:$U$8,G87)=1,COUNTIF(Vocabulary!$J$5:$J$6,H87)=1,COUNTIF(Vocabulary!$J$5:$J$6,I87)=1,COUNTIF(Vocabulary!$J$5:$J$6,J87)=1,COUNTIF(Vocabulary!$W$5:$W$8,R87)=1,COUNTIF(Vocabulary!$X$5:$X$8,S87)=1,COUNTIF(Vocabulary!$Y$5:$Y$9,T87)=1,COUNTIF(Vocabulary!$Z$5:$Z$8,V87)=1,COUNTIF(Vocabulary!$AA$5:$AA$9,W87)=1,COUNTIF(Vocabulary!$AB$5:$AB$7,Y87)=1,COUNTIF(Vocabulary!$AC$5:$AC$8,Z87)=1,COUNTIF(Vocabulary!$AD$5:$AD$7,AA87)=1),"OK","UNRECOGNISED_CONTROL_VALUE"))</f>
        <v/>
      </c>
      <c r="Y87" s="303" t="n"/>
      <c r="Z87" s="303" t="n"/>
      <c r="AA87" s="303" t="n"/>
    </row>
    <row r="88">
      <c r="O88">
        <f>IF(COUNTA(A88:N88)+COUNTA(Q88:W88)+COUNTA(Y88:AA88)=0,"",IF(OR(LEN(TRIM(A88))=0,LEN(TRIM(B88))=0,LEN(TRIM(C88))=0,LEN(TRIM(D88))=0,LEN(TRIM(E88))=0,LEN(TRIM(F88))=0,LEN(TRIM(G88))=0,LEN(TRIM(H88))=0,LEN(TRIM(I88))=0,LEN(TRIM(J88))=0,LEN(TRIM(R88))=0,LEN(TRIM(S88))=0,LEN(TRIM(T88))=0,LEN(TRIM(V88))=0,LEN(TRIM(W88))=0,LEN(TRIM(Y88))=0,LEN(TRIM(Z88))=0,LEN(TRIM(AA88))=0),"Indeterminate",IF(X88&lt;&gt;"OK","Indeterminate",IF(OR(E88="Indeterminate",F88="Indeterminate",G88="Indeterminate",R88="Indeterminate",S88="Indeterminate",T88="Indeterminate",V88="Indeterminate",W88="Indeterminate",Y88="Indeterminate",Z88="Indeterminate",AA88="Indeterminate"),"Indeterminate",IF(OR(E88="Sponsor controlled - invalid",F88="Sponsor veto - invalid",G88="Sponsor/candidate controlled - invalid",H88&lt;&gt;"Yes",I88&lt;&gt;"Yes",J88&lt;&gt;"Yes",R88="Predetermined outcome - invalid",S88="No credible precommitment",T88="Material assistance undisclosed",V88="Missing",V88="Changed after unblinding",W88="Material shared-model generation undisclosed",Y88="No protected reporting channel",Z88="No anonymity/confidentiality protection",AA88="No anti-retaliation safeguard"),"Inadequate",IF(OR(E88="Joint with firewall",F88="Independent with security redaction only",G88="Joint with public rules",K88&lt;&gt;"",AND(L88&lt;&gt;"",LOWER(L88)&lt;&gt;"none"),R88="Declared interest with enforceable firewall",S88="Conditional precommitment with disclosed limits",T88="Material assistance disclosed and separated",W88="Material shared-model generation disclosed",Z88="Not applicable with recorded rationale"),"Adequate with declared controls","Adequate"))))))</f>
        <v/>
      </c>
      <c r="P88">
        <f>IF(AND(O88="",N88=""),"",IF(AND(O88&lt;&gt;"",N88=""),"UNRECORDED",IF(AND(O88="",N88&lt;&gt;""),"ORPHAN_RECORDED",IF(O88=N88,"MATCH","MISMATCH"))))</f>
        <v/>
      </c>
      <c r="X88" s="303">
        <f>IF(COUNTA(E88:J88)+COUNTA(R88:T88)+COUNTA(V88:W88)+COUNTA(Y88:AA88)=0,"",IF(AND(COUNTIF(Vocabulary!$S$5:$S$8,E88)=1,COUNTIF(Vocabulary!$T$5:$T$8,F88)=1,COUNTIF(Vocabulary!$U$5:$U$8,G88)=1,COUNTIF(Vocabulary!$J$5:$J$6,H88)=1,COUNTIF(Vocabulary!$J$5:$J$6,I88)=1,COUNTIF(Vocabulary!$J$5:$J$6,J88)=1,COUNTIF(Vocabulary!$W$5:$W$8,R88)=1,COUNTIF(Vocabulary!$X$5:$X$8,S88)=1,COUNTIF(Vocabulary!$Y$5:$Y$9,T88)=1,COUNTIF(Vocabulary!$Z$5:$Z$8,V88)=1,COUNTIF(Vocabulary!$AA$5:$AA$9,W88)=1,COUNTIF(Vocabulary!$AB$5:$AB$7,Y88)=1,COUNTIF(Vocabulary!$AC$5:$AC$8,Z88)=1,COUNTIF(Vocabulary!$AD$5:$AD$7,AA88)=1),"OK","UNRECOGNISED_CONTROL_VALUE"))</f>
        <v/>
      </c>
      <c r="Y88" s="303" t="n"/>
      <c r="Z88" s="303" t="n"/>
      <c r="AA88" s="303" t="n"/>
    </row>
    <row r="89">
      <c r="O89">
        <f>IF(COUNTA(A89:N89)+COUNTA(Q89:W89)+COUNTA(Y89:AA89)=0,"",IF(OR(LEN(TRIM(A89))=0,LEN(TRIM(B89))=0,LEN(TRIM(C89))=0,LEN(TRIM(D89))=0,LEN(TRIM(E89))=0,LEN(TRIM(F89))=0,LEN(TRIM(G89))=0,LEN(TRIM(H89))=0,LEN(TRIM(I89))=0,LEN(TRIM(J89))=0,LEN(TRIM(R89))=0,LEN(TRIM(S89))=0,LEN(TRIM(T89))=0,LEN(TRIM(V89))=0,LEN(TRIM(W89))=0,LEN(TRIM(Y89))=0,LEN(TRIM(Z89))=0,LEN(TRIM(AA89))=0),"Indeterminate",IF(X89&lt;&gt;"OK","Indeterminate",IF(OR(E89="Indeterminate",F89="Indeterminate",G89="Indeterminate",R89="Indeterminate",S89="Indeterminate",T89="Indeterminate",V89="Indeterminate",W89="Indeterminate",Y89="Indeterminate",Z89="Indeterminate",AA89="Indeterminate"),"Indeterminate",IF(OR(E89="Sponsor controlled - invalid",F89="Sponsor veto - invalid",G89="Sponsor/candidate controlled - invalid",H89&lt;&gt;"Yes",I89&lt;&gt;"Yes",J89&lt;&gt;"Yes",R89="Predetermined outcome - invalid",S89="No credible precommitment",T89="Material assistance undisclosed",V89="Missing",V89="Changed after unblinding",W89="Material shared-model generation undisclosed",Y89="No protected reporting channel",Z89="No anonymity/confidentiality protection",AA89="No anti-retaliation safeguard"),"Inadequate",IF(OR(E89="Joint with firewall",F89="Independent with security redaction only",G89="Joint with public rules",K89&lt;&gt;"",AND(L89&lt;&gt;"",LOWER(L89)&lt;&gt;"none"),R89="Declared interest with enforceable firewall",S89="Conditional precommitment with disclosed limits",T89="Material assistance disclosed and separated",W89="Material shared-model generation disclosed",Z89="Not applicable with recorded rationale"),"Adequate with declared controls","Adequate"))))))</f>
        <v/>
      </c>
      <c r="P89">
        <f>IF(AND(O89="",N89=""),"",IF(AND(O89&lt;&gt;"",N89=""),"UNRECORDED",IF(AND(O89="",N89&lt;&gt;""),"ORPHAN_RECORDED",IF(O89=N89,"MATCH","MISMATCH"))))</f>
        <v/>
      </c>
      <c r="X89" s="303">
        <f>IF(COUNTA(E89:J89)+COUNTA(R89:T89)+COUNTA(V89:W89)+COUNTA(Y89:AA89)=0,"",IF(AND(COUNTIF(Vocabulary!$S$5:$S$8,E89)=1,COUNTIF(Vocabulary!$T$5:$T$8,F89)=1,COUNTIF(Vocabulary!$U$5:$U$8,G89)=1,COUNTIF(Vocabulary!$J$5:$J$6,H89)=1,COUNTIF(Vocabulary!$J$5:$J$6,I89)=1,COUNTIF(Vocabulary!$J$5:$J$6,J89)=1,COUNTIF(Vocabulary!$W$5:$W$8,R89)=1,COUNTIF(Vocabulary!$X$5:$X$8,S89)=1,COUNTIF(Vocabulary!$Y$5:$Y$9,T89)=1,COUNTIF(Vocabulary!$Z$5:$Z$8,V89)=1,COUNTIF(Vocabulary!$AA$5:$AA$9,W89)=1,COUNTIF(Vocabulary!$AB$5:$AB$7,Y89)=1,COUNTIF(Vocabulary!$AC$5:$AC$8,Z89)=1,COUNTIF(Vocabulary!$AD$5:$AD$7,AA89)=1),"OK","UNRECOGNISED_CONTROL_VALUE"))</f>
        <v/>
      </c>
      <c r="Y89" s="303" t="n"/>
      <c r="Z89" s="303" t="n"/>
      <c r="AA89" s="303" t="n"/>
    </row>
    <row r="90">
      <c r="O90">
        <f>IF(COUNTA(A90:N90)+COUNTA(Q90:W90)+COUNTA(Y90:AA90)=0,"",IF(OR(LEN(TRIM(A90))=0,LEN(TRIM(B90))=0,LEN(TRIM(C90))=0,LEN(TRIM(D90))=0,LEN(TRIM(E90))=0,LEN(TRIM(F90))=0,LEN(TRIM(G90))=0,LEN(TRIM(H90))=0,LEN(TRIM(I90))=0,LEN(TRIM(J90))=0,LEN(TRIM(R90))=0,LEN(TRIM(S90))=0,LEN(TRIM(T90))=0,LEN(TRIM(V90))=0,LEN(TRIM(W90))=0,LEN(TRIM(Y90))=0,LEN(TRIM(Z90))=0,LEN(TRIM(AA90))=0),"Indeterminate",IF(X90&lt;&gt;"OK","Indeterminate",IF(OR(E90="Indeterminate",F90="Indeterminate",G90="Indeterminate",R90="Indeterminate",S90="Indeterminate",T90="Indeterminate",V90="Indeterminate",W90="Indeterminate",Y90="Indeterminate",Z90="Indeterminate",AA90="Indeterminate"),"Indeterminate",IF(OR(E90="Sponsor controlled - invalid",F90="Sponsor veto - invalid",G90="Sponsor/candidate controlled - invalid",H90&lt;&gt;"Yes",I90&lt;&gt;"Yes",J90&lt;&gt;"Yes",R90="Predetermined outcome - invalid",S90="No credible precommitment",T90="Material assistance undisclosed",V90="Missing",V90="Changed after unblinding",W90="Material shared-model generation undisclosed",Y90="No protected reporting channel",Z90="No anonymity/confidentiality protection",AA90="No anti-retaliation safeguard"),"Inadequate",IF(OR(E90="Joint with firewall",F90="Independent with security redaction only",G90="Joint with public rules",K90&lt;&gt;"",AND(L90&lt;&gt;"",LOWER(L90)&lt;&gt;"none"),R90="Declared interest with enforceable firewall",S90="Conditional precommitment with disclosed limits",T90="Material assistance disclosed and separated",W90="Material shared-model generation disclosed",Z90="Not applicable with recorded rationale"),"Adequate with declared controls","Adequate"))))))</f>
        <v/>
      </c>
      <c r="P90">
        <f>IF(AND(O90="",N90=""),"",IF(AND(O90&lt;&gt;"",N90=""),"UNRECORDED",IF(AND(O90="",N90&lt;&gt;""),"ORPHAN_RECORDED",IF(O90=N90,"MATCH","MISMATCH"))))</f>
        <v/>
      </c>
      <c r="X90" s="303">
        <f>IF(COUNTA(E90:J90)+COUNTA(R90:T90)+COUNTA(V90:W90)+COUNTA(Y90:AA90)=0,"",IF(AND(COUNTIF(Vocabulary!$S$5:$S$8,E90)=1,COUNTIF(Vocabulary!$T$5:$T$8,F90)=1,COUNTIF(Vocabulary!$U$5:$U$8,G90)=1,COUNTIF(Vocabulary!$J$5:$J$6,H90)=1,COUNTIF(Vocabulary!$J$5:$J$6,I90)=1,COUNTIF(Vocabulary!$J$5:$J$6,J90)=1,COUNTIF(Vocabulary!$W$5:$W$8,R90)=1,COUNTIF(Vocabulary!$X$5:$X$8,S90)=1,COUNTIF(Vocabulary!$Y$5:$Y$9,T90)=1,COUNTIF(Vocabulary!$Z$5:$Z$8,V90)=1,COUNTIF(Vocabulary!$AA$5:$AA$9,W90)=1,COUNTIF(Vocabulary!$AB$5:$AB$7,Y90)=1,COUNTIF(Vocabulary!$AC$5:$AC$8,Z90)=1,COUNTIF(Vocabulary!$AD$5:$AD$7,AA90)=1),"OK","UNRECOGNISED_CONTROL_VALUE"))</f>
        <v/>
      </c>
      <c r="Y90" s="303" t="n"/>
      <c r="Z90" s="303" t="n"/>
      <c r="AA90" s="303" t="n"/>
    </row>
    <row r="91">
      <c r="O91">
        <f>IF(COUNTA(A91:N91)+COUNTA(Q91:W91)+COUNTA(Y91:AA91)=0,"",IF(OR(LEN(TRIM(A91))=0,LEN(TRIM(B91))=0,LEN(TRIM(C91))=0,LEN(TRIM(D91))=0,LEN(TRIM(E91))=0,LEN(TRIM(F91))=0,LEN(TRIM(G91))=0,LEN(TRIM(H91))=0,LEN(TRIM(I91))=0,LEN(TRIM(J91))=0,LEN(TRIM(R91))=0,LEN(TRIM(S91))=0,LEN(TRIM(T91))=0,LEN(TRIM(V91))=0,LEN(TRIM(W91))=0,LEN(TRIM(Y91))=0,LEN(TRIM(Z91))=0,LEN(TRIM(AA91))=0),"Indeterminate",IF(X91&lt;&gt;"OK","Indeterminate",IF(OR(E91="Indeterminate",F91="Indeterminate",G91="Indeterminate",R91="Indeterminate",S91="Indeterminate",T91="Indeterminate",V91="Indeterminate",W91="Indeterminate",Y91="Indeterminate",Z91="Indeterminate",AA91="Indeterminate"),"Indeterminate",IF(OR(E91="Sponsor controlled - invalid",F91="Sponsor veto - invalid",G91="Sponsor/candidate controlled - invalid",H91&lt;&gt;"Yes",I91&lt;&gt;"Yes",J91&lt;&gt;"Yes",R91="Predetermined outcome - invalid",S91="No credible precommitment",T91="Material assistance undisclosed",V91="Missing",V91="Changed after unblinding",W91="Material shared-model generation undisclosed",Y91="No protected reporting channel",Z91="No anonymity/confidentiality protection",AA91="No anti-retaliation safeguard"),"Inadequate",IF(OR(E91="Joint with firewall",F91="Independent with security redaction only",G91="Joint with public rules",K91&lt;&gt;"",AND(L91&lt;&gt;"",LOWER(L91)&lt;&gt;"none"),R91="Declared interest with enforceable firewall",S91="Conditional precommitment with disclosed limits",T91="Material assistance disclosed and separated",W91="Material shared-model generation disclosed",Z91="Not applicable with recorded rationale"),"Adequate with declared controls","Adequate"))))))</f>
        <v/>
      </c>
      <c r="P91">
        <f>IF(AND(O91="",N91=""),"",IF(AND(O91&lt;&gt;"",N91=""),"UNRECORDED",IF(AND(O91="",N91&lt;&gt;""),"ORPHAN_RECORDED",IF(O91=N91,"MATCH","MISMATCH"))))</f>
        <v/>
      </c>
      <c r="X91" s="303">
        <f>IF(COUNTA(E91:J91)+COUNTA(R91:T91)+COUNTA(V91:W91)+COUNTA(Y91:AA91)=0,"",IF(AND(COUNTIF(Vocabulary!$S$5:$S$8,E91)=1,COUNTIF(Vocabulary!$T$5:$T$8,F91)=1,COUNTIF(Vocabulary!$U$5:$U$8,G91)=1,COUNTIF(Vocabulary!$J$5:$J$6,H91)=1,COUNTIF(Vocabulary!$J$5:$J$6,I91)=1,COUNTIF(Vocabulary!$J$5:$J$6,J91)=1,COUNTIF(Vocabulary!$W$5:$W$8,R91)=1,COUNTIF(Vocabulary!$X$5:$X$8,S91)=1,COUNTIF(Vocabulary!$Y$5:$Y$9,T91)=1,COUNTIF(Vocabulary!$Z$5:$Z$8,V91)=1,COUNTIF(Vocabulary!$AA$5:$AA$9,W91)=1,COUNTIF(Vocabulary!$AB$5:$AB$7,Y91)=1,COUNTIF(Vocabulary!$AC$5:$AC$8,Z91)=1,COUNTIF(Vocabulary!$AD$5:$AD$7,AA91)=1),"OK","UNRECOGNISED_CONTROL_VALUE"))</f>
        <v/>
      </c>
      <c r="Y91" s="303" t="n"/>
      <c r="Z91" s="303" t="n"/>
      <c r="AA91" s="303" t="n"/>
    </row>
    <row r="92">
      <c r="O92">
        <f>IF(COUNTA(A92:N92)+COUNTA(Q92:W92)+COUNTA(Y92:AA92)=0,"",IF(OR(LEN(TRIM(A92))=0,LEN(TRIM(B92))=0,LEN(TRIM(C92))=0,LEN(TRIM(D92))=0,LEN(TRIM(E92))=0,LEN(TRIM(F92))=0,LEN(TRIM(G92))=0,LEN(TRIM(H92))=0,LEN(TRIM(I92))=0,LEN(TRIM(J92))=0,LEN(TRIM(R92))=0,LEN(TRIM(S92))=0,LEN(TRIM(T92))=0,LEN(TRIM(V92))=0,LEN(TRIM(W92))=0,LEN(TRIM(Y92))=0,LEN(TRIM(Z92))=0,LEN(TRIM(AA92))=0),"Indeterminate",IF(X92&lt;&gt;"OK","Indeterminate",IF(OR(E92="Indeterminate",F92="Indeterminate",G92="Indeterminate",R92="Indeterminate",S92="Indeterminate",T92="Indeterminate",V92="Indeterminate",W92="Indeterminate",Y92="Indeterminate",Z92="Indeterminate",AA92="Indeterminate"),"Indeterminate",IF(OR(E92="Sponsor controlled - invalid",F92="Sponsor veto - invalid",G92="Sponsor/candidate controlled - invalid",H92&lt;&gt;"Yes",I92&lt;&gt;"Yes",J92&lt;&gt;"Yes",R92="Predetermined outcome - invalid",S92="No credible precommitment",T92="Material assistance undisclosed",V92="Missing",V92="Changed after unblinding",W92="Material shared-model generation undisclosed",Y92="No protected reporting channel",Z92="No anonymity/confidentiality protection",AA92="No anti-retaliation safeguard"),"Inadequate",IF(OR(E92="Joint with firewall",F92="Independent with security redaction only",G92="Joint with public rules",K92&lt;&gt;"",AND(L92&lt;&gt;"",LOWER(L92)&lt;&gt;"none"),R92="Declared interest with enforceable firewall",S92="Conditional precommitment with disclosed limits",T92="Material assistance disclosed and separated",W92="Material shared-model generation disclosed",Z92="Not applicable with recorded rationale"),"Adequate with declared controls","Adequate"))))))</f>
        <v/>
      </c>
      <c r="P92">
        <f>IF(AND(O92="",N92=""),"",IF(AND(O92&lt;&gt;"",N92=""),"UNRECORDED",IF(AND(O92="",N92&lt;&gt;""),"ORPHAN_RECORDED",IF(O92=N92,"MATCH","MISMATCH"))))</f>
        <v/>
      </c>
      <c r="X92" s="303">
        <f>IF(COUNTA(E92:J92)+COUNTA(R92:T92)+COUNTA(V92:W92)+COUNTA(Y92:AA92)=0,"",IF(AND(COUNTIF(Vocabulary!$S$5:$S$8,E92)=1,COUNTIF(Vocabulary!$T$5:$T$8,F92)=1,COUNTIF(Vocabulary!$U$5:$U$8,G92)=1,COUNTIF(Vocabulary!$J$5:$J$6,H92)=1,COUNTIF(Vocabulary!$J$5:$J$6,I92)=1,COUNTIF(Vocabulary!$J$5:$J$6,J92)=1,COUNTIF(Vocabulary!$W$5:$W$8,R92)=1,COUNTIF(Vocabulary!$X$5:$X$8,S92)=1,COUNTIF(Vocabulary!$Y$5:$Y$9,T92)=1,COUNTIF(Vocabulary!$Z$5:$Z$8,V92)=1,COUNTIF(Vocabulary!$AA$5:$AA$9,W92)=1,COUNTIF(Vocabulary!$AB$5:$AB$7,Y92)=1,COUNTIF(Vocabulary!$AC$5:$AC$8,Z92)=1,COUNTIF(Vocabulary!$AD$5:$AD$7,AA92)=1),"OK","UNRECOGNISED_CONTROL_VALUE"))</f>
        <v/>
      </c>
      <c r="Y92" s="303" t="n"/>
      <c r="Z92" s="303" t="n"/>
      <c r="AA92" s="303" t="n"/>
    </row>
    <row r="93">
      <c r="O93">
        <f>IF(COUNTA(A93:N93)+COUNTA(Q93:W93)+COUNTA(Y93:AA93)=0,"",IF(OR(LEN(TRIM(A93))=0,LEN(TRIM(B93))=0,LEN(TRIM(C93))=0,LEN(TRIM(D93))=0,LEN(TRIM(E93))=0,LEN(TRIM(F93))=0,LEN(TRIM(G93))=0,LEN(TRIM(H93))=0,LEN(TRIM(I93))=0,LEN(TRIM(J93))=0,LEN(TRIM(R93))=0,LEN(TRIM(S93))=0,LEN(TRIM(T93))=0,LEN(TRIM(V93))=0,LEN(TRIM(W93))=0,LEN(TRIM(Y93))=0,LEN(TRIM(Z93))=0,LEN(TRIM(AA93))=0),"Indeterminate",IF(X93&lt;&gt;"OK","Indeterminate",IF(OR(E93="Indeterminate",F93="Indeterminate",G93="Indeterminate",R93="Indeterminate",S93="Indeterminate",T93="Indeterminate",V93="Indeterminate",W93="Indeterminate",Y93="Indeterminate",Z93="Indeterminate",AA93="Indeterminate"),"Indeterminate",IF(OR(E93="Sponsor controlled - invalid",F93="Sponsor veto - invalid",G93="Sponsor/candidate controlled - invalid",H93&lt;&gt;"Yes",I93&lt;&gt;"Yes",J93&lt;&gt;"Yes",R93="Predetermined outcome - invalid",S93="No credible precommitment",T93="Material assistance undisclosed",V93="Missing",V93="Changed after unblinding",W93="Material shared-model generation undisclosed",Y93="No protected reporting channel",Z93="No anonymity/confidentiality protection",AA93="No anti-retaliation safeguard"),"Inadequate",IF(OR(E93="Joint with firewall",F93="Independent with security redaction only",G93="Joint with public rules",K93&lt;&gt;"",AND(L93&lt;&gt;"",LOWER(L93)&lt;&gt;"none"),R93="Declared interest with enforceable firewall",S93="Conditional precommitment with disclosed limits",T93="Material assistance disclosed and separated",W93="Material shared-model generation disclosed",Z93="Not applicable with recorded rationale"),"Adequate with declared controls","Adequate"))))))</f>
        <v/>
      </c>
      <c r="P93">
        <f>IF(AND(O93="",N93=""),"",IF(AND(O93&lt;&gt;"",N93=""),"UNRECORDED",IF(AND(O93="",N93&lt;&gt;""),"ORPHAN_RECORDED",IF(O93=N93,"MATCH","MISMATCH"))))</f>
        <v/>
      </c>
      <c r="X93" s="303">
        <f>IF(COUNTA(E93:J93)+COUNTA(R93:T93)+COUNTA(V93:W93)+COUNTA(Y93:AA93)=0,"",IF(AND(COUNTIF(Vocabulary!$S$5:$S$8,E93)=1,COUNTIF(Vocabulary!$T$5:$T$8,F93)=1,COUNTIF(Vocabulary!$U$5:$U$8,G93)=1,COUNTIF(Vocabulary!$J$5:$J$6,H93)=1,COUNTIF(Vocabulary!$J$5:$J$6,I93)=1,COUNTIF(Vocabulary!$J$5:$J$6,J93)=1,COUNTIF(Vocabulary!$W$5:$W$8,R93)=1,COUNTIF(Vocabulary!$X$5:$X$8,S93)=1,COUNTIF(Vocabulary!$Y$5:$Y$9,T93)=1,COUNTIF(Vocabulary!$Z$5:$Z$8,V93)=1,COUNTIF(Vocabulary!$AA$5:$AA$9,W93)=1,COUNTIF(Vocabulary!$AB$5:$AB$7,Y93)=1,COUNTIF(Vocabulary!$AC$5:$AC$8,Z93)=1,COUNTIF(Vocabulary!$AD$5:$AD$7,AA93)=1),"OK","UNRECOGNISED_CONTROL_VALUE"))</f>
        <v/>
      </c>
      <c r="Y93" s="303" t="n"/>
      <c r="Z93" s="303" t="n"/>
      <c r="AA93" s="303" t="n"/>
    </row>
    <row r="94">
      <c r="O94">
        <f>IF(COUNTA(A94:N94)+COUNTA(Q94:W94)+COUNTA(Y94:AA94)=0,"",IF(OR(LEN(TRIM(A94))=0,LEN(TRIM(B94))=0,LEN(TRIM(C94))=0,LEN(TRIM(D94))=0,LEN(TRIM(E94))=0,LEN(TRIM(F94))=0,LEN(TRIM(G94))=0,LEN(TRIM(H94))=0,LEN(TRIM(I94))=0,LEN(TRIM(J94))=0,LEN(TRIM(R94))=0,LEN(TRIM(S94))=0,LEN(TRIM(T94))=0,LEN(TRIM(V94))=0,LEN(TRIM(W94))=0,LEN(TRIM(Y94))=0,LEN(TRIM(Z94))=0,LEN(TRIM(AA94))=0),"Indeterminate",IF(X94&lt;&gt;"OK","Indeterminate",IF(OR(E94="Indeterminate",F94="Indeterminate",G94="Indeterminate",R94="Indeterminate",S94="Indeterminate",T94="Indeterminate",V94="Indeterminate",W94="Indeterminate",Y94="Indeterminate",Z94="Indeterminate",AA94="Indeterminate"),"Indeterminate",IF(OR(E94="Sponsor controlled - invalid",F94="Sponsor veto - invalid",G94="Sponsor/candidate controlled - invalid",H94&lt;&gt;"Yes",I94&lt;&gt;"Yes",J94&lt;&gt;"Yes",R94="Predetermined outcome - invalid",S94="No credible precommitment",T94="Material assistance undisclosed",V94="Missing",V94="Changed after unblinding",W94="Material shared-model generation undisclosed",Y94="No protected reporting channel",Z94="No anonymity/confidentiality protection",AA94="No anti-retaliation safeguard"),"Inadequate",IF(OR(E94="Joint with firewall",F94="Independent with security redaction only",G94="Joint with public rules",K94&lt;&gt;"",AND(L94&lt;&gt;"",LOWER(L94)&lt;&gt;"none"),R94="Declared interest with enforceable firewall",S94="Conditional precommitment with disclosed limits",T94="Material assistance disclosed and separated",W94="Material shared-model generation disclosed",Z94="Not applicable with recorded rationale"),"Adequate with declared controls","Adequate"))))))</f>
        <v/>
      </c>
      <c r="P94">
        <f>IF(AND(O94="",N94=""),"",IF(AND(O94&lt;&gt;"",N94=""),"UNRECORDED",IF(AND(O94="",N94&lt;&gt;""),"ORPHAN_RECORDED",IF(O94=N94,"MATCH","MISMATCH"))))</f>
        <v/>
      </c>
      <c r="X94" s="303">
        <f>IF(COUNTA(E94:J94)+COUNTA(R94:T94)+COUNTA(V94:W94)+COUNTA(Y94:AA94)=0,"",IF(AND(COUNTIF(Vocabulary!$S$5:$S$8,E94)=1,COUNTIF(Vocabulary!$T$5:$T$8,F94)=1,COUNTIF(Vocabulary!$U$5:$U$8,G94)=1,COUNTIF(Vocabulary!$J$5:$J$6,H94)=1,COUNTIF(Vocabulary!$J$5:$J$6,I94)=1,COUNTIF(Vocabulary!$J$5:$J$6,J94)=1,COUNTIF(Vocabulary!$W$5:$W$8,R94)=1,COUNTIF(Vocabulary!$X$5:$X$8,S94)=1,COUNTIF(Vocabulary!$Y$5:$Y$9,T94)=1,COUNTIF(Vocabulary!$Z$5:$Z$8,V94)=1,COUNTIF(Vocabulary!$AA$5:$AA$9,W94)=1,COUNTIF(Vocabulary!$AB$5:$AB$7,Y94)=1,COUNTIF(Vocabulary!$AC$5:$AC$8,Z94)=1,COUNTIF(Vocabulary!$AD$5:$AD$7,AA94)=1),"OK","UNRECOGNISED_CONTROL_VALUE"))</f>
        <v/>
      </c>
      <c r="Y94" s="303" t="n"/>
      <c r="Z94" s="303" t="n"/>
      <c r="AA94" s="303" t="n"/>
    </row>
    <row r="95">
      <c r="O95">
        <f>IF(COUNTA(A95:N95)+COUNTA(Q95:W95)+COUNTA(Y95:AA95)=0,"",IF(OR(LEN(TRIM(A95))=0,LEN(TRIM(B95))=0,LEN(TRIM(C95))=0,LEN(TRIM(D95))=0,LEN(TRIM(E95))=0,LEN(TRIM(F95))=0,LEN(TRIM(G95))=0,LEN(TRIM(H95))=0,LEN(TRIM(I95))=0,LEN(TRIM(J95))=0,LEN(TRIM(R95))=0,LEN(TRIM(S95))=0,LEN(TRIM(T95))=0,LEN(TRIM(V95))=0,LEN(TRIM(W95))=0,LEN(TRIM(Y95))=0,LEN(TRIM(Z95))=0,LEN(TRIM(AA95))=0),"Indeterminate",IF(X95&lt;&gt;"OK","Indeterminate",IF(OR(E95="Indeterminate",F95="Indeterminate",G95="Indeterminate",R95="Indeterminate",S95="Indeterminate",T95="Indeterminate",V95="Indeterminate",W95="Indeterminate",Y95="Indeterminate",Z95="Indeterminate",AA95="Indeterminate"),"Indeterminate",IF(OR(E95="Sponsor controlled - invalid",F95="Sponsor veto - invalid",G95="Sponsor/candidate controlled - invalid",H95&lt;&gt;"Yes",I95&lt;&gt;"Yes",J95&lt;&gt;"Yes",R95="Predetermined outcome - invalid",S95="No credible precommitment",T95="Material assistance undisclosed",V95="Missing",V95="Changed after unblinding",W95="Material shared-model generation undisclosed",Y95="No protected reporting channel",Z95="No anonymity/confidentiality protection",AA95="No anti-retaliation safeguard"),"Inadequate",IF(OR(E95="Joint with firewall",F95="Independent with security redaction only",G95="Joint with public rules",K95&lt;&gt;"",AND(L95&lt;&gt;"",LOWER(L95)&lt;&gt;"none"),R95="Declared interest with enforceable firewall",S95="Conditional precommitment with disclosed limits",T95="Material assistance disclosed and separated",W95="Material shared-model generation disclosed",Z95="Not applicable with recorded rationale"),"Adequate with declared controls","Adequate"))))))</f>
        <v/>
      </c>
      <c r="P95">
        <f>IF(AND(O95="",N95=""),"",IF(AND(O95&lt;&gt;"",N95=""),"UNRECORDED",IF(AND(O95="",N95&lt;&gt;""),"ORPHAN_RECORDED",IF(O95=N95,"MATCH","MISMATCH"))))</f>
        <v/>
      </c>
      <c r="X95" s="303">
        <f>IF(COUNTA(E95:J95)+COUNTA(R95:T95)+COUNTA(V95:W95)+COUNTA(Y95:AA95)=0,"",IF(AND(COUNTIF(Vocabulary!$S$5:$S$8,E95)=1,COUNTIF(Vocabulary!$T$5:$T$8,F95)=1,COUNTIF(Vocabulary!$U$5:$U$8,G95)=1,COUNTIF(Vocabulary!$J$5:$J$6,H95)=1,COUNTIF(Vocabulary!$J$5:$J$6,I95)=1,COUNTIF(Vocabulary!$J$5:$J$6,J95)=1,COUNTIF(Vocabulary!$W$5:$W$8,R95)=1,COUNTIF(Vocabulary!$X$5:$X$8,S95)=1,COUNTIF(Vocabulary!$Y$5:$Y$9,T95)=1,COUNTIF(Vocabulary!$Z$5:$Z$8,V95)=1,COUNTIF(Vocabulary!$AA$5:$AA$9,W95)=1,COUNTIF(Vocabulary!$AB$5:$AB$7,Y95)=1,COUNTIF(Vocabulary!$AC$5:$AC$8,Z95)=1,COUNTIF(Vocabulary!$AD$5:$AD$7,AA95)=1),"OK","UNRECOGNISED_CONTROL_VALUE"))</f>
        <v/>
      </c>
      <c r="Y95" s="303" t="n"/>
      <c r="Z95" s="303" t="n"/>
      <c r="AA95" s="303" t="n"/>
    </row>
    <row r="96">
      <c r="O96">
        <f>IF(COUNTA(A96:N96)+COUNTA(Q96:W96)+COUNTA(Y96:AA96)=0,"",IF(OR(LEN(TRIM(A96))=0,LEN(TRIM(B96))=0,LEN(TRIM(C96))=0,LEN(TRIM(D96))=0,LEN(TRIM(E96))=0,LEN(TRIM(F96))=0,LEN(TRIM(G96))=0,LEN(TRIM(H96))=0,LEN(TRIM(I96))=0,LEN(TRIM(J96))=0,LEN(TRIM(R96))=0,LEN(TRIM(S96))=0,LEN(TRIM(T96))=0,LEN(TRIM(V96))=0,LEN(TRIM(W96))=0,LEN(TRIM(Y96))=0,LEN(TRIM(Z96))=0,LEN(TRIM(AA96))=0),"Indeterminate",IF(X96&lt;&gt;"OK","Indeterminate",IF(OR(E96="Indeterminate",F96="Indeterminate",G96="Indeterminate",R96="Indeterminate",S96="Indeterminate",T96="Indeterminate",V96="Indeterminate",W96="Indeterminate",Y96="Indeterminate",Z96="Indeterminate",AA96="Indeterminate"),"Indeterminate",IF(OR(E96="Sponsor controlled - invalid",F96="Sponsor veto - invalid",G96="Sponsor/candidate controlled - invalid",H96&lt;&gt;"Yes",I96&lt;&gt;"Yes",J96&lt;&gt;"Yes",R96="Predetermined outcome - invalid",S96="No credible precommitment",T96="Material assistance undisclosed",V96="Missing",V96="Changed after unblinding",W96="Material shared-model generation undisclosed",Y96="No protected reporting channel",Z96="No anonymity/confidentiality protection",AA96="No anti-retaliation safeguard"),"Inadequate",IF(OR(E96="Joint with firewall",F96="Independent with security redaction only",G96="Joint with public rules",K96&lt;&gt;"",AND(L96&lt;&gt;"",LOWER(L96)&lt;&gt;"none"),R96="Declared interest with enforceable firewall",S96="Conditional precommitment with disclosed limits",T96="Material assistance disclosed and separated",W96="Material shared-model generation disclosed",Z96="Not applicable with recorded rationale"),"Adequate with declared controls","Adequate"))))))</f>
        <v/>
      </c>
      <c r="P96">
        <f>IF(AND(O96="",N96=""),"",IF(AND(O96&lt;&gt;"",N96=""),"UNRECORDED",IF(AND(O96="",N96&lt;&gt;""),"ORPHAN_RECORDED",IF(O96=N96,"MATCH","MISMATCH"))))</f>
        <v/>
      </c>
      <c r="X96" s="303">
        <f>IF(COUNTA(E96:J96)+COUNTA(R96:T96)+COUNTA(V96:W96)+COUNTA(Y96:AA96)=0,"",IF(AND(COUNTIF(Vocabulary!$S$5:$S$8,E96)=1,COUNTIF(Vocabulary!$T$5:$T$8,F96)=1,COUNTIF(Vocabulary!$U$5:$U$8,G96)=1,COUNTIF(Vocabulary!$J$5:$J$6,H96)=1,COUNTIF(Vocabulary!$J$5:$J$6,I96)=1,COUNTIF(Vocabulary!$J$5:$J$6,J96)=1,COUNTIF(Vocabulary!$W$5:$W$8,R96)=1,COUNTIF(Vocabulary!$X$5:$X$8,S96)=1,COUNTIF(Vocabulary!$Y$5:$Y$9,T96)=1,COUNTIF(Vocabulary!$Z$5:$Z$8,V96)=1,COUNTIF(Vocabulary!$AA$5:$AA$9,W96)=1,COUNTIF(Vocabulary!$AB$5:$AB$7,Y96)=1,COUNTIF(Vocabulary!$AC$5:$AC$8,Z96)=1,COUNTIF(Vocabulary!$AD$5:$AD$7,AA96)=1),"OK","UNRECOGNISED_CONTROL_VALUE"))</f>
        <v/>
      </c>
      <c r="Y96" s="303" t="n"/>
      <c r="Z96" s="303" t="n"/>
      <c r="AA96" s="303" t="n"/>
    </row>
    <row r="97">
      <c r="O97">
        <f>IF(COUNTA(A97:N97)+COUNTA(Q97:W97)+COUNTA(Y97:AA97)=0,"",IF(OR(LEN(TRIM(A97))=0,LEN(TRIM(B97))=0,LEN(TRIM(C97))=0,LEN(TRIM(D97))=0,LEN(TRIM(E97))=0,LEN(TRIM(F97))=0,LEN(TRIM(G97))=0,LEN(TRIM(H97))=0,LEN(TRIM(I97))=0,LEN(TRIM(J97))=0,LEN(TRIM(R97))=0,LEN(TRIM(S97))=0,LEN(TRIM(T97))=0,LEN(TRIM(V97))=0,LEN(TRIM(W97))=0,LEN(TRIM(Y97))=0,LEN(TRIM(Z97))=0,LEN(TRIM(AA97))=0),"Indeterminate",IF(X97&lt;&gt;"OK","Indeterminate",IF(OR(E97="Indeterminate",F97="Indeterminate",G97="Indeterminate",R97="Indeterminate",S97="Indeterminate",T97="Indeterminate",V97="Indeterminate",W97="Indeterminate",Y97="Indeterminate",Z97="Indeterminate",AA97="Indeterminate"),"Indeterminate",IF(OR(E97="Sponsor controlled - invalid",F97="Sponsor veto - invalid",G97="Sponsor/candidate controlled - invalid",H97&lt;&gt;"Yes",I97&lt;&gt;"Yes",J97&lt;&gt;"Yes",R97="Predetermined outcome - invalid",S97="No credible precommitment",T97="Material assistance undisclosed",V97="Missing",V97="Changed after unblinding",W97="Material shared-model generation undisclosed",Y97="No protected reporting channel",Z97="No anonymity/confidentiality protection",AA97="No anti-retaliation safeguard"),"Inadequate",IF(OR(E97="Joint with firewall",F97="Independent with security redaction only",G97="Joint with public rules",K97&lt;&gt;"",AND(L97&lt;&gt;"",LOWER(L97)&lt;&gt;"none"),R97="Declared interest with enforceable firewall",S97="Conditional precommitment with disclosed limits",T97="Material assistance disclosed and separated",W97="Material shared-model generation disclosed",Z97="Not applicable with recorded rationale"),"Adequate with declared controls","Adequate"))))))</f>
        <v/>
      </c>
      <c r="P97">
        <f>IF(AND(O97="",N97=""),"",IF(AND(O97&lt;&gt;"",N97=""),"UNRECORDED",IF(AND(O97="",N97&lt;&gt;""),"ORPHAN_RECORDED",IF(O97=N97,"MATCH","MISMATCH"))))</f>
        <v/>
      </c>
      <c r="X97" s="303">
        <f>IF(COUNTA(E97:J97)+COUNTA(R97:T97)+COUNTA(V97:W97)+COUNTA(Y97:AA97)=0,"",IF(AND(COUNTIF(Vocabulary!$S$5:$S$8,E97)=1,COUNTIF(Vocabulary!$T$5:$T$8,F97)=1,COUNTIF(Vocabulary!$U$5:$U$8,G97)=1,COUNTIF(Vocabulary!$J$5:$J$6,H97)=1,COUNTIF(Vocabulary!$J$5:$J$6,I97)=1,COUNTIF(Vocabulary!$J$5:$J$6,J97)=1,COUNTIF(Vocabulary!$W$5:$W$8,R97)=1,COUNTIF(Vocabulary!$X$5:$X$8,S97)=1,COUNTIF(Vocabulary!$Y$5:$Y$9,T97)=1,COUNTIF(Vocabulary!$Z$5:$Z$8,V97)=1,COUNTIF(Vocabulary!$AA$5:$AA$9,W97)=1,COUNTIF(Vocabulary!$AB$5:$AB$7,Y97)=1,COUNTIF(Vocabulary!$AC$5:$AC$8,Z97)=1,COUNTIF(Vocabulary!$AD$5:$AD$7,AA97)=1),"OK","UNRECOGNISED_CONTROL_VALUE"))</f>
        <v/>
      </c>
      <c r="Y97" s="303" t="n"/>
      <c r="Z97" s="303" t="n"/>
      <c r="AA97" s="303" t="n"/>
    </row>
    <row r="98">
      <c r="O98">
        <f>IF(COUNTA(A98:N98)+COUNTA(Q98:W98)+COUNTA(Y98:AA98)=0,"",IF(OR(LEN(TRIM(A98))=0,LEN(TRIM(B98))=0,LEN(TRIM(C98))=0,LEN(TRIM(D98))=0,LEN(TRIM(E98))=0,LEN(TRIM(F98))=0,LEN(TRIM(G98))=0,LEN(TRIM(H98))=0,LEN(TRIM(I98))=0,LEN(TRIM(J98))=0,LEN(TRIM(R98))=0,LEN(TRIM(S98))=0,LEN(TRIM(T98))=0,LEN(TRIM(V98))=0,LEN(TRIM(W98))=0,LEN(TRIM(Y98))=0,LEN(TRIM(Z98))=0,LEN(TRIM(AA98))=0),"Indeterminate",IF(X98&lt;&gt;"OK","Indeterminate",IF(OR(E98="Indeterminate",F98="Indeterminate",G98="Indeterminate",R98="Indeterminate",S98="Indeterminate",T98="Indeterminate",V98="Indeterminate",W98="Indeterminate",Y98="Indeterminate",Z98="Indeterminate",AA98="Indeterminate"),"Indeterminate",IF(OR(E98="Sponsor controlled - invalid",F98="Sponsor veto - invalid",G98="Sponsor/candidate controlled - invalid",H98&lt;&gt;"Yes",I98&lt;&gt;"Yes",J98&lt;&gt;"Yes",R98="Predetermined outcome - invalid",S98="No credible precommitment",T98="Material assistance undisclosed",V98="Missing",V98="Changed after unblinding",W98="Material shared-model generation undisclosed",Y98="No protected reporting channel",Z98="No anonymity/confidentiality protection",AA98="No anti-retaliation safeguard"),"Inadequate",IF(OR(E98="Joint with firewall",F98="Independent with security redaction only",G98="Joint with public rules",K98&lt;&gt;"",AND(L98&lt;&gt;"",LOWER(L98)&lt;&gt;"none"),R98="Declared interest with enforceable firewall",S98="Conditional precommitment with disclosed limits",T98="Material assistance disclosed and separated",W98="Material shared-model generation disclosed",Z98="Not applicable with recorded rationale"),"Adequate with declared controls","Adequate"))))))</f>
        <v/>
      </c>
      <c r="P98">
        <f>IF(AND(O98="",N98=""),"",IF(AND(O98&lt;&gt;"",N98=""),"UNRECORDED",IF(AND(O98="",N98&lt;&gt;""),"ORPHAN_RECORDED",IF(O98=N98,"MATCH","MISMATCH"))))</f>
        <v/>
      </c>
      <c r="X98" s="303">
        <f>IF(COUNTA(E98:J98)+COUNTA(R98:T98)+COUNTA(V98:W98)+COUNTA(Y98:AA98)=0,"",IF(AND(COUNTIF(Vocabulary!$S$5:$S$8,E98)=1,COUNTIF(Vocabulary!$T$5:$T$8,F98)=1,COUNTIF(Vocabulary!$U$5:$U$8,G98)=1,COUNTIF(Vocabulary!$J$5:$J$6,H98)=1,COUNTIF(Vocabulary!$J$5:$J$6,I98)=1,COUNTIF(Vocabulary!$J$5:$J$6,J98)=1,COUNTIF(Vocabulary!$W$5:$W$8,R98)=1,COUNTIF(Vocabulary!$X$5:$X$8,S98)=1,COUNTIF(Vocabulary!$Y$5:$Y$9,T98)=1,COUNTIF(Vocabulary!$Z$5:$Z$8,V98)=1,COUNTIF(Vocabulary!$AA$5:$AA$9,W98)=1,COUNTIF(Vocabulary!$AB$5:$AB$7,Y98)=1,COUNTIF(Vocabulary!$AC$5:$AC$8,Z98)=1,COUNTIF(Vocabulary!$AD$5:$AD$7,AA98)=1),"OK","UNRECOGNISED_CONTROL_VALUE"))</f>
        <v/>
      </c>
      <c r="Y98" s="303" t="n"/>
      <c r="Z98" s="303" t="n"/>
      <c r="AA98" s="303" t="n"/>
    </row>
    <row r="99">
      <c r="O99">
        <f>IF(COUNTA(A99:N99)+COUNTA(Q99:W99)+COUNTA(Y99:AA99)=0,"",IF(OR(LEN(TRIM(A99))=0,LEN(TRIM(B99))=0,LEN(TRIM(C99))=0,LEN(TRIM(D99))=0,LEN(TRIM(E99))=0,LEN(TRIM(F99))=0,LEN(TRIM(G99))=0,LEN(TRIM(H99))=0,LEN(TRIM(I99))=0,LEN(TRIM(J99))=0,LEN(TRIM(R99))=0,LEN(TRIM(S99))=0,LEN(TRIM(T99))=0,LEN(TRIM(V99))=0,LEN(TRIM(W99))=0,LEN(TRIM(Y99))=0,LEN(TRIM(Z99))=0,LEN(TRIM(AA99))=0),"Indeterminate",IF(X99&lt;&gt;"OK","Indeterminate",IF(OR(E99="Indeterminate",F99="Indeterminate",G99="Indeterminate",R99="Indeterminate",S99="Indeterminate",T99="Indeterminate",V99="Indeterminate",W99="Indeterminate",Y99="Indeterminate",Z99="Indeterminate",AA99="Indeterminate"),"Indeterminate",IF(OR(E99="Sponsor controlled - invalid",F99="Sponsor veto - invalid",G99="Sponsor/candidate controlled - invalid",H99&lt;&gt;"Yes",I99&lt;&gt;"Yes",J99&lt;&gt;"Yes",R99="Predetermined outcome - invalid",S99="No credible precommitment",T99="Material assistance undisclosed",V99="Missing",V99="Changed after unblinding",W99="Material shared-model generation undisclosed",Y99="No protected reporting channel",Z99="No anonymity/confidentiality protection",AA99="No anti-retaliation safeguard"),"Inadequate",IF(OR(E99="Joint with firewall",F99="Independent with security redaction only",G99="Joint with public rules",K99&lt;&gt;"",AND(L99&lt;&gt;"",LOWER(L99)&lt;&gt;"none"),R99="Declared interest with enforceable firewall",S99="Conditional precommitment with disclosed limits",T99="Material assistance disclosed and separated",W99="Material shared-model generation disclosed",Z99="Not applicable with recorded rationale"),"Adequate with declared controls","Adequate"))))))</f>
        <v/>
      </c>
      <c r="P99">
        <f>IF(AND(O99="",N99=""),"",IF(AND(O99&lt;&gt;"",N99=""),"UNRECORDED",IF(AND(O99="",N99&lt;&gt;""),"ORPHAN_RECORDED",IF(O99=N99,"MATCH","MISMATCH"))))</f>
        <v/>
      </c>
      <c r="X99" s="303">
        <f>IF(COUNTA(E99:J99)+COUNTA(R99:T99)+COUNTA(V99:W99)+COUNTA(Y99:AA99)=0,"",IF(AND(COUNTIF(Vocabulary!$S$5:$S$8,E99)=1,COUNTIF(Vocabulary!$T$5:$T$8,F99)=1,COUNTIF(Vocabulary!$U$5:$U$8,G99)=1,COUNTIF(Vocabulary!$J$5:$J$6,H99)=1,COUNTIF(Vocabulary!$J$5:$J$6,I99)=1,COUNTIF(Vocabulary!$J$5:$J$6,J99)=1,COUNTIF(Vocabulary!$W$5:$W$8,R99)=1,COUNTIF(Vocabulary!$X$5:$X$8,S99)=1,COUNTIF(Vocabulary!$Y$5:$Y$9,T99)=1,COUNTIF(Vocabulary!$Z$5:$Z$8,V99)=1,COUNTIF(Vocabulary!$AA$5:$AA$9,W99)=1,COUNTIF(Vocabulary!$AB$5:$AB$7,Y99)=1,COUNTIF(Vocabulary!$AC$5:$AC$8,Z99)=1,COUNTIF(Vocabulary!$AD$5:$AD$7,AA99)=1),"OK","UNRECOGNISED_CONTROL_VALUE"))</f>
        <v/>
      </c>
      <c r="Y99" s="303" t="n"/>
      <c r="Z99" s="303" t="n"/>
      <c r="AA99" s="303" t="n"/>
    </row>
    <row r="100">
      <c r="O100">
        <f>IF(COUNTA(A100:N100)+COUNTA(Q100:W100)+COUNTA(Y100:AA100)=0,"",IF(OR(LEN(TRIM(A100))=0,LEN(TRIM(B100))=0,LEN(TRIM(C100))=0,LEN(TRIM(D100))=0,LEN(TRIM(E100))=0,LEN(TRIM(F100))=0,LEN(TRIM(G100))=0,LEN(TRIM(H100))=0,LEN(TRIM(I100))=0,LEN(TRIM(J100))=0,LEN(TRIM(R100))=0,LEN(TRIM(S100))=0,LEN(TRIM(T100))=0,LEN(TRIM(V100))=0,LEN(TRIM(W100))=0,LEN(TRIM(Y100))=0,LEN(TRIM(Z100))=0,LEN(TRIM(AA100))=0),"Indeterminate",IF(X100&lt;&gt;"OK","Indeterminate",IF(OR(E100="Indeterminate",F100="Indeterminate",G100="Indeterminate",R100="Indeterminate",S100="Indeterminate",T100="Indeterminate",V100="Indeterminate",W100="Indeterminate",Y100="Indeterminate",Z100="Indeterminate",AA100="Indeterminate"),"Indeterminate",IF(OR(E100="Sponsor controlled - invalid",F100="Sponsor veto - invalid",G100="Sponsor/candidate controlled - invalid",H100&lt;&gt;"Yes",I100&lt;&gt;"Yes",J100&lt;&gt;"Yes",R100="Predetermined outcome - invalid",S100="No credible precommitment",T100="Material assistance undisclosed",V100="Missing",V100="Changed after unblinding",W100="Material shared-model generation undisclosed",Y100="No protected reporting channel",Z100="No anonymity/confidentiality protection",AA100="No anti-retaliation safeguard"),"Inadequate",IF(OR(E100="Joint with firewall",F100="Independent with security redaction only",G100="Joint with public rules",K100&lt;&gt;"",AND(L100&lt;&gt;"",LOWER(L100)&lt;&gt;"none"),R100="Declared interest with enforceable firewall",S100="Conditional precommitment with disclosed limits",T100="Material assistance disclosed and separated",W100="Material shared-model generation disclosed",Z100="Not applicable with recorded rationale"),"Adequate with declared controls","Adequate"))))))</f>
        <v/>
      </c>
      <c r="P100">
        <f>IF(AND(O100="",N100=""),"",IF(AND(O100&lt;&gt;"",N100=""),"UNRECORDED",IF(AND(O100="",N100&lt;&gt;""),"ORPHAN_RECORDED",IF(O100=N100,"MATCH","MISMATCH"))))</f>
        <v/>
      </c>
      <c r="X100" s="303">
        <f>IF(COUNTA(E100:J100)+COUNTA(R100:T100)+COUNTA(V100:W100)+COUNTA(Y100:AA100)=0,"",IF(AND(COUNTIF(Vocabulary!$S$5:$S$8,E100)=1,COUNTIF(Vocabulary!$T$5:$T$8,F100)=1,COUNTIF(Vocabulary!$U$5:$U$8,G100)=1,COUNTIF(Vocabulary!$J$5:$J$6,H100)=1,COUNTIF(Vocabulary!$J$5:$J$6,I100)=1,COUNTIF(Vocabulary!$J$5:$J$6,J100)=1,COUNTIF(Vocabulary!$W$5:$W$8,R100)=1,COUNTIF(Vocabulary!$X$5:$X$8,S100)=1,COUNTIF(Vocabulary!$Y$5:$Y$9,T100)=1,COUNTIF(Vocabulary!$Z$5:$Z$8,V100)=1,COUNTIF(Vocabulary!$AA$5:$AA$9,W100)=1,COUNTIF(Vocabulary!$AB$5:$AB$7,Y100)=1,COUNTIF(Vocabulary!$AC$5:$AC$8,Z100)=1,COUNTIF(Vocabulary!$AD$5:$AD$7,AA100)=1),"OK","UNRECOGNISED_CONTROL_VALUE"))</f>
        <v/>
      </c>
      <c r="Y100" s="303" t="n"/>
      <c r="Z100" s="303" t="n"/>
      <c r="AA100" s="303" t="n"/>
    </row>
    <row r="101">
      <c r="O101">
        <f>IF(COUNTA(A101:N101)+COUNTA(Q101:W101)+COUNTA(Y101:AA101)=0,"",IF(OR(LEN(TRIM(A101))=0,LEN(TRIM(B101))=0,LEN(TRIM(C101))=0,LEN(TRIM(D101))=0,LEN(TRIM(E101))=0,LEN(TRIM(F101))=0,LEN(TRIM(G101))=0,LEN(TRIM(H101))=0,LEN(TRIM(I101))=0,LEN(TRIM(J101))=0,LEN(TRIM(R101))=0,LEN(TRIM(S101))=0,LEN(TRIM(T101))=0,LEN(TRIM(V101))=0,LEN(TRIM(W101))=0,LEN(TRIM(Y101))=0,LEN(TRIM(Z101))=0,LEN(TRIM(AA101))=0),"Indeterminate",IF(X101&lt;&gt;"OK","Indeterminate",IF(OR(E101="Indeterminate",F101="Indeterminate",G101="Indeterminate",R101="Indeterminate",S101="Indeterminate",T101="Indeterminate",V101="Indeterminate",W101="Indeterminate",Y101="Indeterminate",Z101="Indeterminate",AA101="Indeterminate"),"Indeterminate",IF(OR(E101="Sponsor controlled - invalid",F101="Sponsor veto - invalid",G101="Sponsor/candidate controlled - invalid",H101&lt;&gt;"Yes",I101&lt;&gt;"Yes",J101&lt;&gt;"Yes",R101="Predetermined outcome - invalid",S101="No credible precommitment",T101="Material assistance undisclosed",V101="Missing",V101="Changed after unblinding",W101="Material shared-model generation undisclosed",Y101="No protected reporting channel",Z101="No anonymity/confidentiality protection",AA101="No anti-retaliation safeguard"),"Inadequate",IF(OR(E101="Joint with firewall",F101="Independent with security redaction only",G101="Joint with public rules",K101&lt;&gt;"",AND(L101&lt;&gt;"",LOWER(L101)&lt;&gt;"none"),R101="Declared interest with enforceable firewall",S101="Conditional precommitment with disclosed limits",T101="Material assistance disclosed and separated",W101="Material shared-model generation disclosed",Z101="Not applicable with recorded rationale"),"Adequate with declared controls","Adequate"))))))</f>
        <v/>
      </c>
      <c r="P101">
        <f>IF(AND(O101="",N101=""),"",IF(AND(O101&lt;&gt;"",N101=""),"UNRECORDED",IF(AND(O101="",N101&lt;&gt;""),"ORPHAN_RECORDED",IF(O101=N101,"MATCH","MISMATCH"))))</f>
        <v/>
      </c>
      <c r="X101" s="303">
        <f>IF(COUNTA(E101:J101)+COUNTA(R101:T101)+COUNTA(V101:W101)+COUNTA(Y101:AA101)=0,"",IF(AND(COUNTIF(Vocabulary!$S$5:$S$8,E101)=1,COUNTIF(Vocabulary!$T$5:$T$8,F101)=1,COUNTIF(Vocabulary!$U$5:$U$8,G101)=1,COUNTIF(Vocabulary!$J$5:$J$6,H101)=1,COUNTIF(Vocabulary!$J$5:$J$6,I101)=1,COUNTIF(Vocabulary!$J$5:$J$6,J101)=1,COUNTIF(Vocabulary!$W$5:$W$8,R101)=1,COUNTIF(Vocabulary!$X$5:$X$8,S101)=1,COUNTIF(Vocabulary!$Y$5:$Y$9,T101)=1,COUNTIF(Vocabulary!$Z$5:$Z$8,V101)=1,COUNTIF(Vocabulary!$AA$5:$AA$9,W101)=1,COUNTIF(Vocabulary!$AB$5:$AB$7,Y101)=1,COUNTIF(Vocabulary!$AC$5:$AC$8,Z101)=1,COUNTIF(Vocabulary!$AD$5:$AD$7,AA101)=1),"OK","UNRECOGNISED_CONTROL_VALUE"))</f>
        <v/>
      </c>
      <c r="Y101" s="303" t="n"/>
      <c r="Z101" s="303" t="n"/>
      <c r="AA101" s="303" t="n"/>
    </row>
    <row r="102">
      <c r="O102">
        <f>IF(COUNTA(A102:N102)+COUNTA(Q102:W102)+COUNTA(Y102:AA102)=0,"",IF(OR(LEN(TRIM(A102))=0,LEN(TRIM(B102))=0,LEN(TRIM(C102))=0,LEN(TRIM(D102))=0,LEN(TRIM(E102))=0,LEN(TRIM(F102))=0,LEN(TRIM(G102))=0,LEN(TRIM(H102))=0,LEN(TRIM(I102))=0,LEN(TRIM(J102))=0,LEN(TRIM(R102))=0,LEN(TRIM(S102))=0,LEN(TRIM(T102))=0,LEN(TRIM(V102))=0,LEN(TRIM(W102))=0,LEN(TRIM(Y102))=0,LEN(TRIM(Z102))=0,LEN(TRIM(AA102))=0),"Indeterminate",IF(X102&lt;&gt;"OK","Indeterminate",IF(OR(E102="Indeterminate",F102="Indeterminate",G102="Indeterminate",R102="Indeterminate",S102="Indeterminate",T102="Indeterminate",V102="Indeterminate",W102="Indeterminate",Y102="Indeterminate",Z102="Indeterminate",AA102="Indeterminate"),"Indeterminate",IF(OR(E102="Sponsor controlled - invalid",F102="Sponsor veto - invalid",G102="Sponsor/candidate controlled - invalid",H102&lt;&gt;"Yes",I102&lt;&gt;"Yes",J102&lt;&gt;"Yes",R102="Predetermined outcome - invalid",S102="No credible precommitment",T102="Material assistance undisclosed",V102="Missing",V102="Changed after unblinding",W102="Material shared-model generation undisclosed",Y102="No protected reporting channel",Z102="No anonymity/confidentiality protection",AA102="No anti-retaliation safeguard"),"Inadequate",IF(OR(E102="Joint with firewall",F102="Independent with security redaction only",G102="Joint with public rules",K102&lt;&gt;"",AND(L102&lt;&gt;"",LOWER(L102)&lt;&gt;"none"),R102="Declared interest with enforceable firewall",S102="Conditional precommitment with disclosed limits",T102="Material assistance disclosed and separated",W102="Material shared-model generation disclosed",Z102="Not applicable with recorded rationale"),"Adequate with declared controls","Adequate"))))))</f>
        <v/>
      </c>
      <c r="P102">
        <f>IF(AND(O102="",N102=""),"",IF(AND(O102&lt;&gt;"",N102=""),"UNRECORDED",IF(AND(O102="",N102&lt;&gt;""),"ORPHAN_RECORDED",IF(O102=N102,"MATCH","MISMATCH"))))</f>
        <v/>
      </c>
      <c r="X102" s="303">
        <f>IF(COUNTA(E102:J102)+COUNTA(R102:T102)+COUNTA(V102:W102)+COUNTA(Y102:AA102)=0,"",IF(AND(COUNTIF(Vocabulary!$S$5:$S$8,E102)=1,COUNTIF(Vocabulary!$T$5:$T$8,F102)=1,COUNTIF(Vocabulary!$U$5:$U$8,G102)=1,COUNTIF(Vocabulary!$J$5:$J$6,H102)=1,COUNTIF(Vocabulary!$J$5:$J$6,I102)=1,COUNTIF(Vocabulary!$J$5:$J$6,J102)=1,COUNTIF(Vocabulary!$W$5:$W$8,R102)=1,COUNTIF(Vocabulary!$X$5:$X$8,S102)=1,COUNTIF(Vocabulary!$Y$5:$Y$9,T102)=1,COUNTIF(Vocabulary!$Z$5:$Z$8,V102)=1,COUNTIF(Vocabulary!$AA$5:$AA$9,W102)=1,COUNTIF(Vocabulary!$AB$5:$AB$7,Y102)=1,COUNTIF(Vocabulary!$AC$5:$AC$8,Z102)=1,COUNTIF(Vocabulary!$AD$5:$AD$7,AA102)=1),"OK","UNRECOGNISED_CONTROL_VALUE"))</f>
        <v/>
      </c>
      <c r="Y102" s="303" t="n"/>
      <c r="Z102" s="303" t="n"/>
      <c r="AA102" s="303" t="n"/>
    </row>
    <row r="103">
      <c r="O103">
        <f>IF(COUNTA(A103:N103)+COUNTA(Q103:W103)+COUNTA(Y103:AA103)=0,"",IF(OR(LEN(TRIM(A103))=0,LEN(TRIM(B103))=0,LEN(TRIM(C103))=0,LEN(TRIM(D103))=0,LEN(TRIM(E103))=0,LEN(TRIM(F103))=0,LEN(TRIM(G103))=0,LEN(TRIM(H103))=0,LEN(TRIM(I103))=0,LEN(TRIM(J103))=0,LEN(TRIM(R103))=0,LEN(TRIM(S103))=0,LEN(TRIM(T103))=0,LEN(TRIM(V103))=0,LEN(TRIM(W103))=0,LEN(TRIM(Y103))=0,LEN(TRIM(Z103))=0,LEN(TRIM(AA103))=0),"Indeterminate",IF(X103&lt;&gt;"OK","Indeterminate",IF(OR(E103="Indeterminate",F103="Indeterminate",G103="Indeterminate",R103="Indeterminate",S103="Indeterminate",T103="Indeterminate",V103="Indeterminate",W103="Indeterminate",Y103="Indeterminate",Z103="Indeterminate",AA103="Indeterminate"),"Indeterminate",IF(OR(E103="Sponsor controlled - invalid",F103="Sponsor veto - invalid",G103="Sponsor/candidate controlled - invalid",H103&lt;&gt;"Yes",I103&lt;&gt;"Yes",J103&lt;&gt;"Yes",R103="Predetermined outcome - invalid",S103="No credible precommitment",T103="Material assistance undisclosed",V103="Missing",V103="Changed after unblinding",W103="Material shared-model generation undisclosed",Y103="No protected reporting channel",Z103="No anonymity/confidentiality protection",AA103="No anti-retaliation safeguard"),"Inadequate",IF(OR(E103="Joint with firewall",F103="Independent with security redaction only",G103="Joint with public rules",K103&lt;&gt;"",AND(L103&lt;&gt;"",LOWER(L103)&lt;&gt;"none"),R103="Declared interest with enforceable firewall",S103="Conditional precommitment with disclosed limits",T103="Material assistance disclosed and separated",W103="Material shared-model generation disclosed",Z103="Not applicable with recorded rationale"),"Adequate with declared controls","Adequate"))))))</f>
        <v/>
      </c>
      <c r="P103">
        <f>IF(AND(O103="",N103=""),"",IF(AND(O103&lt;&gt;"",N103=""),"UNRECORDED",IF(AND(O103="",N103&lt;&gt;""),"ORPHAN_RECORDED",IF(O103=N103,"MATCH","MISMATCH"))))</f>
        <v/>
      </c>
      <c r="X103" s="303">
        <f>IF(COUNTA(E103:J103)+COUNTA(R103:T103)+COUNTA(V103:W103)+COUNTA(Y103:AA103)=0,"",IF(AND(COUNTIF(Vocabulary!$S$5:$S$8,E103)=1,COUNTIF(Vocabulary!$T$5:$T$8,F103)=1,COUNTIF(Vocabulary!$U$5:$U$8,G103)=1,COUNTIF(Vocabulary!$J$5:$J$6,H103)=1,COUNTIF(Vocabulary!$J$5:$J$6,I103)=1,COUNTIF(Vocabulary!$J$5:$J$6,J103)=1,COUNTIF(Vocabulary!$W$5:$W$8,R103)=1,COUNTIF(Vocabulary!$X$5:$X$8,S103)=1,COUNTIF(Vocabulary!$Y$5:$Y$9,T103)=1,COUNTIF(Vocabulary!$Z$5:$Z$8,V103)=1,COUNTIF(Vocabulary!$AA$5:$AA$9,W103)=1,COUNTIF(Vocabulary!$AB$5:$AB$7,Y103)=1,COUNTIF(Vocabulary!$AC$5:$AC$8,Z103)=1,COUNTIF(Vocabulary!$AD$5:$AD$7,AA103)=1),"OK","UNRECOGNISED_CONTROL_VALUE"))</f>
        <v/>
      </c>
      <c r="Y103" s="303" t="n"/>
      <c r="Z103" s="303" t="n"/>
      <c r="AA103" s="303" t="n"/>
    </row>
    <row r="104">
      <c r="O104">
        <f>IF(COUNTA(A104:N104)+COUNTA(Q104:W104)+COUNTA(Y104:AA104)=0,"",IF(OR(LEN(TRIM(A104))=0,LEN(TRIM(B104))=0,LEN(TRIM(C104))=0,LEN(TRIM(D104))=0,LEN(TRIM(E104))=0,LEN(TRIM(F104))=0,LEN(TRIM(G104))=0,LEN(TRIM(H104))=0,LEN(TRIM(I104))=0,LEN(TRIM(J104))=0,LEN(TRIM(R104))=0,LEN(TRIM(S104))=0,LEN(TRIM(T104))=0,LEN(TRIM(V104))=0,LEN(TRIM(W104))=0,LEN(TRIM(Y104))=0,LEN(TRIM(Z104))=0,LEN(TRIM(AA104))=0),"Indeterminate",IF(X104&lt;&gt;"OK","Indeterminate",IF(OR(E104="Indeterminate",F104="Indeterminate",G104="Indeterminate",R104="Indeterminate",S104="Indeterminate",T104="Indeterminate",V104="Indeterminate",W104="Indeterminate",Y104="Indeterminate",Z104="Indeterminate",AA104="Indeterminate"),"Indeterminate",IF(OR(E104="Sponsor controlled - invalid",F104="Sponsor veto - invalid",G104="Sponsor/candidate controlled - invalid",H104&lt;&gt;"Yes",I104&lt;&gt;"Yes",J104&lt;&gt;"Yes",R104="Predetermined outcome - invalid",S104="No credible precommitment",T104="Material assistance undisclosed",V104="Missing",V104="Changed after unblinding",W104="Material shared-model generation undisclosed",Y104="No protected reporting channel",Z104="No anonymity/confidentiality protection",AA104="No anti-retaliation safeguard"),"Inadequate",IF(OR(E104="Joint with firewall",F104="Independent with security redaction only",G104="Joint with public rules",K104&lt;&gt;"",AND(L104&lt;&gt;"",LOWER(L104)&lt;&gt;"none"),R104="Declared interest with enforceable firewall",S104="Conditional precommitment with disclosed limits",T104="Material assistance disclosed and separated",W104="Material shared-model generation disclosed",Z104="Not applicable with recorded rationale"),"Adequate with declared controls","Adequate"))))))</f>
        <v/>
      </c>
      <c r="P104">
        <f>IF(AND(O104="",N104=""),"",IF(AND(O104&lt;&gt;"",N104=""),"UNRECORDED",IF(AND(O104="",N104&lt;&gt;""),"ORPHAN_RECORDED",IF(O104=N104,"MATCH","MISMATCH"))))</f>
        <v/>
      </c>
      <c r="X104" s="303">
        <f>IF(COUNTA(E104:J104)+COUNTA(R104:T104)+COUNTA(V104:W104)+COUNTA(Y104:AA104)=0,"",IF(AND(COUNTIF(Vocabulary!$S$5:$S$8,E104)=1,COUNTIF(Vocabulary!$T$5:$T$8,F104)=1,COUNTIF(Vocabulary!$U$5:$U$8,G104)=1,COUNTIF(Vocabulary!$J$5:$J$6,H104)=1,COUNTIF(Vocabulary!$J$5:$J$6,I104)=1,COUNTIF(Vocabulary!$J$5:$J$6,J104)=1,COUNTIF(Vocabulary!$W$5:$W$8,R104)=1,COUNTIF(Vocabulary!$X$5:$X$8,S104)=1,COUNTIF(Vocabulary!$Y$5:$Y$9,T104)=1,COUNTIF(Vocabulary!$Z$5:$Z$8,V104)=1,COUNTIF(Vocabulary!$AA$5:$AA$9,W104)=1,COUNTIF(Vocabulary!$AB$5:$AB$7,Y104)=1,COUNTIF(Vocabulary!$AC$5:$AC$8,Z104)=1,COUNTIF(Vocabulary!$AD$5:$AD$7,AA104)=1),"OK","UNRECOGNISED_CONTROL_VALUE"))</f>
        <v/>
      </c>
      <c r="Y104" s="303" t="n"/>
      <c r="Z104" s="303" t="n"/>
      <c r="AA104" s="303" t="n"/>
    </row>
    <row r="105">
      <c r="O105">
        <f>IF(COUNTA(A105:N105)+COUNTA(Q105:W105)+COUNTA(Y105:AA105)=0,"",IF(OR(LEN(TRIM(A105))=0,LEN(TRIM(B105))=0,LEN(TRIM(C105))=0,LEN(TRIM(D105))=0,LEN(TRIM(E105))=0,LEN(TRIM(F105))=0,LEN(TRIM(G105))=0,LEN(TRIM(H105))=0,LEN(TRIM(I105))=0,LEN(TRIM(J105))=0,LEN(TRIM(R105))=0,LEN(TRIM(S105))=0,LEN(TRIM(T105))=0,LEN(TRIM(V105))=0,LEN(TRIM(W105))=0,LEN(TRIM(Y105))=0,LEN(TRIM(Z105))=0,LEN(TRIM(AA105))=0),"Indeterminate",IF(X105&lt;&gt;"OK","Indeterminate",IF(OR(E105="Indeterminate",F105="Indeterminate",G105="Indeterminate",R105="Indeterminate",S105="Indeterminate",T105="Indeterminate",V105="Indeterminate",W105="Indeterminate",Y105="Indeterminate",Z105="Indeterminate",AA105="Indeterminate"),"Indeterminate",IF(OR(E105="Sponsor controlled - invalid",F105="Sponsor veto - invalid",G105="Sponsor/candidate controlled - invalid",H105&lt;&gt;"Yes",I105&lt;&gt;"Yes",J105&lt;&gt;"Yes",R105="Predetermined outcome - invalid",S105="No credible precommitment",T105="Material assistance undisclosed",V105="Missing",V105="Changed after unblinding",W105="Material shared-model generation undisclosed",Y105="No protected reporting channel",Z105="No anonymity/confidentiality protection",AA105="No anti-retaliation safeguard"),"Inadequate",IF(OR(E105="Joint with firewall",F105="Independent with security redaction only",G105="Joint with public rules",K105&lt;&gt;"",AND(L105&lt;&gt;"",LOWER(L105)&lt;&gt;"none"),R105="Declared interest with enforceable firewall",S105="Conditional precommitment with disclosed limits",T105="Material assistance disclosed and separated",W105="Material shared-model generation disclosed",Z105="Not applicable with recorded rationale"),"Adequate with declared controls","Adequate"))))))</f>
        <v/>
      </c>
      <c r="P105">
        <f>IF(AND(O105="",N105=""),"",IF(AND(O105&lt;&gt;"",N105=""),"UNRECORDED",IF(AND(O105="",N105&lt;&gt;""),"ORPHAN_RECORDED",IF(O105=N105,"MATCH","MISMATCH"))))</f>
        <v/>
      </c>
      <c r="X105" s="303">
        <f>IF(COUNTA(E105:J105)+COUNTA(R105:T105)+COUNTA(V105:W105)+COUNTA(Y105:AA105)=0,"",IF(AND(COUNTIF(Vocabulary!$S$5:$S$8,E105)=1,COUNTIF(Vocabulary!$T$5:$T$8,F105)=1,COUNTIF(Vocabulary!$U$5:$U$8,G105)=1,COUNTIF(Vocabulary!$J$5:$J$6,H105)=1,COUNTIF(Vocabulary!$J$5:$J$6,I105)=1,COUNTIF(Vocabulary!$J$5:$J$6,J105)=1,COUNTIF(Vocabulary!$W$5:$W$8,R105)=1,COUNTIF(Vocabulary!$X$5:$X$8,S105)=1,COUNTIF(Vocabulary!$Y$5:$Y$9,T105)=1,COUNTIF(Vocabulary!$Z$5:$Z$8,V105)=1,COUNTIF(Vocabulary!$AA$5:$AA$9,W105)=1,COUNTIF(Vocabulary!$AB$5:$AB$7,Y105)=1,COUNTIF(Vocabulary!$AC$5:$AC$8,Z105)=1,COUNTIF(Vocabulary!$AD$5:$AD$7,AA105)=1),"OK","UNRECOGNISED_CONTROL_VALUE"))</f>
        <v/>
      </c>
      <c r="Y105" s="303" t="n"/>
      <c r="Z105" s="303" t="n"/>
      <c r="AA105" s="303" t="n"/>
    </row>
    <row r="106">
      <c r="O106">
        <f>IF(COUNTA(A106:N106)+COUNTA(Q106:W106)+COUNTA(Y106:AA106)=0,"",IF(OR(LEN(TRIM(A106))=0,LEN(TRIM(B106))=0,LEN(TRIM(C106))=0,LEN(TRIM(D106))=0,LEN(TRIM(E106))=0,LEN(TRIM(F106))=0,LEN(TRIM(G106))=0,LEN(TRIM(H106))=0,LEN(TRIM(I106))=0,LEN(TRIM(J106))=0,LEN(TRIM(R106))=0,LEN(TRIM(S106))=0,LEN(TRIM(T106))=0,LEN(TRIM(V106))=0,LEN(TRIM(W106))=0,LEN(TRIM(Y106))=0,LEN(TRIM(Z106))=0,LEN(TRIM(AA106))=0),"Indeterminate",IF(X106&lt;&gt;"OK","Indeterminate",IF(OR(E106="Indeterminate",F106="Indeterminate",G106="Indeterminate",R106="Indeterminate",S106="Indeterminate",T106="Indeterminate",V106="Indeterminate",W106="Indeterminate",Y106="Indeterminate",Z106="Indeterminate",AA106="Indeterminate"),"Indeterminate",IF(OR(E106="Sponsor controlled - invalid",F106="Sponsor veto - invalid",G106="Sponsor/candidate controlled - invalid",H106&lt;&gt;"Yes",I106&lt;&gt;"Yes",J106&lt;&gt;"Yes",R106="Predetermined outcome - invalid",S106="No credible precommitment",T106="Material assistance undisclosed",V106="Missing",V106="Changed after unblinding",W106="Material shared-model generation undisclosed",Y106="No protected reporting channel",Z106="No anonymity/confidentiality protection",AA106="No anti-retaliation safeguard"),"Inadequate",IF(OR(E106="Joint with firewall",F106="Independent with security redaction only",G106="Joint with public rules",K106&lt;&gt;"",AND(L106&lt;&gt;"",LOWER(L106)&lt;&gt;"none"),R106="Declared interest with enforceable firewall",S106="Conditional precommitment with disclosed limits",T106="Material assistance disclosed and separated",W106="Material shared-model generation disclosed",Z106="Not applicable with recorded rationale"),"Adequate with declared controls","Adequate"))))))</f>
        <v/>
      </c>
      <c r="P106">
        <f>IF(AND(O106="",N106=""),"",IF(AND(O106&lt;&gt;"",N106=""),"UNRECORDED",IF(AND(O106="",N106&lt;&gt;""),"ORPHAN_RECORDED",IF(O106=N106,"MATCH","MISMATCH"))))</f>
        <v/>
      </c>
      <c r="X106" s="303">
        <f>IF(COUNTA(E106:J106)+COUNTA(R106:T106)+COUNTA(V106:W106)+COUNTA(Y106:AA106)=0,"",IF(AND(COUNTIF(Vocabulary!$S$5:$S$8,E106)=1,COUNTIF(Vocabulary!$T$5:$T$8,F106)=1,COUNTIF(Vocabulary!$U$5:$U$8,G106)=1,COUNTIF(Vocabulary!$J$5:$J$6,H106)=1,COUNTIF(Vocabulary!$J$5:$J$6,I106)=1,COUNTIF(Vocabulary!$J$5:$J$6,J106)=1,COUNTIF(Vocabulary!$W$5:$W$8,R106)=1,COUNTIF(Vocabulary!$X$5:$X$8,S106)=1,COUNTIF(Vocabulary!$Y$5:$Y$9,T106)=1,COUNTIF(Vocabulary!$Z$5:$Z$8,V106)=1,COUNTIF(Vocabulary!$AA$5:$AA$9,W106)=1,COUNTIF(Vocabulary!$AB$5:$AB$7,Y106)=1,COUNTIF(Vocabulary!$AC$5:$AC$8,Z106)=1,COUNTIF(Vocabulary!$AD$5:$AD$7,AA106)=1),"OK","UNRECOGNISED_CONTROL_VALUE"))</f>
        <v/>
      </c>
      <c r="Y106" s="303" t="n"/>
      <c r="Z106" s="303" t="n"/>
      <c r="AA106" s="303" t="n"/>
    </row>
    <row r="107">
      <c r="O107">
        <f>IF(COUNTA(A107:N107)+COUNTA(Q107:W107)+COUNTA(Y107:AA107)=0,"",IF(OR(LEN(TRIM(A107))=0,LEN(TRIM(B107))=0,LEN(TRIM(C107))=0,LEN(TRIM(D107))=0,LEN(TRIM(E107))=0,LEN(TRIM(F107))=0,LEN(TRIM(G107))=0,LEN(TRIM(H107))=0,LEN(TRIM(I107))=0,LEN(TRIM(J107))=0,LEN(TRIM(R107))=0,LEN(TRIM(S107))=0,LEN(TRIM(T107))=0,LEN(TRIM(V107))=0,LEN(TRIM(W107))=0,LEN(TRIM(Y107))=0,LEN(TRIM(Z107))=0,LEN(TRIM(AA107))=0),"Indeterminate",IF(X107&lt;&gt;"OK","Indeterminate",IF(OR(E107="Indeterminate",F107="Indeterminate",G107="Indeterminate",R107="Indeterminate",S107="Indeterminate",T107="Indeterminate",V107="Indeterminate",W107="Indeterminate",Y107="Indeterminate",Z107="Indeterminate",AA107="Indeterminate"),"Indeterminate",IF(OR(E107="Sponsor controlled - invalid",F107="Sponsor veto - invalid",G107="Sponsor/candidate controlled - invalid",H107&lt;&gt;"Yes",I107&lt;&gt;"Yes",J107&lt;&gt;"Yes",R107="Predetermined outcome - invalid",S107="No credible precommitment",T107="Material assistance undisclosed",V107="Missing",V107="Changed after unblinding",W107="Material shared-model generation undisclosed",Y107="No protected reporting channel",Z107="No anonymity/confidentiality protection",AA107="No anti-retaliation safeguard"),"Inadequate",IF(OR(E107="Joint with firewall",F107="Independent with security redaction only",G107="Joint with public rules",K107&lt;&gt;"",AND(L107&lt;&gt;"",LOWER(L107)&lt;&gt;"none"),R107="Declared interest with enforceable firewall",S107="Conditional precommitment with disclosed limits",T107="Material assistance disclosed and separated",W107="Material shared-model generation disclosed",Z107="Not applicable with recorded rationale"),"Adequate with declared controls","Adequate"))))))</f>
        <v/>
      </c>
      <c r="P107">
        <f>IF(AND(O107="",N107=""),"",IF(AND(O107&lt;&gt;"",N107=""),"UNRECORDED",IF(AND(O107="",N107&lt;&gt;""),"ORPHAN_RECORDED",IF(O107=N107,"MATCH","MISMATCH"))))</f>
        <v/>
      </c>
      <c r="X107" s="303">
        <f>IF(COUNTA(E107:J107)+COUNTA(R107:T107)+COUNTA(V107:W107)+COUNTA(Y107:AA107)=0,"",IF(AND(COUNTIF(Vocabulary!$S$5:$S$8,E107)=1,COUNTIF(Vocabulary!$T$5:$T$8,F107)=1,COUNTIF(Vocabulary!$U$5:$U$8,G107)=1,COUNTIF(Vocabulary!$J$5:$J$6,H107)=1,COUNTIF(Vocabulary!$J$5:$J$6,I107)=1,COUNTIF(Vocabulary!$J$5:$J$6,J107)=1,COUNTIF(Vocabulary!$W$5:$W$8,R107)=1,COUNTIF(Vocabulary!$X$5:$X$8,S107)=1,COUNTIF(Vocabulary!$Y$5:$Y$9,T107)=1,COUNTIF(Vocabulary!$Z$5:$Z$8,V107)=1,COUNTIF(Vocabulary!$AA$5:$AA$9,W107)=1,COUNTIF(Vocabulary!$AB$5:$AB$7,Y107)=1,COUNTIF(Vocabulary!$AC$5:$AC$8,Z107)=1,COUNTIF(Vocabulary!$AD$5:$AD$7,AA107)=1),"OK","UNRECOGNISED_CONTROL_VALUE"))</f>
        <v/>
      </c>
      <c r="Y107" s="303" t="n"/>
      <c r="Z107" s="303" t="n"/>
      <c r="AA107" s="303" t="n"/>
    </row>
    <row r="108">
      <c r="O108">
        <f>IF(COUNTA(A108:N108)+COUNTA(Q108:W108)+COUNTA(Y108:AA108)=0,"",IF(OR(LEN(TRIM(A108))=0,LEN(TRIM(B108))=0,LEN(TRIM(C108))=0,LEN(TRIM(D108))=0,LEN(TRIM(E108))=0,LEN(TRIM(F108))=0,LEN(TRIM(G108))=0,LEN(TRIM(H108))=0,LEN(TRIM(I108))=0,LEN(TRIM(J108))=0,LEN(TRIM(R108))=0,LEN(TRIM(S108))=0,LEN(TRIM(T108))=0,LEN(TRIM(V108))=0,LEN(TRIM(W108))=0,LEN(TRIM(Y108))=0,LEN(TRIM(Z108))=0,LEN(TRIM(AA108))=0),"Indeterminate",IF(X108&lt;&gt;"OK","Indeterminate",IF(OR(E108="Indeterminate",F108="Indeterminate",G108="Indeterminate",R108="Indeterminate",S108="Indeterminate",T108="Indeterminate",V108="Indeterminate",W108="Indeterminate",Y108="Indeterminate",Z108="Indeterminate",AA108="Indeterminate"),"Indeterminate",IF(OR(E108="Sponsor controlled - invalid",F108="Sponsor veto - invalid",G108="Sponsor/candidate controlled - invalid",H108&lt;&gt;"Yes",I108&lt;&gt;"Yes",J108&lt;&gt;"Yes",R108="Predetermined outcome - invalid",S108="No credible precommitment",T108="Material assistance undisclosed",V108="Missing",V108="Changed after unblinding",W108="Material shared-model generation undisclosed",Y108="No protected reporting channel",Z108="No anonymity/confidentiality protection",AA108="No anti-retaliation safeguard"),"Inadequate",IF(OR(E108="Joint with firewall",F108="Independent with security redaction only",G108="Joint with public rules",K108&lt;&gt;"",AND(L108&lt;&gt;"",LOWER(L108)&lt;&gt;"none"),R108="Declared interest with enforceable firewall",S108="Conditional precommitment with disclosed limits",T108="Material assistance disclosed and separated",W108="Material shared-model generation disclosed",Z108="Not applicable with recorded rationale"),"Adequate with declared controls","Adequate"))))))</f>
        <v/>
      </c>
      <c r="P108">
        <f>IF(AND(O108="",N108=""),"",IF(AND(O108&lt;&gt;"",N108=""),"UNRECORDED",IF(AND(O108="",N108&lt;&gt;""),"ORPHAN_RECORDED",IF(O108=N108,"MATCH","MISMATCH"))))</f>
        <v/>
      </c>
      <c r="X108" s="303">
        <f>IF(COUNTA(E108:J108)+COUNTA(R108:T108)+COUNTA(V108:W108)+COUNTA(Y108:AA108)=0,"",IF(AND(COUNTIF(Vocabulary!$S$5:$S$8,E108)=1,COUNTIF(Vocabulary!$T$5:$T$8,F108)=1,COUNTIF(Vocabulary!$U$5:$U$8,G108)=1,COUNTIF(Vocabulary!$J$5:$J$6,H108)=1,COUNTIF(Vocabulary!$J$5:$J$6,I108)=1,COUNTIF(Vocabulary!$J$5:$J$6,J108)=1,COUNTIF(Vocabulary!$W$5:$W$8,R108)=1,COUNTIF(Vocabulary!$X$5:$X$8,S108)=1,COUNTIF(Vocabulary!$Y$5:$Y$9,T108)=1,COUNTIF(Vocabulary!$Z$5:$Z$8,V108)=1,COUNTIF(Vocabulary!$AA$5:$AA$9,W108)=1,COUNTIF(Vocabulary!$AB$5:$AB$7,Y108)=1,COUNTIF(Vocabulary!$AC$5:$AC$8,Z108)=1,COUNTIF(Vocabulary!$AD$5:$AD$7,AA108)=1),"OK","UNRECOGNISED_CONTROL_VALUE"))</f>
        <v/>
      </c>
      <c r="Y108" s="303" t="n"/>
      <c r="Z108" s="303" t="n"/>
      <c r="AA108" s="303" t="n"/>
    </row>
    <row r="109">
      <c r="O109">
        <f>IF(COUNTA(A109:N109)+COUNTA(Q109:W109)+COUNTA(Y109:AA109)=0,"",IF(OR(LEN(TRIM(A109))=0,LEN(TRIM(B109))=0,LEN(TRIM(C109))=0,LEN(TRIM(D109))=0,LEN(TRIM(E109))=0,LEN(TRIM(F109))=0,LEN(TRIM(G109))=0,LEN(TRIM(H109))=0,LEN(TRIM(I109))=0,LEN(TRIM(J109))=0,LEN(TRIM(R109))=0,LEN(TRIM(S109))=0,LEN(TRIM(T109))=0,LEN(TRIM(V109))=0,LEN(TRIM(W109))=0,LEN(TRIM(Y109))=0,LEN(TRIM(Z109))=0,LEN(TRIM(AA109))=0),"Indeterminate",IF(X109&lt;&gt;"OK","Indeterminate",IF(OR(E109="Indeterminate",F109="Indeterminate",G109="Indeterminate",R109="Indeterminate",S109="Indeterminate",T109="Indeterminate",V109="Indeterminate",W109="Indeterminate",Y109="Indeterminate",Z109="Indeterminate",AA109="Indeterminate"),"Indeterminate",IF(OR(E109="Sponsor controlled - invalid",F109="Sponsor veto - invalid",G109="Sponsor/candidate controlled - invalid",H109&lt;&gt;"Yes",I109&lt;&gt;"Yes",J109&lt;&gt;"Yes",R109="Predetermined outcome - invalid",S109="No credible precommitment",T109="Material assistance undisclosed",V109="Missing",V109="Changed after unblinding",W109="Material shared-model generation undisclosed",Y109="No protected reporting channel",Z109="No anonymity/confidentiality protection",AA109="No anti-retaliation safeguard"),"Inadequate",IF(OR(E109="Joint with firewall",F109="Independent with security redaction only",G109="Joint with public rules",K109&lt;&gt;"",AND(L109&lt;&gt;"",LOWER(L109)&lt;&gt;"none"),R109="Declared interest with enforceable firewall",S109="Conditional precommitment with disclosed limits",T109="Material assistance disclosed and separated",W109="Material shared-model generation disclosed",Z109="Not applicable with recorded rationale"),"Adequate with declared controls","Adequate"))))))</f>
        <v/>
      </c>
      <c r="P109">
        <f>IF(AND(O109="",N109=""),"",IF(AND(O109&lt;&gt;"",N109=""),"UNRECORDED",IF(AND(O109="",N109&lt;&gt;""),"ORPHAN_RECORDED",IF(O109=N109,"MATCH","MISMATCH"))))</f>
        <v/>
      </c>
      <c r="X109" s="303">
        <f>IF(COUNTA(E109:J109)+COUNTA(R109:T109)+COUNTA(V109:W109)+COUNTA(Y109:AA109)=0,"",IF(AND(COUNTIF(Vocabulary!$S$5:$S$8,E109)=1,COUNTIF(Vocabulary!$T$5:$T$8,F109)=1,COUNTIF(Vocabulary!$U$5:$U$8,G109)=1,COUNTIF(Vocabulary!$J$5:$J$6,H109)=1,COUNTIF(Vocabulary!$J$5:$J$6,I109)=1,COUNTIF(Vocabulary!$J$5:$J$6,J109)=1,COUNTIF(Vocabulary!$W$5:$W$8,R109)=1,COUNTIF(Vocabulary!$X$5:$X$8,S109)=1,COUNTIF(Vocabulary!$Y$5:$Y$9,T109)=1,COUNTIF(Vocabulary!$Z$5:$Z$8,V109)=1,COUNTIF(Vocabulary!$AA$5:$AA$9,W109)=1,COUNTIF(Vocabulary!$AB$5:$AB$7,Y109)=1,COUNTIF(Vocabulary!$AC$5:$AC$8,Z109)=1,COUNTIF(Vocabulary!$AD$5:$AD$7,AA109)=1),"OK","UNRECOGNISED_CONTROL_VALUE"))</f>
        <v/>
      </c>
      <c r="Y109" s="303" t="n"/>
      <c r="Z109" s="303" t="n"/>
      <c r="AA109" s="303" t="n"/>
    </row>
    <row r="110">
      <c r="O110">
        <f>IF(COUNTA(A110:N110)+COUNTA(Q110:W110)+COUNTA(Y110:AA110)=0,"",IF(OR(LEN(TRIM(A110))=0,LEN(TRIM(B110))=0,LEN(TRIM(C110))=0,LEN(TRIM(D110))=0,LEN(TRIM(E110))=0,LEN(TRIM(F110))=0,LEN(TRIM(G110))=0,LEN(TRIM(H110))=0,LEN(TRIM(I110))=0,LEN(TRIM(J110))=0,LEN(TRIM(R110))=0,LEN(TRIM(S110))=0,LEN(TRIM(T110))=0,LEN(TRIM(V110))=0,LEN(TRIM(W110))=0,LEN(TRIM(Y110))=0,LEN(TRIM(Z110))=0,LEN(TRIM(AA110))=0),"Indeterminate",IF(X110&lt;&gt;"OK","Indeterminate",IF(OR(E110="Indeterminate",F110="Indeterminate",G110="Indeterminate",R110="Indeterminate",S110="Indeterminate",T110="Indeterminate",V110="Indeterminate",W110="Indeterminate",Y110="Indeterminate",Z110="Indeterminate",AA110="Indeterminate"),"Indeterminate",IF(OR(E110="Sponsor controlled - invalid",F110="Sponsor veto - invalid",G110="Sponsor/candidate controlled - invalid",H110&lt;&gt;"Yes",I110&lt;&gt;"Yes",J110&lt;&gt;"Yes",R110="Predetermined outcome - invalid",S110="No credible precommitment",T110="Material assistance undisclosed",V110="Missing",V110="Changed after unblinding",W110="Material shared-model generation undisclosed",Y110="No protected reporting channel",Z110="No anonymity/confidentiality protection",AA110="No anti-retaliation safeguard"),"Inadequate",IF(OR(E110="Joint with firewall",F110="Independent with security redaction only",G110="Joint with public rules",K110&lt;&gt;"",AND(L110&lt;&gt;"",LOWER(L110)&lt;&gt;"none"),R110="Declared interest with enforceable firewall",S110="Conditional precommitment with disclosed limits",T110="Material assistance disclosed and separated",W110="Material shared-model generation disclosed",Z110="Not applicable with recorded rationale"),"Adequate with declared controls","Adequate"))))))</f>
        <v/>
      </c>
      <c r="P110">
        <f>IF(AND(O110="",N110=""),"",IF(AND(O110&lt;&gt;"",N110=""),"UNRECORDED",IF(AND(O110="",N110&lt;&gt;""),"ORPHAN_RECORDED",IF(O110=N110,"MATCH","MISMATCH"))))</f>
        <v/>
      </c>
      <c r="X110" s="303">
        <f>IF(COUNTA(E110:J110)+COUNTA(R110:T110)+COUNTA(V110:W110)+COUNTA(Y110:AA110)=0,"",IF(AND(COUNTIF(Vocabulary!$S$5:$S$8,E110)=1,COUNTIF(Vocabulary!$T$5:$T$8,F110)=1,COUNTIF(Vocabulary!$U$5:$U$8,G110)=1,COUNTIF(Vocabulary!$J$5:$J$6,H110)=1,COUNTIF(Vocabulary!$J$5:$J$6,I110)=1,COUNTIF(Vocabulary!$J$5:$J$6,J110)=1,COUNTIF(Vocabulary!$W$5:$W$8,R110)=1,COUNTIF(Vocabulary!$X$5:$X$8,S110)=1,COUNTIF(Vocabulary!$Y$5:$Y$9,T110)=1,COUNTIF(Vocabulary!$Z$5:$Z$8,V110)=1,COUNTIF(Vocabulary!$AA$5:$AA$9,W110)=1,COUNTIF(Vocabulary!$AB$5:$AB$7,Y110)=1,COUNTIF(Vocabulary!$AC$5:$AC$8,Z110)=1,COUNTIF(Vocabulary!$AD$5:$AD$7,AA110)=1),"OK","UNRECOGNISED_CONTROL_VALUE"))</f>
        <v/>
      </c>
      <c r="Y110" s="303" t="n"/>
      <c r="Z110" s="303" t="n"/>
      <c r="AA110" s="303" t="n"/>
    </row>
    <row r="111">
      <c r="O111">
        <f>IF(COUNTA(A111:N111)+COUNTA(Q111:W111)+COUNTA(Y111:AA111)=0,"",IF(OR(LEN(TRIM(A111))=0,LEN(TRIM(B111))=0,LEN(TRIM(C111))=0,LEN(TRIM(D111))=0,LEN(TRIM(E111))=0,LEN(TRIM(F111))=0,LEN(TRIM(G111))=0,LEN(TRIM(H111))=0,LEN(TRIM(I111))=0,LEN(TRIM(J111))=0,LEN(TRIM(R111))=0,LEN(TRIM(S111))=0,LEN(TRIM(T111))=0,LEN(TRIM(V111))=0,LEN(TRIM(W111))=0,LEN(TRIM(Y111))=0,LEN(TRIM(Z111))=0,LEN(TRIM(AA111))=0),"Indeterminate",IF(X111&lt;&gt;"OK","Indeterminate",IF(OR(E111="Indeterminate",F111="Indeterminate",G111="Indeterminate",R111="Indeterminate",S111="Indeterminate",T111="Indeterminate",V111="Indeterminate",W111="Indeterminate",Y111="Indeterminate",Z111="Indeterminate",AA111="Indeterminate"),"Indeterminate",IF(OR(E111="Sponsor controlled - invalid",F111="Sponsor veto - invalid",G111="Sponsor/candidate controlled - invalid",H111&lt;&gt;"Yes",I111&lt;&gt;"Yes",J111&lt;&gt;"Yes",R111="Predetermined outcome - invalid",S111="No credible precommitment",T111="Material assistance undisclosed",V111="Missing",V111="Changed after unblinding",W111="Material shared-model generation undisclosed",Y111="No protected reporting channel",Z111="No anonymity/confidentiality protection",AA111="No anti-retaliation safeguard"),"Inadequate",IF(OR(E111="Joint with firewall",F111="Independent with security redaction only",G111="Joint with public rules",K111&lt;&gt;"",AND(L111&lt;&gt;"",LOWER(L111)&lt;&gt;"none"),R111="Declared interest with enforceable firewall",S111="Conditional precommitment with disclosed limits",T111="Material assistance disclosed and separated",W111="Material shared-model generation disclosed",Z111="Not applicable with recorded rationale"),"Adequate with declared controls","Adequate"))))))</f>
        <v/>
      </c>
      <c r="P111">
        <f>IF(AND(O111="",N111=""),"",IF(AND(O111&lt;&gt;"",N111=""),"UNRECORDED",IF(AND(O111="",N111&lt;&gt;""),"ORPHAN_RECORDED",IF(O111=N111,"MATCH","MISMATCH"))))</f>
        <v/>
      </c>
      <c r="X111" s="303">
        <f>IF(COUNTA(E111:J111)+COUNTA(R111:T111)+COUNTA(V111:W111)+COUNTA(Y111:AA111)=0,"",IF(AND(COUNTIF(Vocabulary!$S$5:$S$8,E111)=1,COUNTIF(Vocabulary!$T$5:$T$8,F111)=1,COUNTIF(Vocabulary!$U$5:$U$8,G111)=1,COUNTIF(Vocabulary!$J$5:$J$6,H111)=1,COUNTIF(Vocabulary!$J$5:$J$6,I111)=1,COUNTIF(Vocabulary!$J$5:$J$6,J111)=1,COUNTIF(Vocabulary!$W$5:$W$8,R111)=1,COUNTIF(Vocabulary!$X$5:$X$8,S111)=1,COUNTIF(Vocabulary!$Y$5:$Y$9,T111)=1,COUNTIF(Vocabulary!$Z$5:$Z$8,V111)=1,COUNTIF(Vocabulary!$AA$5:$AA$9,W111)=1,COUNTIF(Vocabulary!$AB$5:$AB$7,Y111)=1,COUNTIF(Vocabulary!$AC$5:$AC$8,Z111)=1,COUNTIF(Vocabulary!$AD$5:$AD$7,AA111)=1),"OK","UNRECOGNISED_CONTROL_VALUE"))</f>
        <v/>
      </c>
      <c r="Y111" s="303" t="n"/>
      <c r="Z111" s="303" t="n"/>
      <c r="AA111" s="303" t="n"/>
    </row>
    <row r="112">
      <c r="O112">
        <f>IF(COUNTA(A112:N112)+COUNTA(Q112:W112)+COUNTA(Y112:AA112)=0,"",IF(OR(LEN(TRIM(A112))=0,LEN(TRIM(B112))=0,LEN(TRIM(C112))=0,LEN(TRIM(D112))=0,LEN(TRIM(E112))=0,LEN(TRIM(F112))=0,LEN(TRIM(G112))=0,LEN(TRIM(H112))=0,LEN(TRIM(I112))=0,LEN(TRIM(J112))=0,LEN(TRIM(R112))=0,LEN(TRIM(S112))=0,LEN(TRIM(T112))=0,LEN(TRIM(V112))=0,LEN(TRIM(W112))=0,LEN(TRIM(Y112))=0,LEN(TRIM(Z112))=0,LEN(TRIM(AA112))=0),"Indeterminate",IF(X112&lt;&gt;"OK","Indeterminate",IF(OR(E112="Indeterminate",F112="Indeterminate",G112="Indeterminate",R112="Indeterminate",S112="Indeterminate",T112="Indeterminate",V112="Indeterminate",W112="Indeterminate",Y112="Indeterminate",Z112="Indeterminate",AA112="Indeterminate"),"Indeterminate",IF(OR(E112="Sponsor controlled - invalid",F112="Sponsor veto - invalid",G112="Sponsor/candidate controlled - invalid",H112&lt;&gt;"Yes",I112&lt;&gt;"Yes",J112&lt;&gt;"Yes",R112="Predetermined outcome - invalid",S112="No credible precommitment",T112="Material assistance undisclosed",V112="Missing",V112="Changed after unblinding",W112="Material shared-model generation undisclosed",Y112="No protected reporting channel",Z112="No anonymity/confidentiality protection",AA112="No anti-retaliation safeguard"),"Inadequate",IF(OR(E112="Joint with firewall",F112="Independent with security redaction only",G112="Joint with public rules",K112&lt;&gt;"",AND(L112&lt;&gt;"",LOWER(L112)&lt;&gt;"none"),R112="Declared interest with enforceable firewall",S112="Conditional precommitment with disclosed limits",T112="Material assistance disclosed and separated",W112="Material shared-model generation disclosed",Z112="Not applicable with recorded rationale"),"Adequate with declared controls","Adequate"))))))</f>
        <v/>
      </c>
      <c r="P112">
        <f>IF(AND(O112="",N112=""),"",IF(AND(O112&lt;&gt;"",N112=""),"UNRECORDED",IF(AND(O112="",N112&lt;&gt;""),"ORPHAN_RECORDED",IF(O112=N112,"MATCH","MISMATCH"))))</f>
        <v/>
      </c>
      <c r="X112" s="303">
        <f>IF(COUNTA(E112:J112)+COUNTA(R112:T112)+COUNTA(V112:W112)+COUNTA(Y112:AA112)=0,"",IF(AND(COUNTIF(Vocabulary!$S$5:$S$8,E112)=1,COUNTIF(Vocabulary!$T$5:$T$8,F112)=1,COUNTIF(Vocabulary!$U$5:$U$8,G112)=1,COUNTIF(Vocabulary!$J$5:$J$6,H112)=1,COUNTIF(Vocabulary!$J$5:$J$6,I112)=1,COUNTIF(Vocabulary!$J$5:$J$6,J112)=1,COUNTIF(Vocabulary!$W$5:$W$8,R112)=1,COUNTIF(Vocabulary!$X$5:$X$8,S112)=1,COUNTIF(Vocabulary!$Y$5:$Y$9,T112)=1,COUNTIF(Vocabulary!$Z$5:$Z$8,V112)=1,COUNTIF(Vocabulary!$AA$5:$AA$9,W112)=1,COUNTIF(Vocabulary!$AB$5:$AB$7,Y112)=1,COUNTIF(Vocabulary!$AC$5:$AC$8,Z112)=1,COUNTIF(Vocabulary!$AD$5:$AD$7,AA112)=1),"OK","UNRECOGNISED_CONTROL_VALUE"))</f>
        <v/>
      </c>
      <c r="Y112" s="303" t="n"/>
      <c r="Z112" s="303" t="n"/>
      <c r="AA112" s="303" t="n"/>
    </row>
    <row r="113">
      <c r="O113">
        <f>IF(COUNTA(A113:N113)+COUNTA(Q113:W113)+COUNTA(Y113:AA113)=0,"",IF(OR(LEN(TRIM(A113))=0,LEN(TRIM(B113))=0,LEN(TRIM(C113))=0,LEN(TRIM(D113))=0,LEN(TRIM(E113))=0,LEN(TRIM(F113))=0,LEN(TRIM(G113))=0,LEN(TRIM(H113))=0,LEN(TRIM(I113))=0,LEN(TRIM(J113))=0,LEN(TRIM(R113))=0,LEN(TRIM(S113))=0,LEN(TRIM(T113))=0,LEN(TRIM(V113))=0,LEN(TRIM(W113))=0,LEN(TRIM(Y113))=0,LEN(TRIM(Z113))=0,LEN(TRIM(AA113))=0),"Indeterminate",IF(X113&lt;&gt;"OK","Indeterminate",IF(OR(E113="Indeterminate",F113="Indeterminate",G113="Indeterminate",R113="Indeterminate",S113="Indeterminate",T113="Indeterminate",V113="Indeterminate",W113="Indeterminate",Y113="Indeterminate",Z113="Indeterminate",AA113="Indeterminate"),"Indeterminate",IF(OR(E113="Sponsor controlled - invalid",F113="Sponsor veto - invalid",G113="Sponsor/candidate controlled - invalid",H113&lt;&gt;"Yes",I113&lt;&gt;"Yes",J113&lt;&gt;"Yes",R113="Predetermined outcome - invalid",S113="No credible precommitment",T113="Material assistance undisclosed",V113="Missing",V113="Changed after unblinding",W113="Material shared-model generation undisclosed",Y113="No protected reporting channel",Z113="No anonymity/confidentiality protection",AA113="No anti-retaliation safeguard"),"Inadequate",IF(OR(E113="Joint with firewall",F113="Independent with security redaction only",G113="Joint with public rules",K113&lt;&gt;"",AND(L113&lt;&gt;"",LOWER(L113)&lt;&gt;"none"),R113="Declared interest with enforceable firewall",S113="Conditional precommitment with disclosed limits",T113="Material assistance disclosed and separated",W113="Material shared-model generation disclosed",Z113="Not applicable with recorded rationale"),"Adequate with declared controls","Adequate"))))))</f>
        <v/>
      </c>
      <c r="P113">
        <f>IF(AND(O113="",N113=""),"",IF(AND(O113&lt;&gt;"",N113=""),"UNRECORDED",IF(AND(O113="",N113&lt;&gt;""),"ORPHAN_RECORDED",IF(O113=N113,"MATCH","MISMATCH"))))</f>
        <v/>
      </c>
      <c r="X113" s="303">
        <f>IF(COUNTA(E113:J113)+COUNTA(R113:T113)+COUNTA(V113:W113)+COUNTA(Y113:AA113)=0,"",IF(AND(COUNTIF(Vocabulary!$S$5:$S$8,E113)=1,COUNTIF(Vocabulary!$T$5:$T$8,F113)=1,COUNTIF(Vocabulary!$U$5:$U$8,G113)=1,COUNTIF(Vocabulary!$J$5:$J$6,H113)=1,COUNTIF(Vocabulary!$J$5:$J$6,I113)=1,COUNTIF(Vocabulary!$J$5:$J$6,J113)=1,COUNTIF(Vocabulary!$W$5:$W$8,R113)=1,COUNTIF(Vocabulary!$X$5:$X$8,S113)=1,COUNTIF(Vocabulary!$Y$5:$Y$9,T113)=1,COUNTIF(Vocabulary!$Z$5:$Z$8,V113)=1,COUNTIF(Vocabulary!$AA$5:$AA$9,W113)=1,COUNTIF(Vocabulary!$AB$5:$AB$7,Y113)=1,COUNTIF(Vocabulary!$AC$5:$AC$8,Z113)=1,COUNTIF(Vocabulary!$AD$5:$AD$7,AA113)=1),"OK","UNRECOGNISED_CONTROL_VALUE"))</f>
        <v/>
      </c>
      <c r="Y113" s="303" t="n"/>
      <c r="Z113" s="303" t="n"/>
      <c r="AA113" s="303" t="n"/>
    </row>
    <row r="114">
      <c r="O114">
        <f>IF(COUNTA(A114:N114)+COUNTA(Q114:W114)+COUNTA(Y114:AA114)=0,"",IF(OR(LEN(TRIM(A114))=0,LEN(TRIM(B114))=0,LEN(TRIM(C114))=0,LEN(TRIM(D114))=0,LEN(TRIM(E114))=0,LEN(TRIM(F114))=0,LEN(TRIM(G114))=0,LEN(TRIM(H114))=0,LEN(TRIM(I114))=0,LEN(TRIM(J114))=0,LEN(TRIM(R114))=0,LEN(TRIM(S114))=0,LEN(TRIM(T114))=0,LEN(TRIM(V114))=0,LEN(TRIM(W114))=0,LEN(TRIM(Y114))=0,LEN(TRIM(Z114))=0,LEN(TRIM(AA114))=0),"Indeterminate",IF(X114&lt;&gt;"OK","Indeterminate",IF(OR(E114="Indeterminate",F114="Indeterminate",G114="Indeterminate",R114="Indeterminate",S114="Indeterminate",T114="Indeterminate",V114="Indeterminate",W114="Indeterminate",Y114="Indeterminate",Z114="Indeterminate",AA114="Indeterminate"),"Indeterminate",IF(OR(E114="Sponsor controlled - invalid",F114="Sponsor veto - invalid",G114="Sponsor/candidate controlled - invalid",H114&lt;&gt;"Yes",I114&lt;&gt;"Yes",J114&lt;&gt;"Yes",R114="Predetermined outcome - invalid",S114="No credible precommitment",T114="Material assistance undisclosed",V114="Missing",V114="Changed after unblinding",W114="Material shared-model generation undisclosed",Y114="No protected reporting channel",Z114="No anonymity/confidentiality protection",AA114="No anti-retaliation safeguard"),"Inadequate",IF(OR(E114="Joint with firewall",F114="Independent with security redaction only",G114="Joint with public rules",K114&lt;&gt;"",AND(L114&lt;&gt;"",LOWER(L114)&lt;&gt;"none"),R114="Declared interest with enforceable firewall",S114="Conditional precommitment with disclosed limits",T114="Material assistance disclosed and separated",W114="Material shared-model generation disclosed",Z114="Not applicable with recorded rationale"),"Adequate with declared controls","Adequate"))))))</f>
        <v/>
      </c>
      <c r="P114">
        <f>IF(AND(O114="",N114=""),"",IF(AND(O114&lt;&gt;"",N114=""),"UNRECORDED",IF(AND(O114="",N114&lt;&gt;""),"ORPHAN_RECORDED",IF(O114=N114,"MATCH","MISMATCH"))))</f>
        <v/>
      </c>
      <c r="X114" s="303">
        <f>IF(COUNTA(E114:J114)+COUNTA(R114:T114)+COUNTA(V114:W114)+COUNTA(Y114:AA114)=0,"",IF(AND(COUNTIF(Vocabulary!$S$5:$S$8,E114)=1,COUNTIF(Vocabulary!$T$5:$T$8,F114)=1,COUNTIF(Vocabulary!$U$5:$U$8,G114)=1,COUNTIF(Vocabulary!$J$5:$J$6,H114)=1,COUNTIF(Vocabulary!$J$5:$J$6,I114)=1,COUNTIF(Vocabulary!$J$5:$J$6,J114)=1,COUNTIF(Vocabulary!$W$5:$W$8,R114)=1,COUNTIF(Vocabulary!$X$5:$X$8,S114)=1,COUNTIF(Vocabulary!$Y$5:$Y$9,T114)=1,COUNTIF(Vocabulary!$Z$5:$Z$8,V114)=1,COUNTIF(Vocabulary!$AA$5:$AA$9,W114)=1,COUNTIF(Vocabulary!$AB$5:$AB$7,Y114)=1,COUNTIF(Vocabulary!$AC$5:$AC$8,Z114)=1,COUNTIF(Vocabulary!$AD$5:$AD$7,AA114)=1),"OK","UNRECOGNISED_CONTROL_VALUE"))</f>
        <v/>
      </c>
      <c r="Y114" s="303" t="n"/>
      <c r="Z114" s="303" t="n"/>
      <c r="AA114" s="303" t="n"/>
    </row>
    <row r="115">
      <c r="O115">
        <f>IF(COUNTA(A115:N115)+COUNTA(Q115:W115)+COUNTA(Y115:AA115)=0,"",IF(OR(LEN(TRIM(A115))=0,LEN(TRIM(B115))=0,LEN(TRIM(C115))=0,LEN(TRIM(D115))=0,LEN(TRIM(E115))=0,LEN(TRIM(F115))=0,LEN(TRIM(G115))=0,LEN(TRIM(H115))=0,LEN(TRIM(I115))=0,LEN(TRIM(J115))=0,LEN(TRIM(R115))=0,LEN(TRIM(S115))=0,LEN(TRIM(T115))=0,LEN(TRIM(V115))=0,LEN(TRIM(W115))=0,LEN(TRIM(Y115))=0,LEN(TRIM(Z115))=0,LEN(TRIM(AA115))=0),"Indeterminate",IF(X115&lt;&gt;"OK","Indeterminate",IF(OR(E115="Indeterminate",F115="Indeterminate",G115="Indeterminate",R115="Indeterminate",S115="Indeterminate",T115="Indeterminate",V115="Indeterminate",W115="Indeterminate",Y115="Indeterminate",Z115="Indeterminate",AA115="Indeterminate"),"Indeterminate",IF(OR(E115="Sponsor controlled - invalid",F115="Sponsor veto - invalid",G115="Sponsor/candidate controlled - invalid",H115&lt;&gt;"Yes",I115&lt;&gt;"Yes",J115&lt;&gt;"Yes",R115="Predetermined outcome - invalid",S115="No credible precommitment",T115="Material assistance undisclosed",V115="Missing",V115="Changed after unblinding",W115="Material shared-model generation undisclosed",Y115="No protected reporting channel",Z115="No anonymity/confidentiality protection",AA115="No anti-retaliation safeguard"),"Inadequate",IF(OR(E115="Joint with firewall",F115="Independent with security redaction only",G115="Joint with public rules",K115&lt;&gt;"",AND(L115&lt;&gt;"",LOWER(L115)&lt;&gt;"none"),R115="Declared interest with enforceable firewall",S115="Conditional precommitment with disclosed limits",T115="Material assistance disclosed and separated",W115="Material shared-model generation disclosed",Z115="Not applicable with recorded rationale"),"Adequate with declared controls","Adequate"))))))</f>
        <v/>
      </c>
      <c r="P115">
        <f>IF(AND(O115="",N115=""),"",IF(AND(O115&lt;&gt;"",N115=""),"UNRECORDED",IF(AND(O115="",N115&lt;&gt;""),"ORPHAN_RECORDED",IF(O115=N115,"MATCH","MISMATCH"))))</f>
        <v/>
      </c>
      <c r="X115" s="303">
        <f>IF(COUNTA(E115:J115)+COUNTA(R115:T115)+COUNTA(V115:W115)+COUNTA(Y115:AA115)=0,"",IF(AND(COUNTIF(Vocabulary!$S$5:$S$8,E115)=1,COUNTIF(Vocabulary!$T$5:$T$8,F115)=1,COUNTIF(Vocabulary!$U$5:$U$8,G115)=1,COUNTIF(Vocabulary!$J$5:$J$6,H115)=1,COUNTIF(Vocabulary!$J$5:$J$6,I115)=1,COUNTIF(Vocabulary!$J$5:$J$6,J115)=1,COUNTIF(Vocabulary!$W$5:$W$8,R115)=1,COUNTIF(Vocabulary!$X$5:$X$8,S115)=1,COUNTIF(Vocabulary!$Y$5:$Y$9,T115)=1,COUNTIF(Vocabulary!$Z$5:$Z$8,V115)=1,COUNTIF(Vocabulary!$AA$5:$AA$9,W115)=1,COUNTIF(Vocabulary!$AB$5:$AB$7,Y115)=1,COUNTIF(Vocabulary!$AC$5:$AC$8,Z115)=1,COUNTIF(Vocabulary!$AD$5:$AD$7,AA115)=1),"OK","UNRECOGNISED_CONTROL_VALUE"))</f>
        <v/>
      </c>
      <c r="Y115" s="303" t="n"/>
      <c r="Z115" s="303" t="n"/>
      <c r="AA115" s="303" t="n"/>
    </row>
    <row r="116">
      <c r="O116">
        <f>IF(COUNTA(A116:N116)+COUNTA(Q116:W116)+COUNTA(Y116:AA116)=0,"",IF(OR(LEN(TRIM(A116))=0,LEN(TRIM(B116))=0,LEN(TRIM(C116))=0,LEN(TRIM(D116))=0,LEN(TRIM(E116))=0,LEN(TRIM(F116))=0,LEN(TRIM(G116))=0,LEN(TRIM(H116))=0,LEN(TRIM(I116))=0,LEN(TRIM(J116))=0,LEN(TRIM(R116))=0,LEN(TRIM(S116))=0,LEN(TRIM(T116))=0,LEN(TRIM(V116))=0,LEN(TRIM(W116))=0,LEN(TRIM(Y116))=0,LEN(TRIM(Z116))=0,LEN(TRIM(AA116))=0),"Indeterminate",IF(X116&lt;&gt;"OK","Indeterminate",IF(OR(E116="Indeterminate",F116="Indeterminate",G116="Indeterminate",R116="Indeterminate",S116="Indeterminate",T116="Indeterminate",V116="Indeterminate",W116="Indeterminate",Y116="Indeterminate",Z116="Indeterminate",AA116="Indeterminate"),"Indeterminate",IF(OR(E116="Sponsor controlled - invalid",F116="Sponsor veto - invalid",G116="Sponsor/candidate controlled - invalid",H116&lt;&gt;"Yes",I116&lt;&gt;"Yes",J116&lt;&gt;"Yes",R116="Predetermined outcome - invalid",S116="No credible precommitment",T116="Material assistance undisclosed",V116="Missing",V116="Changed after unblinding",W116="Material shared-model generation undisclosed",Y116="No protected reporting channel",Z116="No anonymity/confidentiality protection",AA116="No anti-retaliation safeguard"),"Inadequate",IF(OR(E116="Joint with firewall",F116="Independent with security redaction only",G116="Joint with public rules",K116&lt;&gt;"",AND(L116&lt;&gt;"",LOWER(L116)&lt;&gt;"none"),R116="Declared interest with enforceable firewall",S116="Conditional precommitment with disclosed limits",T116="Material assistance disclosed and separated",W116="Material shared-model generation disclosed",Z116="Not applicable with recorded rationale"),"Adequate with declared controls","Adequate"))))))</f>
        <v/>
      </c>
      <c r="P116">
        <f>IF(AND(O116="",N116=""),"",IF(AND(O116&lt;&gt;"",N116=""),"UNRECORDED",IF(AND(O116="",N116&lt;&gt;""),"ORPHAN_RECORDED",IF(O116=N116,"MATCH","MISMATCH"))))</f>
        <v/>
      </c>
      <c r="X116" s="303">
        <f>IF(COUNTA(E116:J116)+COUNTA(R116:T116)+COUNTA(V116:W116)+COUNTA(Y116:AA116)=0,"",IF(AND(COUNTIF(Vocabulary!$S$5:$S$8,E116)=1,COUNTIF(Vocabulary!$T$5:$T$8,F116)=1,COUNTIF(Vocabulary!$U$5:$U$8,G116)=1,COUNTIF(Vocabulary!$J$5:$J$6,H116)=1,COUNTIF(Vocabulary!$J$5:$J$6,I116)=1,COUNTIF(Vocabulary!$J$5:$J$6,J116)=1,COUNTIF(Vocabulary!$W$5:$W$8,R116)=1,COUNTIF(Vocabulary!$X$5:$X$8,S116)=1,COUNTIF(Vocabulary!$Y$5:$Y$9,T116)=1,COUNTIF(Vocabulary!$Z$5:$Z$8,V116)=1,COUNTIF(Vocabulary!$AA$5:$AA$9,W116)=1,COUNTIF(Vocabulary!$AB$5:$AB$7,Y116)=1,COUNTIF(Vocabulary!$AC$5:$AC$8,Z116)=1,COUNTIF(Vocabulary!$AD$5:$AD$7,AA116)=1),"OK","UNRECOGNISED_CONTROL_VALUE"))</f>
        <v/>
      </c>
      <c r="Y116" s="303" t="n"/>
      <c r="Z116" s="303" t="n"/>
      <c r="AA116" s="303" t="n"/>
    </row>
    <row r="117">
      <c r="O117">
        <f>IF(COUNTA(A117:N117)+COUNTA(Q117:W117)+COUNTA(Y117:AA117)=0,"",IF(OR(LEN(TRIM(A117))=0,LEN(TRIM(B117))=0,LEN(TRIM(C117))=0,LEN(TRIM(D117))=0,LEN(TRIM(E117))=0,LEN(TRIM(F117))=0,LEN(TRIM(G117))=0,LEN(TRIM(H117))=0,LEN(TRIM(I117))=0,LEN(TRIM(J117))=0,LEN(TRIM(R117))=0,LEN(TRIM(S117))=0,LEN(TRIM(T117))=0,LEN(TRIM(V117))=0,LEN(TRIM(W117))=0,LEN(TRIM(Y117))=0,LEN(TRIM(Z117))=0,LEN(TRIM(AA117))=0),"Indeterminate",IF(X117&lt;&gt;"OK","Indeterminate",IF(OR(E117="Indeterminate",F117="Indeterminate",G117="Indeterminate",R117="Indeterminate",S117="Indeterminate",T117="Indeterminate",V117="Indeterminate",W117="Indeterminate",Y117="Indeterminate",Z117="Indeterminate",AA117="Indeterminate"),"Indeterminate",IF(OR(E117="Sponsor controlled - invalid",F117="Sponsor veto - invalid",G117="Sponsor/candidate controlled - invalid",H117&lt;&gt;"Yes",I117&lt;&gt;"Yes",J117&lt;&gt;"Yes",R117="Predetermined outcome - invalid",S117="No credible precommitment",T117="Material assistance undisclosed",V117="Missing",V117="Changed after unblinding",W117="Material shared-model generation undisclosed",Y117="No protected reporting channel",Z117="No anonymity/confidentiality protection",AA117="No anti-retaliation safeguard"),"Inadequate",IF(OR(E117="Joint with firewall",F117="Independent with security redaction only",G117="Joint with public rules",K117&lt;&gt;"",AND(L117&lt;&gt;"",LOWER(L117)&lt;&gt;"none"),R117="Declared interest with enforceable firewall",S117="Conditional precommitment with disclosed limits",T117="Material assistance disclosed and separated",W117="Material shared-model generation disclosed",Z117="Not applicable with recorded rationale"),"Adequate with declared controls","Adequate"))))))</f>
        <v/>
      </c>
      <c r="P117">
        <f>IF(AND(O117="",N117=""),"",IF(AND(O117&lt;&gt;"",N117=""),"UNRECORDED",IF(AND(O117="",N117&lt;&gt;""),"ORPHAN_RECORDED",IF(O117=N117,"MATCH","MISMATCH"))))</f>
        <v/>
      </c>
      <c r="X117" s="303">
        <f>IF(COUNTA(E117:J117)+COUNTA(R117:T117)+COUNTA(V117:W117)+COUNTA(Y117:AA117)=0,"",IF(AND(COUNTIF(Vocabulary!$S$5:$S$8,E117)=1,COUNTIF(Vocabulary!$T$5:$T$8,F117)=1,COUNTIF(Vocabulary!$U$5:$U$8,G117)=1,COUNTIF(Vocabulary!$J$5:$J$6,H117)=1,COUNTIF(Vocabulary!$J$5:$J$6,I117)=1,COUNTIF(Vocabulary!$J$5:$J$6,J117)=1,COUNTIF(Vocabulary!$W$5:$W$8,R117)=1,COUNTIF(Vocabulary!$X$5:$X$8,S117)=1,COUNTIF(Vocabulary!$Y$5:$Y$9,T117)=1,COUNTIF(Vocabulary!$Z$5:$Z$8,V117)=1,COUNTIF(Vocabulary!$AA$5:$AA$9,W117)=1,COUNTIF(Vocabulary!$AB$5:$AB$7,Y117)=1,COUNTIF(Vocabulary!$AC$5:$AC$8,Z117)=1,COUNTIF(Vocabulary!$AD$5:$AD$7,AA117)=1),"OK","UNRECOGNISED_CONTROL_VALUE"))</f>
        <v/>
      </c>
      <c r="Y117" s="303" t="n"/>
      <c r="Z117" s="303" t="n"/>
      <c r="AA117" s="303" t="n"/>
    </row>
    <row r="118">
      <c r="O118">
        <f>IF(COUNTA(A118:N118)+COUNTA(Q118:W118)+COUNTA(Y118:AA118)=0,"",IF(OR(LEN(TRIM(A118))=0,LEN(TRIM(B118))=0,LEN(TRIM(C118))=0,LEN(TRIM(D118))=0,LEN(TRIM(E118))=0,LEN(TRIM(F118))=0,LEN(TRIM(G118))=0,LEN(TRIM(H118))=0,LEN(TRIM(I118))=0,LEN(TRIM(J118))=0,LEN(TRIM(R118))=0,LEN(TRIM(S118))=0,LEN(TRIM(T118))=0,LEN(TRIM(V118))=0,LEN(TRIM(W118))=0,LEN(TRIM(Y118))=0,LEN(TRIM(Z118))=0,LEN(TRIM(AA118))=0),"Indeterminate",IF(X118&lt;&gt;"OK","Indeterminate",IF(OR(E118="Indeterminate",F118="Indeterminate",G118="Indeterminate",R118="Indeterminate",S118="Indeterminate",T118="Indeterminate",V118="Indeterminate",W118="Indeterminate",Y118="Indeterminate",Z118="Indeterminate",AA118="Indeterminate"),"Indeterminate",IF(OR(E118="Sponsor controlled - invalid",F118="Sponsor veto - invalid",G118="Sponsor/candidate controlled - invalid",H118&lt;&gt;"Yes",I118&lt;&gt;"Yes",J118&lt;&gt;"Yes",R118="Predetermined outcome - invalid",S118="No credible precommitment",T118="Material assistance undisclosed",V118="Missing",V118="Changed after unblinding",W118="Material shared-model generation undisclosed",Y118="No protected reporting channel",Z118="No anonymity/confidentiality protection",AA118="No anti-retaliation safeguard"),"Inadequate",IF(OR(E118="Joint with firewall",F118="Independent with security redaction only",G118="Joint with public rules",K118&lt;&gt;"",AND(L118&lt;&gt;"",LOWER(L118)&lt;&gt;"none"),R118="Declared interest with enforceable firewall",S118="Conditional precommitment with disclosed limits",T118="Material assistance disclosed and separated",W118="Material shared-model generation disclosed",Z118="Not applicable with recorded rationale"),"Adequate with declared controls","Adequate"))))))</f>
        <v/>
      </c>
      <c r="P118">
        <f>IF(AND(O118="",N118=""),"",IF(AND(O118&lt;&gt;"",N118=""),"UNRECORDED",IF(AND(O118="",N118&lt;&gt;""),"ORPHAN_RECORDED",IF(O118=N118,"MATCH","MISMATCH"))))</f>
        <v/>
      </c>
      <c r="X118" s="303">
        <f>IF(COUNTA(E118:J118)+COUNTA(R118:T118)+COUNTA(V118:W118)+COUNTA(Y118:AA118)=0,"",IF(AND(COUNTIF(Vocabulary!$S$5:$S$8,E118)=1,COUNTIF(Vocabulary!$T$5:$T$8,F118)=1,COUNTIF(Vocabulary!$U$5:$U$8,G118)=1,COUNTIF(Vocabulary!$J$5:$J$6,H118)=1,COUNTIF(Vocabulary!$J$5:$J$6,I118)=1,COUNTIF(Vocabulary!$J$5:$J$6,J118)=1,COUNTIF(Vocabulary!$W$5:$W$8,R118)=1,COUNTIF(Vocabulary!$X$5:$X$8,S118)=1,COUNTIF(Vocabulary!$Y$5:$Y$9,T118)=1,COUNTIF(Vocabulary!$Z$5:$Z$8,V118)=1,COUNTIF(Vocabulary!$AA$5:$AA$9,W118)=1,COUNTIF(Vocabulary!$AB$5:$AB$7,Y118)=1,COUNTIF(Vocabulary!$AC$5:$AC$8,Z118)=1,COUNTIF(Vocabulary!$AD$5:$AD$7,AA118)=1),"OK","UNRECOGNISED_CONTROL_VALUE"))</f>
        <v/>
      </c>
      <c r="Y118" s="303" t="n"/>
      <c r="Z118" s="303" t="n"/>
      <c r="AA118" s="303" t="n"/>
    </row>
    <row r="119">
      <c r="O119">
        <f>IF(COUNTA(A119:N119)+COUNTA(Q119:W119)+COUNTA(Y119:AA119)=0,"",IF(OR(LEN(TRIM(A119))=0,LEN(TRIM(B119))=0,LEN(TRIM(C119))=0,LEN(TRIM(D119))=0,LEN(TRIM(E119))=0,LEN(TRIM(F119))=0,LEN(TRIM(G119))=0,LEN(TRIM(H119))=0,LEN(TRIM(I119))=0,LEN(TRIM(J119))=0,LEN(TRIM(R119))=0,LEN(TRIM(S119))=0,LEN(TRIM(T119))=0,LEN(TRIM(V119))=0,LEN(TRIM(W119))=0,LEN(TRIM(Y119))=0,LEN(TRIM(Z119))=0,LEN(TRIM(AA119))=0),"Indeterminate",IF(X119&lt;&gt;"OK","Indeterminate",IF(OR(E119="Indeterminate",F119="Indeterminate",G119="Indeterminate",R119="Indeterminate",S119="Indeterminate",T119="Indeterminate",V119="Indeterminate",W119="Indeterminate",Y119="Indeterminate",Z119="Indeterminate",AA119="Indeterminate"),"Indeterminate",IF(OR(E119="Sponsor controlled - invalid",F119="Sponsor veto - invalid",G119="Sponsor/candidate controlled - invalid",H119&lt;&gt;"Yes",I119&lt;&gt;"Yes",J119&lt;&gt;"Yes",R119="Predetermined outcome - invalid",S119="No credible precommitment",T119="Material assistance undisclosed",V119="Missing",V119="Changed after unblinding",W119="Material shared-model generation undisclosed",Y119="No protected reporting channel",Z119="No anonymity/confidentiality protection",AA119="No anti-retaliation safeguard"),"Inadequate",IF(OR(E119="Joint with firewall",F119="Independent with security redaction only",G119="Joint with public rules",K119&lt;&gt;"",AND(L119&lt;&gt;"",LOWER(L119)&lt;&gt;"none"),R119="Declared interest with enforceable firewall",S119="Conditional precommitment with disclosed limits",T119="Material assistance disclosed and separated",W119="Material shared-model generation disclosed",Z119="Not applicable with recorded rationale"),"Adequate with declared controls","Adequate"))))))</f>
        <v/>
      </c>
      <c r="P119">
        <f>IF(AND(O119="",N119=""),"",IF(AND(O119&lt;&gt;"",N119=""),"UNRECORDED",IF(AND(O119="",N119&lt;&gt;""),"ORPHAN_RECORDED",IF(O119=N119,"MATCH","MISMATCH"))))</f>
        <v/>
      </c>
      <c r="X119" s="303">
        <f>IF(COUNTA(E119:J119)+COUNTA(R119:T119)+COUNTA(V119:W119)+COUNTA(Y119:AA119)=0,"",IF(AND(COUNTIF(Vocabulary!$S$5:$S$8,E119)=1,COUNTIF(Vocabulary!$T$5:$T$8,F119)=1,COUNTIF(Vocabulary!$U$5:$U$8,G119)=1,COUNTIF(Vocabulary!$J$5:$J$6,H119)=1,COUNTIF(Vocabulary!$J$5:$J$6,I119)=1,COUNTIF(Vocabulary!$J$5:$J$6,J119)=1,COUNTIF(Vocabulary!$W$5:$W$8,R119)=1,COUNTIF(Vocabulary!$X$5:$X$8,S119)=1,COUNTIF(Vocabulary!$Y$5:$Y$9,T119)=1,COUNTIF(Vocabulary!$Z$5:$Z$8,V119)=1,COUNTIF(Vocabulary!$AA$5:$AA$9,W119)=1,COUNTIF(Vocabulary!$AB$5:$AB$7,Y119)=1,COUNTIF(Vocabulary!$AC$5:$AC$8,Z119)=1,COUNTIF(Vocabulary!$AD$5:$AD$7,AA119)=1),"OK","UNRECOGNISED_CONTROL_VALUE"))</f>
        <v/>
      </c>
      <c r="Y119" s="303" t="n"/>
      <c r="Z119" s="303" t="n"/>
      <c r="AA119" s="303" t="n"/>
    </row>
    <row r="120">
      <c r="O120">
        <f>IF(COUNTA(A120:N120)+COUNTA(Q120:W120)+COUNTA(Y120:AA120)=0,"",IF(OR(LEN(TRIM(A120))=0,LEN(TRIM(B120))=0,LEN(TRIM(C120))=0,LEN(TRIM(D120))=0,LEN(TRIM(E120))=0,LEN(TRIM(F120))=0,LEN(TRIM(G120))=0,LEN(TRIM(H120))=0,LEN(TRIM(I120))=0,LEN(TRIM(J120))=0,LEN(TRIM(R120))=0,LEN(TRIM(S120))=0,LEN(TRIM(T120))=0,LEN(TRIM(V120))=0,LEN(TRIM(W120))=0,LEN(TRIM(Y120))=0,LEN(TRIM(Z120))=0,LEN(TRIM(AA120))=0),"Indeterminate",IF(X120&lt;&gt;"OK","Indeterminate",IF(OR(E120="Indeterminate",F120="Indeterminate",G120="Indeterminate",R120="Indeterminate",S120="Indeterminate",T120="Indeterminate",V120="Indeterminate",W120="Indeterminate",Y120="Indeterminate",Z120="Indeterminate",AA120="Indeterminate"),"Indeterminate",IF(OR(E120="Sponsor controlled - invalid",F120="Sponsor veto - invalid",G120="Sponsor/candidate controlled - invalid",H120&lt;&gt;"Yes",I120&lt;&gt;"Yes",J120&lt;&gt;"Yes",R120="Predetermined outcome - invalid",S120="No credible precommitment",T120="Material assistance undisclosed",V120="Missing",V120="Changed after unblinding",W120="Material shared-model generation undisclosed",Y120="No protected reporting channel",Z120="No anonymity/confidentiality protection",AA120="No anti-retaliation safeguard"),"Inadequate",IF(OR(E120="Joint with firewall",F120="Independent with security redaction only",G120="Joint with public rules",K120&lt;&gt;"",AND(L120&lt;&gt;"",LOWER(L120)&lt;&gt;"none"),R120="Declared interest with enforceable firewall",S120="Conditional precommitment with disclosed limits",T120="Material assistance disclosed and separated",W120="Material shared-model generation disclosed",Z120="Not applicable with recorded rationale"),"Adequate with declared controls","Adequate"))))))</f>
        <v/>
      </c>
      <c r="P120">
        <f>IF(AND(O120="",N120=""),"",IF(AND(O120&lt;&gt;"",N120=""),"UNRECORDED",IF(AND(O120="",N120&lt;&gt;""),"ORPHAN_RECORDED",IF(O120=N120,"MATCH","MISMATCH"))))</f>
        <v/>
      </c>
      <c r="X120" s="303">
        <f>IF(COUNTA(E120:J120)+COUNTA(R120:T120)+COUNTA(V120:W120)+COUNTA(Y120:AA120)=0,"",IF(AND(COUNTIF(Vocabulary!$S$5:$S$8,E120)=1,COUNTIF(Vocabulary!$T$5:$T$8,F120)=1,COUNTIF(Vocabulary!$U$5:$U$8,G120)=1,COUNTIF(Vocabulary!$J$5:$J$6,H120)=1,COUNTIF(Vocabulary!$J$5:$J$6,I120)=1,COUNTIF(Vocabulary!$J$5:$J$6,J120)=1,COUNTIF(Vocabulary!$W$5:$W$8,R120)=1,COUNTIF(Vocabulary!$X$5:$X$8,S120)=1,COUNTIF(Vocabulary!$Y$5:$Y$9,T120)=1,COUNTIF(Vocabulary!$Z$5:$Z$8,V120)=1,COUNTIF(Vocabulary!$AA$5:$AA$9,W120)=1,COUNTIF(Vocabulary!$AB$5:$AB$7,Y120)=1,COUNTIF(Vocabulary!$AC$5:$AC$8,Z120)=1,COUNTIF(Vocabulary!$AD$5:$AD$7,AA120)=1),"OK","UNRECOGNISED_CONTROL_VALUE"))</f>
        <v/>
      </c>
      <c r="Y120" s="303" t="n"/>
      <c r="Z120" s="303" t="n"/>
      <c r="AA120" s="303" t="n"/>
    </row>
    <row r="121">
      <c r="O121">
        <f>IF(COUNTA(A121:N121)+COUNTA(Q121:W121)+COUNTA(Y121:AA121)=0,"",IF(OR(LEN(TRIM(A121))=0,LEN(TRIM(B121))=0,LEN(TRIM(C121))=0,LEN(TRIM(D121))=0,LEN(TRIM(E121))=0,LEN(TRIM(F121))=0,LEN(TRIM(G121))=0,LEN(TRIM(H121))=0,LEN(TRIM(I121))=0,LEN(TRIM(J121))=0,LEN(TRIM(R121))=0,LEN(TRIM(S121))=0,LEN(TRIM(T121))=0,LEN(TRIM(V121))=0,LEN(TRIM(W121))=0,LEN(TRIM(Y121))=0,LEN(TRIM(Z121))=0,LEN(TRIM(AA121))=0),"Indeterminate",IF(X121&lt;&gt;"OK","Indeterminate",IF(OR(E121="Indeterminate",F121="Indeterminate",G121="Indeterminate",R121="Indeterminate",S121="Indeterminate",T121="Indeterminate",V121="Indeterminate",W121="Indeterminate",Y121="Indeterminate",Z121="Indeterminate",AA121="Indeterminate"),"Indeterminate",IF(OR(E121="Sponsor controlled - invalid",F121="Sponsor veto - invalid",G121="Sponsor/candidate controlled - invalid",H121&lt;&gt;"Yes",I121&lt;&gt;"Yes",J121&lt;&gt;"Yes",R121="Predetermined outcome - invalid",S121="No credible precommitment",T121="Material assistance undisclosed",V121="Missing",V121="Changed after unblinding",W121="Material shared-model generation undisclosed",Y121="No protected reporting channel",Z121="No anonymity/confidentiality protection",AA121="No anti-retaliation safeguard"),"Inadequate",IF(OR(E121="Joint with firewall",F121="Independent with security redaction only",G121="Joint with public rules",K121&lt;&gt;"",AND(L121&lt;&gt;"",LOWER(L121)&lt;&gt;"none"),R121="Declared interest with enforceable firewall",S121="Conditional precommitment with disclosed limits",T121="Material assistance disclosed and separated",W121="Material shared-model generation disclosed",Z121="Not applicable with recorded rationale"),"Adequate with declared controls","Adequate"))))))</f>
        <v/>
      </c>
      <c r="P121">
        <f>IF(AND(O121="",N121=""),"",IF(AND(O121&lt;&gt;"",N121=""),"UNRECORDED",IF(AND(O121="",N121&lt;&gt;""),"ORPHAN_RECORDED",IF(O121=N121,"MATCH","MISMATCH"))))</f>
        <v/>
      </c>
      <c r="X121" s="303">
        <f>IF(COUNTA(E121:J121)+COUNTA(R121:T121)+COUNTA(V121:W121)+COUNTA(Y121:AA121)=0,"",IF(AND(COUNTIF(Vocabulary!$S$5:$S$8,E121)=1,COUNTIF(Vocabulary!$T$5:$T$8,F121)=1,COUNTIF(Vocabulary!$U$5:$U$8,G121)=1,COUNTIF(Vocabulary!$J$5:$J$6,H121)=1,COUNTIF(Vocabulary!$J$5:$J$6,I121)=1,COUNTIF(Vocabulary!$J$5:$J$6,J121)=1,COUNTIF(Vocabulary!$W$5:$W$8,R121)=1,COUNTIF(Vocabulary!$X$5:$X$8,S121)=1,COUNTIF(Vocabulary!$Y$5:$Y$9,T121)=1,COUNTIF(Vocabulary!$Z$5:$Z$8,V121)=1,COUNTIF(Vocabulary!$AA$5:$AA$9,W121)=1,COUNTIF(Vocabulary!$AB$5:$AB$7,Y121)=1,COUNTIF(Vocabulary!$AC$5:$AC$8,Z121)=1,COUNTIF(Vocabulary!$AD$5:$AD$7,AA121)=1),"OK","UNRECOGNISED_CONTROL_VALUE"))</f>
        <v/>
      </c>
      <c r="Y121" s="303" t="n"/>
      <c r="Z121" s="303" t="n"/>
      <c r="AA121" s="303" t="n"/>
    </row>
    <row r="122">
      <c r="O122">
        <f>IF(COUNTA(A122:N122)+COUNTA(Q122:W122)+COUNTA(Y122:AA122)=0,"",IF(OR(LEN(TRIM(A122))=0,LEN(TRIM(B122))=0,LEN(TRIM(C122))=0,LEN(TRIM(D122))=0,LEN(TRIM(E122))=0,LEN(TRIM(F122))=0,LEN(TRIM(G122))=0,LEN(TRIM(H122))=0,LEN(TRIM(I122))=0,LEN(TRIM(J122))=0,LEN(TRIM(R122))=0,LEN(TRIM(S122))=0,LEN(TRIM(T122))=0,LEN(TRIM(V122))=0,LEN(TRIM(W122))=0,LEN(TRIM(Y122))=0,LEN(TRIM(Z122))=0,LEN(TRIM(AA122))=0),"Indeterminate",IF(X122&lt;&gt;"OK","Indeterminate",IF(OR(E122="Indeterminate",F122="Indeterminate",G122="Indeterminate",R122="Indeterminate",S122="Indeterminate",T122="Indeterminate",V122="Indeterminate",W122="Indeterminate",Y122="Indeterminate",Z122="Indeterminate",AA122="Indeterminate"),"Indeterminate",IF(OR(E122="Sponsor controlled - invalid",F122="Sponsor veto - invalid",G122="Sponsor/candidate controlled - invalid",H122&lt;&gt;"Yes",I122&lt;&gt;"Yes",J122&lt;&gt;"Yes",R122="Predetermined outcome - invalid",S122="No credible precommitment",T122="Material assistance undisclosed",V122="Missing",V122="Changed after unblinding",W122="Material shared-model generation undisclosed",Y122="No protected reporting channel",Z122="No anonymity/confidentiality protection",AA122="No anti-retaliation safeguard"),"Inadequate",IF(OR(E122="Joint with firewall",F122="Independent with security redaction only",G122="Joint with public rules",K122&lt;&gt;"",AND(L122&lt;&gt;"",LOWER(L122)&lt;&gt;"none"),R122="Declared interest with enforceable firewall",S122="Conditional precommitment with disclosed limits",T122="Material assistance disclosed and separated",W122="Material shared-model generation disclosed",Z122="Not applicable with recorded rationale"),"Adequate with declared controls","Adequate"))))))</f>
        <v/>
      </c>
      <c r="P122">
        <f>IF(AND(O122="",N122=""),"",IF(AND(O122&lt;&gt;"",N122=""),"UNRECORDED",IF(AND(O122="",N122&lt;&gt;""),"ORPHAN_RECORDED",IF(O122=N122,"MATCH","MISMATCH"))))</f>
        <v/>
      </c>
      <c r="X122" s="303">
        <f>IF(COUNTA(E122:J122)+COUNTA(R122:T122)+COUNTA(V122:W122)+COUNTA(Y122:AA122)=0,"",IF(AND(COUNTIF(Vocabulary!$S$5:$S$8,E122)=1,COUNTIF(Vocabulary!$T$5:$T$8,F122)=1,COUNTIF(Vocabulary!$U$5:$U$8,G122)=1,COUNTIF(Vocabulary!$J$5:$J$6,H122)=1,COUNTIF(Vocabulary!$J$5:$J$6,I122)=1,COUNTIF(Vocabulary!$J$5:$J$6,J122)=1,COUNTIF(Vocabulary!$W$5:$W$8,R122)=1,COUNTIF(Vocabulary!$X$5:$X$8,S122)=1,COUNTIF(Vocabulary!$Y$5:$Y$9,T122)=1,COUNTIF(Vocabulary!$Z$5:$Z$8,V122)=1,COUNTIF(Vocabulary!$AA$5:$AA$9,W122)=1,COUNTIF(Vocabulary!$AB$5:$AB$7,Y122)=1,COUNTIF(Vocabulary!$AC$5:$AC$8,Z122)=1,COUNTIF(Vocabulary!$AD$5:$AD$7,AA122)=1),"OK","UNRECOGNISED_CONTROL_VALUE"))</f>
        <v/>
      </c>
      <c r="Y122" s="303" t="n"/>
      <c r="Z122" s="303" t="n"/>
      <c r="AA122" s="303" t="n"/>
    </row>
    <row r="123">
      <c r="O123">
        <f>IF(COUNTA(A123:N123)+COUNTA(Q123:W123)+COUNTA(Y123:AA123)=0,"",IF(OR(LEN(TRIM(A123))=0,LEN(TRIM(B123))=0,LEN(TRIM(C123))=0,LEN(TRIM(D123))=0,LEN(TRIM(E123))=0,LEN(TRIM(F123))=0,LEN(TRIM(G123))=0,LEN(TRIM(H123))=0,LEN(TRIM(I123))=0,LEN(TRIM(J123))=0,LEN(TRIM(R123))=0,LEN(TRIM(S123))=0,LEN(TRIM(T123))=0,LEN(TRIM(V123))=0,LEN(TRIM(W123))=0,LEN(TRIM(Y123))=0,LEN(TRIM(Z123))=0,LEN(TRIM(AA123))=0),"Indeterminate",IF(X123&lt;&gt;"OK","Indeterminate",IF(OR(E123="Indeterminate",F123="Indeterminate",G123="Indeterminate",R123="Indeterminate",S123="Indeterminate",T123="Indeterminate",V123="Indeterminate",W123="Indeterminate",Y123="Indeterminate",Z123="Indeterminate",AA123="Indeterminate"),"Indeterminate",IF(OR(E123="Sponsor controlled - invalid",F123="Sponsor veto - invalid",G123="Sponsor/candidate controlled - invalid",H123&lt;&gt;"Yes",I123&lt;&gt;"Yes",J123&lt;&gt;"Yes",R123="Predetermined outcome - invalid",S123="No credible precommitment",T123="Material assistance undisclosed",V123="Missing",V123="Changed after unblinding",W123="Material shared-model generation undisclosed",Y123="No protected reporting channel",Z123="No anonymity/confidentiality protection",AA123="No anti-retaliation safeguard"),"Inadequate",IF(OR(E123="Joint with firewall",F123="Independent with security redaction only",G123="Joint with public rules",K123&lt;&gt;"",AND(L123&lt;&gt;"",LOWER(L123)&lt;&gt;"none"),R123="Declared interest with enforceable firewall",S123="Conditional precommitment with disclosed limits",T123="Material assistance disclosed and separated",W123="Material shared-model generation disclosed",Z123="Not applicable with recorded rationale"),"Adequate with declared controls","Adequate"))))))</f>
        <v/>
      </c>
      <c r="P123">
        <f>IF(AND(O123="",N123=""),"",IF(AND(O123&lt;&gt;"",N123=""),"UNRECORDED",IF(AND(O123="",N123&lt;&gt;""),"ORPHAN_RECORDED",IF(O123=N123,"MATCH","MISMATCH"))))</f>
        <v/>
      </c>
      <c r="X123" s="303">
        <f>IF(COUNTA(E123:J123)+COUNTA(R123:T123)+COUNTA(V123:W123)+COUNTA(Y123:AA123)=0,"",IF(AND(COUNTIF(Vocabulary!$S$5:$S$8,E123)=1,COUNTIF(Vocabulary!$T$5:$T$8,F123)=1,COUNTIF(Vocabulary!$U$5:$U$8,G123)=1,COUNTIF(Vocabulary!$J$5:$J$6,H123)=1,COUNTIF(Vocabulary!$J$5:$J$6,I123)=1,COUNTIF(Vocabulary!$J$5:$J$6,J123)=1,COUNTIF(Vocabulary!$W$5:$W$8,R123)=1,COUNTIF(Vocabulary!$X$5:$X$8,S123)=1,COUNTIF(Vocabulary!$Y$5:$Y$9,T123)=1,COUNTIF(Vocabulary!$Z$5:$Z$8,V123)=1,COUNTIF(Vocabulary!$AA$5:$AA$9,W123)=1,COUNTIF(Vocabulary!$AB$5:$AB$7,Y123)=1,COUNTIF(Vocabulary!$AC$5:$AC$8,Z123)=1,COUNTIF(Vocabulary!$AD$5:$AD$7,AA123)=1),"OK","UNRECOGNISED_CONTROL_VALUE"))</f>
        <v/>
      </c>
      <c r="Y123" s="303" t="n"/>
      <c r="Z123" s="303" t="n"/>
      <c r="AA123" s="303" t="n"/>
    </row>
    <row r="124">
      <c r="O124">
        <f>IF(COUNTA(A124:N124)+COUNTA(Q124:W124)+COUNTA(Y124:AA124)=0,"",IF(OR(LEN(TRIM(A124))=0,LEN(TRIM(B124))=0,LEN(TRIM(C124))=0,LEN(TRIM(D124))=0,LEN(TRIM(E124))=0,LEN(TRIM(F124))=0,LEN(TRIM(G124))=0,LEN(TRIM(H124))=0,LEN(TRIM(I124))=0,LEN(TRIM(J124))=0,LEN(TRIM(R124))=0,LEN(TRIM(S124))=0,LEN(TRIM(T124))=0,LEN(TRIM(V124))=0,LEN(TRIM(W124))=0,LEN(TRIM(Y124))=0,LEN(TRIM(Z124))=0,LEN(TRIM(AA124))=0),"Indeterminate",IF(X124&lt;&gt;"OK","Indeterminate",IF(OR(E124="Indeterminate",F124="Indeterminate",G124="Indeterminate",R124="Indeterminate",S124="Indeterminate",T124="Indeterminate",V124="Indeterminate",W124="Indeterminate",Y124="Indeterminate",Z124="Indeterminate",AA124="Indeterminate"),"Indeterminate",IF(OR(E124="Sponsor controlled - invalid",F124="Sponsor veto - invalid",G124="Sponsor/candidate controlled - invalid",H124&lt;&gt;"Yes",I124&lt;&gt;"Yes",J124&lt;&gt;"Yes",R124="Predetermined outcome - invalid",S124="No credible precommitment",T124="Material assistance undisclosed",V124="Missing",V124="Changed after unblinding",W124="Material shared-model generation undisclosed",Y124="No protected reporting channel",Z124="No anonymity/confidentiality protection",AA124="No anti-retaliation safeguard"),"Inadequate",IF(OR(E124="Joint with firewall",F124="Independent with security redaction only",G124="Joint with public rules",K124&lt;&gt;"",AND(L124&lt;&gt;"",LOWER(L124)&lt;&gt;"none"),R124="Declared interest with enforceable firewall",S124="Conditional precommitment with disclosed limits",T124="Material assistance disclosed and separated",W124="Material shared-model generation disclosed",Z124="Not applicable with recorded rationale"),"Adequate with declared controls","Adequate"))))))</f>
        <v/>
      </c>
      <c r="P124">
        <f>IF(AND(O124="",N124=""),"",IF(AND(O124&lt;&gt;"",N124=""),"UNRECORDED",IF(AND(O124="",N124&lt;&gt;""),"ORPHAN_RECORDED",IF(O124=N124,"MATCH","MISMATCH"))))</f>
        <v/>
      </c>
      <c r="X124" s="303">
        <f>IF(COUNTA(E124:J124)+COUNTA(R124:T124)+COUNTA(V124:W124)+COUNTA(Y124:AA124)=0,"",IF(AND(COUNTIF(Vocabulary!$S$5:$S$8,E124)=1,COUNTIF(Vocabulary!$T$5:$T$8,F124)=1,COUNTIF(Vocabulary!$U$5:$U$8,G124)=1,COUNTIF(Vocabulary!$J$5:$J$6,H124)=1,COUNTIF(Vocabulary!$J$5:$J$6,I124)=1,COUNTIF(Vocabulary!$J$5:$J$6,J124)=1,COUNTIF(Vocabulary!$W$5:$W$8,R124)=1,COUNTIF(Vocabulary!$X$5:$X$8,S124)=1,COUNTIF(Vocabulary!$Y$5:$Y$9,T124)=1,COUNTIF(Vocabulary!$Z$5:$Z$8,V124)=1,COUNTIF(Vocabulary!$AA$5:$AA$9,W124)=1,COUNTIF(Vocabulary!$AB$5:$AB$7,Y124)=1,COUNTIF(Vocabulary!$AC$5:$AC$8,Z124)=1,COUNTIF(Vocabulary!$AD$5:$AD$7,AA124)=1),"OK","UNRECOGNISED_CONTROL_VALUE"))</f>
        <v/>
      </c>
      <c r="Y124" s="303" t="n"/>
      <c r="Z124" s="303" t="n"/>
      <c r="AA124" s="303" t="n"/>
    </row>
    <row r="125">
      <c r="O125">
        <f>IF(COUNTA(A125:N125)+COUNTA(Q125:W125)+COUNTA(Y125:AA125)=0,"",IF(OR(LEN(TRIM(A125))=0,LEN(TRIM(B125))=0,LEN(TRIM(C125))=0,LEN(TRIM(D125))=0,LEN(TRIM(E125))=0,LEN(TRIM(F125))=0,LEN(TRIM(G125))=0,LEN(TRIM(H125))=0,LEN(TRIM(I125))=0,LEN(TRIM(J125))=0,LEN(TRIM(R125))=0,LEN(TRIM(S125))=0,LEN(TRIM(T125))=0,LEN(TRIM(V125))=0,LEN(TRIM(W125))=0,LEN(TRIM(Y125))=0,LEN(TRIM(Z125))=0,LEN(TRIM(AA125))=0),"Indeterminate",IF(X125&lt;&gt;"OK","Indeterminate",IF(OR(E125="Indeterminate",F125="Indeterminate",G125="Indeterminate",R125="Indeterminate",S125="Indeterminate",T125="Indeterminate",V125="Indeterminate",W125="Indeterminate",Y125="Indeterminate",Z125="Indeterminate",AA125="Indeterminate"),"Indeterminate",IF(OR(E125="Sponsor controlled - invalid",F125="Sponsor veto - invalid",G125="Sponsor/candidate controlled - invalid",H125&lt;&gt;"Yes",I125&lt;&gt;"Yes",J125&lt;&gt;"Yes",R125="Predetermined outcome - invalid",S125="No credible precommitment",T125="Material assistance undisclosed",V125="Missing",V125="Changed after unblinding",W125="Material shared-model generation undisclosed",Y125="No protected reporting channel",Z125="No anonymity/confidentiality protection",AA125="No anti-retaliation safeguard"),"Inadequate",IF(OR(E125="Joint with firewall",F125="Independent with security redaction only",G125="Joint with public rules",K125&lt;&gt;"",AND(L125&lt;&gt;"",LOWER(L125)&lt;&gt;"none"),R125="Declared interest with enforceable firewall",S125="Conditional precommitment with disclosed limits",T125="Material assistance disclosed and separated",W125="Material shared-model generation disclosed",Z125="Not applicable with recorded rationale"),"Adequate with declared controls","Adequate"))))))</f>
        <v/>
      </c>
      <c r="P125">
        <f>IF(AND(O125="",N125=""),"",IF(AND(O125&lt;&gt;"",N125=""),"UNRECORDED",IF(AND(O125="",N125&lt;&gt;""),"ORPHAN_RECORDED",IF(O125=N125,"MATCH","MISMATCH"))))</f>
        <v/>
      </c>
      <c r="X125" s="303">
        <f>IF(COUNTA(E125:J125)+COUNTA(R125:T125)+COUNTA(V125:W125)+COUNTA(Y125:AA125)=0,"",IF(AND(COUNTIF(Vocabulary!$S$5:$S$8,E125)=1,COUNTIF(Vocabulary!$T$5:$T$8,F125)=1,COUNTIF(Vocabulary!$U$5:$U$8,G125)=1,COUNTIF(Vocabulary!$J$5:$J$6,H125)=1,COUNTIF(Vocabulary!$J$5:$J$6,I125)=1,COUNTIF(Vocabulary!$J$5:$J$6,J125)=1,COUNTIF(Vocabulary!$W$5:$W$8,R125)=1,COUNTIF(Vocabulary!$X$5:$X$8,S125)=1,COUNTIF(Vocabulary!$Y$5:$Y$9,T125)=1,COUNTIF(Vocabulary!$Z$5:$Z$8,V125)=1,COUNTIF(Vocabulary!$AA$5:$AA$9,W125)=1,COUNTIF(Vocabulary!$AB$5:$AB$7,Y125)=1,COUNTIF(Vocabulary!$AC$5:$AC$8,Z125)=1,COUNTIF(Vocabulary!$AD$5:$AD$7,AA125)=1),"OK","UNRECOGNISED_CONTROL_VALUE"))</f>
        <v/>
      </c>
      <c r="Y125" s="303" t="n"/>
      <c r="Z125" s="303" t="n"/>
      <c r="AA125" s="303" t="n"/>
    </row>
    <row r="126">
      <c r="O126">
        <f>IF(COUNTA(A126:N126)+COUNTA(Q126:W126)+COUNTA(Y126:AA126)=0,"",IF(OR(LEN(TRIM(A126))=0,LEN(TRIM(B126))=0,LEN(TRIM(C126))=0,LEN(TRIM(D126))=0,LEN(TRIM(E126))=0,LEN(TRIM(F126))=0,LEN(TRIM(G126))=0,LEN(TRIM(H126))=0,LEN(TRIM(I126))=0,LEN(TRIM(J126))=0,LEN(TRIM(R126))=0,LEN(TRIM(S126))=0,LEN(TRIM(T126))=0,LEN(TRIM(V126))=0,LEN(TRIM(W126))=0,LEN(TRIM(Y126))=0,LEN(TRIM(Z126))=0,LEN(TRIM(AA126))=0),"Indeterminate",IF(X126&lt;&gt;"OK","Indeterminate",IF(OR(E126="Indeterminate",F126="Indeterminate",G126="Indeterminate",R126="Indeterminate",S126="Indeterminate",T126="Indeterminate",V126="Indeterminate",W126="Indeterminate",Y126="Indeterminate",Z126="Indeterminate",AA126="Indeterminate"),"Indeterminate",IF(OR(E126="Sponsor controlled - invalid",F126="Sponsor veto - invalid",G126="Sponsor/candidate controlled - invalid",H126&lt;&gt;"Yes",I126&lt;&gt;"Yes",J126&lt;&gt;"Yes",R126="Predetermined outcome - invalid",S126="No credible precommitment",T126="Material assistance undisclosed",V126="Missing",V126="Changed after unblinding",W126="Material shared-model generation undisclosed",Y126="No protected reporting channel",Z126="No anonymity/confidentiality protection",AA126="No anti-retaliation safeguard"),"Inadequate",IF(OR(E126="Joint with firewall",F126="Independent with security redaction only",G126="Joint with public rules",K126&lt;&gt;"",AND(L126&lt;&gt;"",LOWER(L126)&lt;&gt;"none"),R126="Declared interest with enforceable firewall",S126="Conditional precommitment with disclosed limits",T126="Material assistance disclosed and separated",W126="Material shared-model generation disclosed",Z126="Not applicable with recorded rationale"),"Adequate with declared controls","Adequate"))))))</f>
        <v/>
      </c>
      <c r="P126">
        <f>IF(AND(O126="",N126=""),"",IF(AND(O126&lt;&gt;"",N126=""),"UNRECORDED",IF(AND(O126="",N126&lt;&gt;""),"ORPHAN_RECORDED",IF(O126=N126,"MATCH","MISMATCH"))))</f>
        <v/>
      </c>
      <c r="X126" s="303">
        <f>IF(COUNTA(E126:J126)+COUNTA(R126:T126)+COUNTA(V126:W126)+COUNTA(Y126:AA126)=0,"",IF(AND(COUNTIF(Vocabulary!$S$5:$S$8,E126)=1,COUNTIF(Vocabulary!$T$5:$T$8,F126)=1,COUNTIF(Vocabulary!$U$5:$U$8,G126)=1,COUNTIF(Vocabulary!$J$5:$J$6,H126)=1,COUNTIF(Vocabulary!$J$5:$J$6,I126)=1,COUNTIF(Vocabulary!$J$5:$J$6,J126)=1,COUNTIF(Vocabulary!$W$5:$W$8,R126)=1,COUNTIF(Vocabulary!$X$5:$X$8,S126)=1,COUNTIF(Vocabulary!$Y$5:$Y$9,T126)=1,COUNTIF(Vocabulary!$Z$5:$Z$8,V126)=1,COUNTIF(Vocabulary!$AA$5:$AA$9,W126)=1,COUNTIF(Vocabulary!$AB$5:$AB$7,Y126)=1,COUNTIF(Vocabulary!$AC$5:$AC$8,Z126)=1,COUNTIF(Vocabulary!$AD$5:$AD$7,AA126)=1),"OK","UNRECOGNISED_CONTROL_VALUE"))</f>
        <v/>
      </c>
      <c r="Y126" s="303" t="n"/>
      <c r="Z126" s="303" t="n"/>
      <c r="AA126" s="303" t="n"/>
    </row>
    <row r="127">
      <c r="O127">
        <f>IF(COUNTA(A127:N127)+COUNTA(Q127:W127)+COUNTA(Y127:AA127)=0,"",IF(OR(LEN(TRIM(A127))=0,LEN(TRIM(B127))=0,LEN(TRIM(C127))=0,LEN(TRIM(D127))=0,LEN(TRIM(E127))=0,LEN(TRIM(F127))=0,LEN(TRIM(G127))=0,LEN(TRIM(H127))=0,LEN(TRIM(I127))=0,LEN(TRIM(J127))=0,LEN(TRIM(R127))=0,LEN(TRIM(S127))=0,LEN(TRIM(T127))=0,LEN(TRIM(V127))=0,LEN(TRIM(W127))=0,LEN(TRIM(Y127))=0,LEN(TRIM(Z127))=0,LEN(TRIM(AA127))=0),"Indeterminate",IF(X127&lt;&gt;"OK","Indeterminate",IF(OR(E127="Indeterminate",F127="Indeterminate",G127="Indeterminate",R127="Indeterminate",S127="Indeterminate",T127="Indeterminate",V127="Indeterminate",W127="Indeterminate",Y127="Indeterminate",Z127="Indeterminate",AA127="Indeterminate"),"Indeterminate",IF(OR(E127="Sponsor controlled - invalid",F127="Sponsor veto - invalid",G127="Sponsor/candidate controlled - invalid",H127&lt;&gt;"Yes",I127&lt;&gt;"Yes",J127&lt;&gt;"Yes",R127="Predetermined outcome - invalid",S127="No credible precommitment",T127="Material assistance undisclosed",V127="Missing",V127="Changed after unblinding",W127="Material shared-model generation undisclosed",Y127="No protected reporting channel",Z127="No anonymity/confidentiality protection",AA127="No anti-retaliation safeguard"),"Inadequate",IF(OR(E127="Joint with firewall",F127="Independent with security redaction only",G127="Joint with public rules",K127&lt;&gt;"",AND(L127&lt;&gt;"",LOWER(L127)&lt;&gt;"none"),R127="Declared interest with enforceable firewall",S127="Conditional precommitment with disclosed limits",T127="Material assistance disclosed and separated",W127="Material shared-model generation disclosed",Z127="Not applicable with recorded rationale"),"Adequate with declared controls","Adequate"))))))</f>
        <v/>
      </c>
      <c r="P127">
        <f>IF(AND(O127="",N127=""),"",IF(AND(O127&lt;&gt;"",N127=""),"UNRECORDED",IF(AND(O127="",N127&lt;&gt;""),"ORPHAN_RECORDED",IF(O127=N127,"MATCH","MISMATCH"))))</f>
        <v/>
      </c>
      <c r="X127" s="303">
        <f>IF(COUNTA(E127:J127)+COUNTA(R127:T127)+COUNTA(V127:W127)+COUNTA(Y127:AA127)=0,"",IF(AND(COUNTIF(Vocabulary!$S$5:$S$8,E127)=1,COUNTIF(Vocabulary!$T$5:$T$8,F127)=1,COUNTIF(Vocabulary!$U$5:$U$8,G127)=1,COUNTIF(Vocabulary!$J$5:$J$6,H127)=1,COUNTIF(Vocabulary!$J$5:$J$6,I127)=1,COUNTIF(Vocabulary!$J$5:$J$6,J127)=1,COUNTIF(Vocabulary!$W$5:$W$8,R127)=1,COUNTIF(Vocabulary!$X$5:$X$8,S127)=1,COUNTIF(Vocabulary!$Y$5:$Y$9,T127)=1,COUNTIF(Vocabulary!$Z$5:$Z$8,V127)=1,COUNTIF(Vocabulary!$AA$5:$AA$9,W127)=1,COUNTIF(Vocabulary!$AB$5:$AB$7,Y127)=1,COUNTIF(Vocabulary!$AC$5:$AC$8,Z127)=1,COUNTIF(Vocabulary!$AD$5:$AD$7,AA127)=1),"OK","UNRECOGNISED_CONTROL_VALUE"))</f>
        <v/>
      </c>
      <c r="Y127" s="303" t="n"/>
      <c r="Z127" s="303" t="n"/>
      <c r="AA127" s="303" t="n"/>
    </row>
    <row r="128">
      <c r="O128">
        <f>IF(COUNTA(A128:N128)+COUNTA(Q128:W128)+COUNTA(Y128:AA128)=0,"",IF(OR(LEN(TRIM(A128))=0,LEN(TRIM(B128))=0,LEN(TRIM(C128))=0,LEN(TRIM(D128))=0,LEN(TRIM(E128))=0,LEN(TRIM(F128))=0,LEN(TRIM(G128))=0,LEN(TRIM(H128))=0,LEN(TRIM(I128))=0,LEN(TRIM(J128))=0,LEN(TRIM(R128))=0,LEN(TRIM(S128))=0,LEN(TRIM(T128))=0,LEN(TRIM(V128))=0,LEN(TRIM(W128))=0,LEN(TRIM(Y128))=0,LEN(TRIM(Z128))=0,LEN(TRIM(AA128))=0),"Indeterminate",IF(X128&lt;&gt;"OK","Indeterminate",IF(OR(E128="Indeterminate",F128="Indeterminate",G128="Indeterminate",R128="Indeterminate",S128="Indeterminate",T128="Indeterminate",V128="Indeterminate",W128="Indeterminate",Y128="Indeterminate",Z128="Indeterminate",AA128="Indeterminate"),"Indeterminate",IF(OR(E128="Sponsor controlled - invalid",F128="Sponsor veto - invalid",G128="Sponsor/candidate controlled - invalid",H128&lt;&gt;"Yes",I128&lt;&gt;"Yes",J128&lt;&gt;"Yes",R128="Predetermined outcome - invalid",S128="No credible precommitment",T128="Material assistance undisclosed",V128="Missing",V128="Changed after unblinding",W128="Material shared-model generation undisclosed",Y128="No protected reporting channel",Z128="No anonymity/confidentiality protection",AA128="No anti-retaliation safeguard"),"Inadequate",IF(OR(E128="Joint with firewall",F128="Independent with security redaction only",G128="Joint with public rules",K128&lt;&gt;"",AND(L128&lt;&gt;"",LOWER(L128)&lt;&gt;"none"),R128="Declared interest with enforceable firewall",S128="Conditional precommitment with disclosed limits",T128="Material assistance disclosed and separated",W128="Material shared-model generation disclosed",Z128="Not applicable with recorded rationale"),"Adequate with declared controls","Adequate"))))))</f>
        <v/>
      </c>
      <c r="P128">
        <f>IF(AND(O128="",N128=""),"",IF(AND(O128&lt;&gt;"",N128=""),"UNRECORDED",IF(AND(O128="",N128&lt;&gt;""),"ORPHAN_RECORDED",IF(O128=N128,"MATCH","MISMATCH"))))</f>
        <v/>
      </c>
      <c r="X128" s="303">
        <f>IF(COUNTA(E128:J128)+COUNTA(R128:T128)+COUNTA(V128:W128)+COUNTA(Y128:AA128)=0,"",IF(AND(COUNTIF(Vocabulary!$S$5:$S$8,E128)=1,COUNTIF(Vocabulary!$T$5:$T$8,F128)=1,COUNTIF(Vocabulary!$U$5:$U$8,G128)=1,COUNTIF(Vocabulary!$J$5:$J$6,H128)=1,COUNTIF(Vocabulary!$J$5:$J$6,I128)=1,COUNTIF(Vocabulary!$J$5:$J$6,J128)=1,COUNTIF(Vocabulary!$W$5:$W$8,R128)=1,COUNTIF(Vocabulary!$X$5:$X$8,S128)=1,COUNTIF(Vocabulary!$Y$5:$Y$9,T128)=1,COUNTIF(Vocabulary!$Z$5:$Z$8,V128)=1,COUNTIF(Vocabulary!$AA$5:$AA$9,W128)=1,COUNTIF(Vocabulary!$AB$5:$AB$7,Y128)=1,COUNTIF(Vocabulary!$AC$5:$AC$8,Z128)=1,COUNTIF(Vocabulary!$AD$5:$AD$7,AA128)=1),"OK","UNRECOGNISED_CONTROL_VALUE"))</f>
        <v/>
      </c>
      <c r="Y128" s="303" t="n"/>
      <c r="Z128" s="303" t="n"/>
      <c r="AA128" s="303" t="n"/>
    </row>
    <row r="129">
      <c r="O129">
        <f>IF(COUNTA(A129:N129)+COUNTA(Q129:W129)+COUNTA(Y129:AA129)=0,"",IF(OR(LEN(TRIM(A129))=0,LEN(TRIM(B129))=0,LEN(TRIM(C129))=0,LEN(TRIM(D129))=0,LEN(TRIM(E129))=0,LEN(TRIM(F129))=0,LEN(TRIM(G129))=0,LEN(TRIM(H129))=0,LEN(TRIM(I129))=0,LEN(TRIM(J129))=0,LEN(TRIM(R129))=0,LEN(TRIM(S129))=0,LEN(TRIM(T129))=0,LEN(TRIM(V129))=0,LEN(TRIM(W129))=0,LEN(TRIM(Y129))=0,LEN(TRIM(Z129))=0,LEN(TRIM(AA129))=0),"Indeterminate",IF(X129&lt;&gt;"OK","Indeterminate",IF(OR(E129="Indeterminate",F129="Indeterminate",G129="Indeterminate",R129="Indeterminate",S129="Indeterminate",T129="Indeterminate",V129="Indeterminate",W129="Indeterminate",Y129="Indeterminate",Z129="Indeterminate",AA129="Indeterminate"),"Indeterminate",IF(OR(E129="Sponsor controlled - invalid",F129="Sponsor veto - invalid",G129="Sponsor/candidate controlled - invalid",H129&lt;&gt;"Yes",I129&lt;&gt;"Yes",J129&lt;&gt;"Yes",R129="Predetermined outcome - invalid",S129="No credible precommitment",T129="Material assistance undisclosed",V129="Missing",V129="Changed after unblinding",W129="Material shared-model generation undisclosed",Y129="No protected reporting channel",Z129="No anonymity/confidentiality protection",AA129="No anti-retaliation safeguard"),"Inadequate",IF(OR(E129="Joint with firewall",F129="Independent with security redaction only",G129="Joint with public rules",K129&lt;&gt;"",AND(L129&lt;&gt;"",LOWER(L129)&lt;&gt;"none"),R129="Declared interest with enforceable firewall",S129="Conditional precommitment with disclosed limits",T129="Material assistance disclosed and separated",W129="Material shared-model generation disclosed",Z129="Not applicable with recorded rationale"),"Adequate with declared controls","Adequate"))))))</f>
        <v/>
      </c>
      <c r="P129">
        <f>IF(AND(O129="",N129=""),"",IF(AND(O129&lt;&gt;"",N129=""),"UNRECORDED",IF(AND(O129="",N129&lt;&gt;""),"ORPHAN_RECORDED",IF(O129=N129,"MATCH","MISMATCH"))))</f>
        <v/>
      </c>
      <c r="X129" s="303">
        <f>IF(COUNTA(E129:J129)+COUNTA(R129:T129)+COUNTA(V129:W129)+COUNTA(Y129:AA129)=0,"",IF(AND(COUNTIF(Vocabulary!$S$5:$S$8,E129)=1,COUNTIF(Vocabulary!$T$5:$T$8,F129)=1,COUNTIF(Vocabulary!$U$5:$U$8,G129)=1,COUNTIF(Vocabulary!$J$5:$J$6,H129)=1,COUNTIF(Vocabulary!$J$5:$J$6,I129)=1,COUNTIF(Vocabulary!$J$5:$J$6,J129)=1,COUNTIF(Vocabulary!$W$5:$W$8,R129)=1,COUNTIF(Vocabulary!$X$5:$X$8,S129)=1,COUNTIF(Vocabulary!$Y$5:$Y$9,T129)=1,COUNTIF(Vocabulary!$Z$5:$Z$8,V129)=1,COUNTIF(Vocabulary!$AA$5:$AA$9,W129)=1,COUNTIF(Vocabulary!$AB$5:$AB$7,Y129)=1,COUNTIF(Vocabulary!$AC$5:$AC$8,Z129)=1,COUNTIF(Vocabulary!$AD$5:$AD$7,AA129)=1),"OK","UNRECOGNISED_CONTROL_VALUE"))</f>
        <v/>
      </c>
      <c r="Y129" s="303" t="n"/>
      <c r="Z129" s="303" t="n"/>
      <c r="AA129" s="303" t="n"/>
    </row>
    <row r="130">
      <c r="O130">
        <f>IF(COUNTA(A130:N130)+COUNTA(Q130:W130)+COUNTA(Y130:AA130)=0,"",IF(OR(LEN(TRIM(A130))=0,LEN(TRIM(B130))=0,LEN(TRIM(C130))=0,LEN(TRIM(D130))=0,LEN(TRIM(E130))=0,LEN(TRIM(F130))=0,LEN(TRIM(G130))=0,LEN(TRIM(H130))=0,LEN(TRIM(I130))=0,LEN(TRIM(J130))=0,LEN(TRIM(R130))=0,LEN(TRIM(S130))=0,LEN(TRIM(T130))=0,LEN(TRIM(V130))=0,LEN(TRIM(W130))=0,LEN(TRIM(Y130))=0,LEN(TRIM(Z130))=0,LEN(TRIM(AA130))=0),"Indeterminate",IF(X130&lt;&gt;"OK","Indeterminate",IF(OR(E130="Indeterminate",F130="Indeterminate",G130="Indeterminate",R130="Indeterminate",S130="Indeterminate",T130="Indeterminate",V130="Indeterminate",W130="Indeterminate",Y130="Indeterminate",Z130="Indeterminate",AA130="Indeterminate"),"Indeterminate",IF(OR(E130="Sponsor controlled - invalid",F130="Sponsor veto - invalid",G130="Sponsor/candidate controlled - invalid",H130&lt;&gt;"Yes",I130&lt;&gt;"Yes",J130&lt;&gt;"Yes",R130="Predetermined outcome - invalid",S130="No credible precommitment",T130="Material assistance undisclosed",V130="Missing",V130="Changed after unblinding",W130="Material shared-model generation undisclosed",Y130="No protected reporting channel",Z130="No anonymity/confidentiality protection",AA130="No anti-retaliation safeguard"),"Inadequate",IF(OR(E130="Joint with firewall",F130="Independent with security redaction only",G130="Joint with public rules",K130&lt;&gt;"",AND(L130&lt;&gt;"",LOWER(L130)&lt;&gt;"none"),R130="Declared interest with enforceable firewall",S130="Conditional precommitment with disclosed limits",T130="Material assistance disclosed and separated",W130="Material shared-model generation disclosed",Z130="Not applicable with recorded rationale"),"Adequate with declared controls","Adequate"))))))</f>
        <v/>
      </c>
      <c r="P130">
        <f>IF(AND(O130="",N130=""),"",IF(AND(O130&lt;&gt;"",N130=""),"UNRECORDED",IF(AND(O130="",N130&lt;&gt;""),"ORPHAN_RECORDED",IF(O130=N130,"MATCH","MISMATCH"))))</f>
        <v/>
      </c>
      <c r="X130" s="303">
        <f>IF(COUNTA(E130:J130)+COUNTA(R130:T130)+COUNTA(V130:W130)+COUNTA(Y130:AA130)=0,"",IF(AND(COUNTIF(Vocabulary!$S$5:$S$8,E130)=1,COUNTIF(Vocabulary!$T$5:$T$8,F130)=1,COUNTIF(Vocabulary!$U$5:$U$8,G130)=1,COUNTIF(Vocabulary!$J$5:$J$6,H130)=1,COUNTIF(Vocabulary!$J$5:$J$6,I130)=1,COUNTIF(Vocabulary!$J$5:$J$6,J130)=1,COUNTIF(Vocabulary!$W$5:$W$8,R130)=1,COUNTIF(Vocabulary!$X$5:$X$8,S130)=1,COUNTIF(Vocabulary!$Y$5:$Y$9,T130)=1,COUNTIF(Vocabulary!$Z$5:$Z$8,V130)=1,COUNTIF(Vocabulary!$AA$5:$AA$9,W130)=1,COUNTIF(Vocabulary!$AB$5:$AB$7,Y130)=1,COUNTIF(Vocabulary!$AC$5:$AC$8,Z130)=1,COUNTIF(Vocabulary!$AD$5:$AD$7,AA130)=1),"OK","UNRECOGNISED_CONTROL_VALUE"))</f>
        <v/>
      </c>
      <c r="Y130" s="303" t="n"/>
      <c r="Z130" s="303" t="n"/>
      <c r="AA130" s="303" t="n"/>
    </row>
    <row r="131">
      <c r="O131">
        <f>IF(COUNTA(A131:N131)+COUNTA(Q131:W131)+COUNTA(Y131:AA131)=0,"",IF(OR(LEN(TRIM(A131))=0,LEN(TRIM(B131))=0,LEN(TRIM(C131))=0,LEN(TRIM(D131))=0,LEN(TRIM(E131))=0,LEN(TRIM(F131))=0,LEN(TRIM(G131))=0,LEN(TRIM(H131))=0,LEN(TRIM(I131))=0,LEN(TRIM(J131))=0,LEN(TRIM(R131))=0,LEN(TRIM(S131))=0,LEN(TRIM(T131))=0,LEN(TRIM(V131))=0,LEN(TRIM(W131))=0,LEN(TRIM(Y131))=0,LEN(TRIM(Z131))=0,LEN(TRIM(AA131))=0),"Indeterminate",IF(X131&lt;&gt;"OK","Indeterminate",IF(OR(E131="Indeterminate",F131="Indeterminate",G131="Indeterminate",R131="Indeterminate",S131="Indeterminate",T131="Indeterminate",V131="Indeterminate",W131="Indeterminate",Y131="Indeterminate",Z131="Indeterminate",AA131="Indeterminate"),"Indeterminate",IF(OR(E131="Sponsor controlled - invalid",F131="Sponsor veto - invalid",G131="Sponsor/candidate controlled - invalid",H131&lt;&gt;"Yes",I131&lt;&gt;"Yes",J131&lt;&gt;"Yes",R131="Predetermined outcome - invalid",S131="No credible precommitment",T131="Material assistance undisclosed",V131="Missing",V131="Changed after unblinding",W131="Material shared-model generation undisclosed",Y131="No protected reporting channel",Z131="No anonymity/confidentiality protection",AA131="No anti-retaliation safeguard"),"Inadequate",IF(OR(E131="Joint with firewall",F131="Independent with security redaction only",G131="Joint with public rules",K131&lt;&gt;"",AND(L131&lt;&gt;"",LOWER(L131)&lt;&gt;"none"),R131="Declared interest with enforceable firewall",S131="Conditional precommitment with disclosed limits",T131="Material assistance disclosed and separated",W131="Material shared-model generation disclosed",Z131="Not applicable with recorded rationale"),"Adequate with declared controls","Adequate"))))))</f>
        <v/>
      </c>
      <c r="P131">
        <f>IF(AND(O131="",N131=""),"",IF(AND(O131&lt;&gt;"",N131=""),"UNRECORDED",IF(AND(O131="",N131&lt;&gt;""),"ORPHAN_RECORDED",IF(O131=N131,"MATCH","MISMATCH"))))</f>
        <v/>
      </c>
      <c r="X131" s="303">
        <f>IF(COUNTA(E131:J131)+COUNTA(R131:T131)+COUNTA(V131:W131)+COUNTA(Y131:AA131)=0,"",IF(AND(COUNTIF(Vocabulary!$S$5:$S$8,E131)=1,COUNTIF(Vocabulary!$T$5:$T$8,F131)=1,COUNTIF(Vocabulary!$U$5:$U$8,G131)=1,COUNTIF(Vocabulary!$J$5:$J$6,H131)=1,COUNTIF(Vocabulary!$J$5:$J$6,I131)=1,COUNTIF(Vocabulary!$J$5:$J$6,J131)=1,COUNTIF(Vocabulary!$W$5:$W$8,R131)=1,COUNTIF(Vocabulary!$X$5:$X$8,S131)=1,COUNTIF(Vocabulary!$Y$5:$Y$9,T131)=1,COUNTIF(Vocabulary!$Z$5:$Z$8,V131)=1,COUNTIF(Vocabulary!$AA$5:$AA$9,W131)=1,COUNTIF(Vocabulary!$AB$5:$AB$7,Y131)=1,COUNTIF(Vocabulary!$AC$5:$AC$8,Z131)=1,COUNTIF(Vocabulary!$AD$5:$AD$7,AA131)=1),"OK","UNRECOGNISED_CONTROL_VALUE"))</f>
        <v/>
      </c>
      <c r="Y131" s="303" t="n"/>
      <c r="Z131" s="303" t="n"/>
      <c r="AA131" s="303" t="n"/>
    </row>
    <row r="132">
      <c r="O132">
        <f>IF(COUNTA(A132:N132)+COUNTA(Q132:W132)+COUNTA(Y132:AA132)=0,"",IF(OR(LEN(TRIM(A132))=0,LEN(TRIM(B132))=0,LEN(TRIM(C132))=0,LEN(TRIM(D132))=0,LEN(TRIM(E132))=0,LEN(TRIM(F132))=0,LEN(TRIM(G132))=0,LEN(TRIM(H132))=0,LEN(TRIM(I132))=0,LEN(TRIM(J132))=0,LEN(TRIM(R132))=0,LEN(TRIM(S132))=0,LEN(TRIM(T132))=0,LEN(TRIM(V132))=0,LEN(TRIM(W132))=0,LEN(TRIM(Y132))=0,LEN(TRIM(Z132))=0,LEN(TRIM(AA132))=0),"Indeterminate",IF(X132&lt;&gt;"OK","Indeterminate",IF(OR(E132="Indeterminate",F132="Indeterminate",G132="Indeterminate",R132="Indeterminate",S132="Indeterminate",T132="Indeterminate",V132="Indeterminate",W132="Indeterminate",Y132="Indeterminate",Z132="Indeterminate",AA132="Indeterminate"),"Indeterminate",IF(OR(E132="Sponsor controlled - invalid",F132="Sponsor veto - invalid",G132="Sponsor/candidate controlled - invalid",H132&lt;&gt;"Yes",I132&lt;&gt;"Yes",J132&lt;&gt;"Yes",R132="Predetermined outcome - invalid",S132="No credible precommitment",T132="Material assistance undisclosed",V132="Missing",V132="Changed after unblinding",W132="Material shared-model generation undisclosed",Y132="No protected reporting channel",Z132="No anonymity/confidentiality protection",AA132="No anti-retaliation safeguard"),"Inadequate",IF(OR(E132="Joint with firewall",F132="Independent with security redaction only",G132="Joint with public rules",K132&lt;&gt;"",AND(L132&lt;&gt;"",LOWER(L132)&lt;&gt;"none"),R132="Declared interest with enforceable firewall",S132="Conditional precommitment with disclosed limits",T132="Material assistance disclosed and separated",W132="Material shared-model generation disclosed",Z132="Not applicable with recorded rationale"),"Adequate with declared controls","Adequate"))))))</f>
        <v/>
      </c>
      <c r="P132">
        <f>IF(AND(O132="",N132=""),"",IF(AND(O132&lt;&gt;"",N132=""),"UNRECORDED",IF(AND(O132="",N132&lt;&gt;""),"ORPHAN_RECORDED",IF(O132=N132,"MATCH","MISMATCH"))))</f>
        <v/>
      </c>
      <c r="X132" s="303">
        <f>IF(COUNTA(E132:J132)+COUNTA(R132:T132)+COUNTA(V132:W132)+COUNTA(Y132:AA132)=0,"",IF(AND(COUNTIF(Vocabulary!$S$5:$S$8,E132)=1,COUNTIF(Vocabulary!$T$5:$T$8,F132)=1,COUNTIF(Vocabulary!$U$5:$U$8,G132)=1,COUNTIF(Vocabulary!$J$5:$J$6,H132)=1,COUNTIF(Vocabulary!$J$5:$J$6,I132)=1,COUNTIF(Vocabulary!$J$5:$J$6,J132)=1,COUNTIF(Vocabulary!$W$5:$W$8,R132)=1,COUNTIF(Vocabulary!$X$5:$X$8,S132)=1,COUNTIF(Vocabulary!$Y$5:$Y$9,T132)=1,COUNTIF(Vocabulary!$Z$5:$Z$8,V132)=1,COUNTIF(Vocabulary!$AA$5:$AA$9,W132)=1,COUNTIF(Vocabulary!$AB$5:$AB$7,Y132)=1,COUNTIF(Vocabulary!$AC$5:$AC$8,Z132)=1,COUNTIF(Vocabulary!$AD$5:$AD$7,AA132)=1),"OK","UNRECOGNISED_CONTROL_VALUE"))</f>
        <v/>
      </c>
      <c r="Y132" s="303" t="n"/>
      <c r="Z132" s="303" t="n"/>
      <c r="AA132" s="303" t="n"/>
    </row>
    <row r="133">
      <c r="O133">
        <f>IF(COUNTA(A133:N133)+COUNTA(Q133:W133)+COUNTA(Y133:AA133)=0,"",IF(OR(LEN(TRIM(A133))=0,LEN(TRIM(B133))=0,LEN(TRIM(C133))=0,LEN(TRIM(D133))=0,LEN(TRIM(E133))=0,LEN(TRIM(F133))=0,LEN(TRIM(G133))=0,LEN(TRIM(H133))=0,LEN(TRIM(I133))=0,LEN(TRIM(J133))=0,LEN(TRIM(R133))=0,LEN(TRIM(S133))=0,LEN(TRIM(T133))=0,LEN(TRIM(V133))=0,LEN(TRIM(W133))=0,LEN(TRIM(Y133))=0,LEN(TRIM(Z133))=0,LEN(TRIM(AA133))=0),"Indeterminate",IF(X133&lt;&gt;"OK","Indeterminate",IF(OR(E133="Indeterminate",F133="Indeterminate",G133="Indeterminate",R133="Indeterminate",S133="Indeterminate",T133="Indeterminate",V133="Indeterminate",W133="Indeterminate",Y133="Indeterminate",Z133="Indeterminate",AA133="Indeterminate"),"Indeterminate",IF(OR(E133="Sponsor controlled - invalid",F133="Sponsor veto - invalid",G133="Sponsor/candidate controlled - invalid",H133&lt;&gt;"Yes",I133&lt;&gt;"Yes",J133&lt;&gt;"Yes",R133="Predetermined outcome - invalid",S133="No credible precommitment",T133="Material assistance undisclosed",V133="Missing",V133="Changed after unblinding",W133="Material shared-model generation undisclosed",Y133="No protected reporting channel",Z133="No anonymity/confidentiality protection",AA133="No anti-retaliation safeguard"),"Inadequate",IF(OR(E133="Joint with firewall",F133="Independent with security redaction only",G133="Joint with public rules",K133&lt;&gt;"",AND(L133&lt;&gt;"",LOWER(L133)&lt;&gt;"none"),R133="Declared interest with enforceable firewall",S133="Conditional precommitment with disclosed limits",T133="Material assistance disclosed and separated",W133="Material shared-model generation disclosed",Z133="Not applicable with recorded rationale"),"Adequate with declared controls","Adequate"))))))</f>
        <v/>
      </c>
      <c r="P133">
        <f>IF(AND(O133="",N133=""),"",IF(AND(O133&lt;&gt;"",N133=""),"UNRECORDED",IF(AND(O133="",N133&lt;&gt;""),"ORPHAN_RECORDED",IF(O133=N133,"MATCH","MISMATCH"))))</f>
        <v/>
      </c>
      <c r="X133" s="303">
        <f>IF(COUNTA(E133:J133)+COUNTA(R133:T133)+COUNTA(V133:W133)+COUNTA(Y133:AA133)=0,"",IF(AND(COUNTIF(Vocabulary!$S$5:$S$8,E133)=1,COUNTIF(Vocabulary!$T$5:$T$8,F133)=1,COUNTIF(Vocabulary!$U$5:$U$8,G133)=1,COUNTIF(Vocabulary!$J$5:$J$6,H133)=1,COUNTIF(Vocabulary!$J$5:$J$6,I133)=1,COUNTIF(Vocabulary!$J$5:$J$6,J133)=1,COUNTIF(Vocabulary!$W$5:$W$8,R133)=1,COUNTIF(Vocabulary!$X$5:$X$8,S133)=1,COUNTIF(Vocabulary!$Y$5:$Y$9,T133)=1,COUNTIF(Vocabulary!$Z$5:$Z$8,V133)=1,COUNTIF(Vocabulary!$AA$5:$AA$9,W133)=1,COUNTIF(Vocabulary!$AB$5:$AB$7,Y133)=1,COUNTIF(Vocabulary!$AC$5:$AC$8,Z133)=1,COUNTIF(Vocabulary!$AD$5:$AD$7,AA133)=1),"OK","UNRECOGNISED_CONTROL_VALUE"))</f>
        <v/>
      </c>
      <c r="Y133" s="303" t="n"/>
      <c r="Z133" s="303" t="n"/>
      <c r="AA133" s="303" t="n"/>
    </row>
    <row r="134">
      <c r="O134">
        <f>IF(COUNTA(A134:N134)+COUNTA(Q134:W134)+COUNTA(Y134:AA134)=0,"",IF(OR(LEN(TRIM(A134))=0,LEN(TRIM(B134))=0,LEN(TRIM(C134))=0,LEN(TRIM(D134))=0,LEN(TRIM(E134))=0,LEN(TRIM(F134))=0,LEN(TRIM(G134))=0,LEN(TRIM(H134))=0,LEN(TRIM(I134))=0,LEN(TRIM(J134))=0,LEN(TRIM(R134))=0,LEN(TRIM(S134))=0,LEN(TRIM(T134))=0,LEN(TRIM(V134))=0,LEN(TRIM(W134))=0,LEN(TRIM(Y134))=0,LEN(TRIM(Z134))=0,LEN(TRIM(AA134))=0),"Indeterminate",IF(X134&lt;&gt;"OK","Indeterminate",IF(OR(E134="Indeterminate",F134="Indeterminate",G134="Indeterminate",R134="Indeterminate",S134="Indeterminate",T134="Indeterminate",V134="Indeterminate",W134="Indeterminate",Y134="Indeterminate",Z134="Indeterminate",AA134="Indeterminate"),"Indeterminate",IF(OR(E134="Sponsor controlled - invalid",F134="Sponsor veto - invalid",G134="Sponsor/candidate controlled - invalid",H134&lt;&gt;"Yes",I134&lt;&gt;"Yes",J134&lt;&gt;"Yes",R134="Predetermined outcome - invalid",S134="No credible precommitment",T134="Material assistance undisclosed",V134="Missing",V134="Changed after unblinding",W134="Material shared-model generation undisclosed",Y134="No protected reporting channel",Z134="No anonymity/confidentiality protection",AA134="No anti-retaliation safeguard"),"Inadequate",IF(OR(E134="Joint with firewall",F134="Independent with security redaction only",G134="Joint with public rules",K134&lt;&gt;"",AND(L134&lt;&gt;"",LOWER(L134)&lt;&gt;"none"),R134="Declared interest with enforceable firewall",S134="Conditional precommitment with disclosed limits",T134="Material assistance disclosed and separated",W134="Material shared-model generation disclosed",Z134="Not applicable with recorded rationale"),"Adequate with declared controls","Adequate"))))))</f>
        <v/>
      </c>
      <c r="P134">
        <f>IF(AND(O134="",N134=""),"",IF(AND(O134&lt;&gt;"",N134=""),"UNRECORDED",IF(AND(O134="",N134&lt;&gt;""),"ORPHAN_RECORDED",IF(O134=N134,"MATCH","MISMATCH"))))</f>
        <v/>
      </c>
      <c r="X134" s="303">
        <f>IF(COUNTA(E134:J134)+COUNTA(R134:T134)+COUNTA(V134:W134)+COUNTA(Y134:AA134)=0,"",IF(AND(COUNTIF(Vocabulary!$S$5:$S$8,E134)=1,COUNTIF(Vocabulary!$T$5:$T$8,F134)=1,COUNTIF(Vocabulary!$U$5:$U$8,G134)=1,COUNTIF(Vocabulary!$J$5:$J$6,H134)=1,COUNTIF(Vocabulary!$J$5:$J$6,I134)=1,COUNTIF(Vocabulary!$J$5:$J$6,J134)=1,COUNTIF(Vocabulary!$W$5:$W$8,R134)=1,COUNTIF(Vocabulary!$X$5:$X$8,S134)=1,COUNTIF(Vocabulary!$Y$5:$Y$9,T134)=1,COUNTIF(Vocabulary!$Z$5:$Z$8,V134)=1,COUNTIF(Vocabulary!$AA$5:$AA$9,W134)=1,COUNTIF(Vocabulary!$AB$5:$AB$7,Y134)=1,COUNTIF(Vocabulary!$AC$5:$AC$8,Z134)=1,COUNTIF(Vocabulary!$AD$5:$AD$7,AA134)=1),"OK","UNRECOGNISED_CONTROL_VALUE"))</f>
        <v/>
      </c>
      <c r="Y134" s="303" t="n"/>
      <c r="Z134" s="303" t="n"/>
      <c r="AA134" s="303" t="n"/>
    </row>
    <row r="135">
      <c r="O135">
        <f>IF(COUNTA(A135:N135)+COUNTA(Q135:W135)+COUNTA(Y135:AA135)=0,"",IF(OR(LEN(TRIM(A135))=0,LEN(TRIM(B135))=0,LEN(TRIM(C135))=0,LEN(TRIM(D135))=0,LEN(TRIM(E135))=0,LEN(TRIM(F135))=0,LEN(TRIM(G135))=0,LEN(TRIM(H135))=0,LEN(TRIM(I135))=0,LEN(TRIM(J135))=0,LEN(TRIM(R135))=0,LEN(TRIM(S135))=0,LEN(TRIM(T135))=0,LEN(TRIM(V135))=0,LEN(TRIM(W135))=0,LEN(TRIM(Y135))=0,LEN(TRIM(Z135))=0,LEN(TRIM(AA135))=0),"Indeterminate",IF(X135&lt;&gt;"OK","Indeterminate",IF(OR(E135="Indeterminate",F135="Indeterminate",G135="Indeterminate",R135="Indeterminate",S135="Indeterminate",T135="Indeterminate",V135="Indeterminate",W135="Indeterminate",Y135="Indeterminate",Z135="Indeterminate",AA135="Indeterminate"),"Indeterminate",IF(OR(E135="Sponsor controlled - invalid",F135="Sponsor veto - invalid",G135="Sponsor/candidate controlled - invalid",H135&lt;&gt;"Yes",I135&lt;&gt;"Yes",J135&lt;&gt;"Yes",R135="Predetermined outcome - invalid",S135="No credible precommitment",T135="Material assistance undisclosed",V135="Missing",V135="Changed after unblinding",W135="Material shared-model generation undisclosed",Y135="No protected reporting channel",Z135="No anonymity/confidentiality protection",AA135="No anti-retaliation safeguard"),"Inadequate",IF(OR(E135="Joint with firewall",F135="Independent with security redaction only",G135="Joint with public rules",K135&lt;&gt;"",AND(L135&lt;&gt;"",LOWER(L135)&lt;&gt;"none"),R135="Declared interest with enforceable firewall",S135="Conditional precommitment with disclosed limits",T135="Material assistance disclosed and separated",W135="Material shared-model generation disclosed",Z135="Not applicable with recorded rationale"),"Adequate with declared controls","Adequate"))))))</f>
        <v/>
      </c>
      <c r="P135">
        <f>IF(AND(O135="",N135=""),"",IF(AND(O135&lt;&gt;"",N135=""),"UNRECORDED",IF(AND(O135="",N135&lt;&gt;""),"ORPHAN_RECORDED",IF(O135=N135,"MATCH","MISMATCH"))))</f>
        <v/>
      </c>
      <c r="X135" s="303">
        <f>IF(COUNTA(E135:J135)+COUNTA(R135:T135)+COUNTA(V135:W135)+COUNTA(Y135:AA135)=0,"",IF(AND(COUNTIF(Vocabulary!$S$5:$S$8,E135)=1,COUNTIF(Vocabulary!$T$5:$T$8,F135)=1,COUNTIF(Vocabulary!$U$5:$U$8,G135)=1,COUNTIF(Vocabulary!$J$5:$J$6,H135)=1,COUNTIF(Vocabulary!$J$5:$J$6,I135)=1,COUNTIF(Vocabulary!$J$5:$J$6,J135)=1,COUNTIF(Vocabulary!$W$5:$W$8,R135)=1,COUNTIF(Vocabulary!$X$5:$X$8,S135)=1,COUNTIF(Vocabulary!$Y$5:$Y$9,T135)=1,COUNTIF(Vocabulary!$Z$5:$Z$8,V135)=1,COUNTIF(Vocabulary!$AA$5:$AA$9,W135)=1,COUNTIF(Vocabulary!$AB$5:$AB$7,Y135)=1,COUNTIF(Vocabulary!$AC$5:$AC$8,Z135)=1,COUNTIF(Vocabulary!$AD$5:$AD$7,AA135)=1),"OK","UNRECOGNISED_CONTROL_VALUE"))</f>
        <v/>
      </c>
      <c r="Y135" s="303" t="n"/>
      <c r="Z135" s="303" t="n"/>
      <c r="AA135" s="303" t="n"/>
    </row>
    <row r="136">
      <c r="O136">
        <f>IF(COUNTA(A136:N136)+COUNTA(Q136:W136)+COUNTA(Y136:AA136)=0,"",IF(OR(LEN(TRIM(A136))=0,LEN(TRIM(B136))=0,LEN(TRIM(C136))=0,LEN(TRIM(D136))=0,LEN(TRIM(E136))=0,LEN(TRIM(F136))=0,LEN(TRIM(G136))=0,LEN(TRIM(H136))=0,LEN(TRIM(I136))=0,LEN(TRIM(J136))=0,LEN(TRIM(R136))=0,LEN(TRIM(S136))=0,LEN(TRIM(T136))=0,LEN(TRIM(V136))=0,LEN(TRIM(W136))=0,LEN(TRIM(Y136))=0,LEN(TRIM(Z136))=0,LEN(TRIM(AA136))=0),"Indeterminate",IF(X136&lt;&gt;"OK","Indeterminate",IF(OR(E136="Indeterminate",F136="Indeterminate",G136="Indeterminate",R136="Indeterminate",S136="Indeterminate",T136="Indeterminate",V136="Indeterminate",W136="Indeterminate",Y136="Indeterminate",Z136="Indeterminate",AA136="Indeterminate"),"Indeterminate",IF(OR(E136="Sponsor controlled - invalid",F136="Sponsor veto - invalid",G136="Sponsor/candidate controlled - invalid",H136&lt;&gt;"Yes",I136&lt;&gt;"Yes",J136&lt;&gt;"Yes",R136="Predetermined outcome - invalid",S136="No credible precommitment",T136="Material assistance undisclosed",V136="Missing",V136="Changed after unblinding",W136="Material shared-model generation undisclosed",Y136="No protected reporting channel",Z136="No anonymity/confidentiality protection",AA136="No anti-retaliation safeguard"),"Inadequate",IF(OR(E136="Joint with firewall",F136="Independent with security redaction only",G136="Joint with public rules",K136&lt;&gt;"",AND(L136&lt;&gt;"",LOWER(L136)&lt;&gt;"none"),R136="Declared interest with enforceable firewall",S136="Conditional precommitment with disclosed limits",T136="Material assistance disclosed and separated",W136="Material shared-model generation disclosed",Z136="Not applicable with recorded rationale"),"Adequate with declared controls","Adequate"))))))</f>
        <v/>
      </c>
      <c r="P136">
        <f>IF(AND(O136="",N136=""),"",IF(AND(O136&lt;&gt;"",N136=""),"UNRECORDED",IF(AND(O136="",N136&lt;&gt;""),"ORPHAN_RECORDED",IF(O136=N136,"MATCH","MISMATCH"))))</f>
        <v/>
      </c>
      <c r="X136" s="303">
        <f>IF(COUNTA(E136:J136)+COUNTA(R136:T136)+COUNTA(V136:W136)+COUNTA(Y136:AA136)=0,"",IF(AND(COUNTIF(Vocabulary!$S$5:$S$8,E136)=1,COUNTIF(Vocabulary!$T$5:$T$8,F136)=1,COUNTIF(Vocabulary!$U$5:$U$8,G136)=1,COUNTIF(Vocabulary!$J$5:$J$6,H136)=1,COUNTIF(Vocabulary!$J$5:$J$6,I136)=1,COUNTIF(Vocabulary!$J$5:$J$6,J136)=1,COUNTIF(Vocabulary!$W$5:$W$8,R136)=1,COUNTIF(Vocabulary!$X$5:$X$8,S136)=1,COUNTIF(Vocabulary!$Y$5:$Y$9,T136)=1,COUNTIF(Vocabulary!$Z$5:$Z$8,V136)=1,COUNTIF(Vocabulary!$AA$5:$AA$9,W136)=1,COUNTIF(Vocabulary!$AB$5:$AB$7,Y136)=1,COUNTIF(Vocabulary!$AC$5:$AC$8,Z136)=1,COUNTIF(Vocabulary!$AD$5:$AD$7,AA136)=1),"OK","UNRECOGNISED_CONTROL_VALUE"))</f>
        <v/>
      </c>
      <c r="Y136" s="303" t="n"/>
      <c r="Z136" s="303" t="n"/>
      <c r="AA136" s="303" t="n"/>
    </row>
    <row r="137">
      <c r="O137">
        <f>IF(COUNTA(A137:N137)+COUNTA(Q137:W137)+COUNTA(Y137:AA137)=0,"",IF(OR(LEN(TRIM(A137))=0,LEN(TRIM(B137))=0,LEN(TRIM(C137))=0,LEN(TRIM(D137))=0,LEN(TRIM(E137))=0,LEN(TRIM(F137))=0,LEN(TRIM(G137))=0,LEN(TRIM(H137))=0,LEN(TRIM(I137))=0,LEN(TRIM(J137))=0,LEN(TRIM(R137))=0,LEN(TRIM(S137))=0,LEN(TRIM(T137))=0,LEN(TRIM(V137))=0,LEN(TRIM(W137))=0,LEN(TRIM(Y137))=0,LEN(TRIM(Z137))=0,LEN(TRIM(AA137))=0),"Indeterminate",IF(X137&lt;&gt;"OK","Indeterminate",IF(OR(E137="Indeterminate",F137="Indeterminate",G137="Indeterminate",R137="Indeterminate",S137="Indeterminate",T137="Indeterminate",V137="Indeterminate",W137="Indeterminate",Y137="Indeterminate",Z137="Indeterminate",AA137="Indeterminate"),"Indeterminate",IF(OR(E137="Sponsor controlled - invalid",F137="Sponsor veto - invalid",G137="Sponsor/candidate controlled - invalid",H137&lt;&gt;"Yes",I137&lt;&gt;"Yes",J137&lt;&gt;"Yes",R137="Predetermined outcome - invalid",S137="No credible precommitment",T137="Material assistance undisclosed",V137="Missing",V137="Changed after unblinding",W137="Material shared-model generation undisclosed",Y137="No protected reporting channel",Z137="No anonymity/confidentiality protection",AA137="No anti-retaliation safeguard"),"Inadequate",IF(OR(E137="Joint with firewall",F137="Independent with security redaction only",G137="Joint with public rules",K137&lt;&gt;"",AND(L137&lt;&gt;"",LOWER(L137)&lt;&gt;"none"),R137="Declared interest with enforceable firewall",S137="Conditional precommitment with disclosed limits",T137="Material assistance disclosed and separated",W137="Material shared-model generation disclosed",Z137="Not applicable with recorded rationale"),"Adequate with declared controls","Adequate"))))))</f>
        <v/>
      </c>
      <c r="P137">
        <f>IF(AND(O137="",N137=""),"",IF(AND(O137&lt;&gt;"",N137=""),"UNRECORDED",IF(AND(O137="",N137&lt;&gt;""),"ORPHAN_RECORDED",IF(O137=N137,"MATCH","MISMATCH"))))</f>
        <v/>
      </c>
      <c r="X137" s="303">
        <f>IF(COUNTA(E137:J137)+COUNTA(R137:T137)+COUNTA(V137:W137)+COUNTA(Y137:AA137)=0,"",IF(AND(COUNTIF(Vocabulary!$S$5:$S$8,E137)=1,COUNTIF(Vocabulary!$T$5:$T$8,F137)=1,COUNTIF(Vocabulary!$U$5:$U$8,G137)=1,COUNTIF(Vocabulary!$J$5:$J$6,H137)=1,COUNTIF(Vocabulary!$J$5:$J$6,I137)=1,COUNTIF(Vocabulary!$J$5:$J$6,J137)=1,COUNTIF(Vocabulary!$W$5:$W$8,R137)=1,COUNTIF(Vocabulary!$X$5:$X$8,S137)=1,COUNTIF(Vocabulary!$Y$5:$Y$9,T137)=1,COUNTIF(Vocabulary!$Z$5:$Z$8,V137)=1,COUNTIF(Vocabulary!$AA$5:$AA$9,W137)=1,COUNTIF(Vocabulary!$AB$5:$AB$7,Y137)=1,COUNTIF(Vocabulary!$AC$5:$AC$8,Z137)=1,COUNTIF(Vocabulary!$AD$5:$AD$7,AA137)=1),"OK","UNRECOGNISED_CONTROL_VALUE"))</f>
        <v/>
      </c>
      <c r="Y137" s="303" t="n"/>
      <c r="Z137" s="303" t="n"/>
      <c r="AA137" s="303" t="n"/>
    </row>
    <row r="138">
      <c r="O138">
        <f>IF(COUNTA(A138:N138)+COUNTA(Q138:W138)+COUNTA(Y138:AA138)=0,"",IF(OR(LEN(TRIM(A138))=0,LEN(TRIM(B138))=0,LEN(TRIM(C138))=0,LEN(TRIM(D138))=0,LEN(TRIM(E138))=0,LEN(TRIM(F138))=0,LEN(TRIM(G138))=0,LEN(TRIM(H138))=0,LEN(TRIM(I138))=0,LEN(TRIM(J138))=0,LEN(TRIM(R138))=0,LEN(TRIM(S138))=0,LEN(TRIM(T138))=0,LEN(TRIM(V138))=0,LEN(TRIM(W138))=0,LEN(TRIM(Y138))=0,LEN(TRIM(Z138))=0,LEN(TRIM(AA138))=0),"Indeterminate",IF(X138&lt;&gt;"OK","Indeterminate",IF(OR(E138="Indeterminate",F138="Indeterminate",G138="Indeterminate",R138="Indeterminate",S138="Indeterminate",T138="Indeterminate",V138="Indeterminate",W138="Indeterminate",Y138="Indeterminate",Z138="Indeterminate",AA138="Indeterminate"),"Indeterminate",IF(OR(E138="Sponsor controlled - invalid",F138="Sponsor veto - invalid",G138="Sponsor/candidate controlled - invalid",H138&lt;&gt;"Yes",I138&lt;&gt;"Yes",J138&lt;&gt;"Yes",R138="Predetermined outcome - invalid",S138="No credible precommitment",T138="Material assistance undisclosed",V138="Missing",V138="Changed after unblinding",W138="Material shared-model generation undisclosed",Y138="No protected reporting channel",Z138="No anonymity/confidentiality protection",AA138="No anti-retaliation safeguard"),"Inadequate",IF(OR(E138="Joint with firewall",F138="Independent with security redaction only",G138="Joint with public rules",K138&lt;&gt;"",AND(L138&lt;&gt;"",LOWER(L138)&lt;&gt;"none"),R138="Declared interest with enforceable firewall",S138="Conditional precommitment with disclosed limits",T138="Material assistance disclosed and separated",W138="Material shared-model generation disclosed",Z138="Not applicable with recorded rationale"),"Adequate with declared controls","Adequate"))))))</f>
        <v/>
      </c>
      <c r="P138">
        <f>IF(AND(O138="",N138=""),"",IF(AND(O138&lt;&gt;"",N138=""),"UNRECORDED",IF(AND(O138="",N138&lt;&gt;""),"ORPHAN_RECORDED",IF(O138=N138,"MATCH","MISMATCH"))))</f>
        <v/>
      </c>
      <c r="X138" s="303">
        <f>IF(COUNTA(E138:J138)+COUNTA(R138:T138)+COUNTA(V138:W138)+COUNTA(Y138:AA138)=0,"",IF(AND(COUNTIF(Vocabulary!$S$5:$S$8,E138)=1,COUNTIF(Vocabulary!$T$5:$T$8,F138)=1,COUNTIF(Vocabulary!$U$5:$U$8,G138)=1,COUNTIF(Vocabulary!$J$5:$J$6,H138)=1,COUNTIF(Vocabulary!$J$5:$J$6,I138)=1,COUNTIF(Vocabulary!$J$5:$J$6,J138)=1,COUNTIF(Vocabulary!$W$5:$W$8,R138)=1,COUNTIF(Vocabulary!$X$5:$X$8,S138)=1,COUNTIF(Vocabulary!$Y$5:$Y$9,T138)=1,COUNTIF(Vocabulary!$Z$5:$Z$8,V138)=1,COUNTIF(Vocabulary!$AA$5:$AA$9,W138)=1,COUNTIF(Vocabulary!$AB$5:$AB$7,Y138)=1,COUNTIF(Vocabulary!$AC$5:$AC$8,Z138)=1,COUNTIF(Vocabulary!$AD$5:$AD$7,AA138)=1),"OK","UNRECOGNISED_CONTROL_VALUE"))</f>
        <v/>
      </c>
      <c r="Y138" s="303" t="n"/>
      <c r="Z138" s="303" t="n"/>
      <c r="AA138" s="303" t="n"/>
    </row>
    <row r="139">
      <c r="O139">
        <f>IF(COUNTA(A139:N139)+COUNTA(Q139:W139)+COUNTA(Y139:AA139)=0,"",IF(OR(LEN(TRIM(A139))=0,LEN(TRIM(B139))=0,LEN(TRIM(C139))=0,LEN(TRIM(D139))=0,LEN(TRIM(E139))=0,LEN(TRIM(F139))=0,LEN(TRIM(G139))=0,LEN(TRIM(H139))=0,LEN(TRIM(I139))=0,LEN(TRIM(J139))=0,LEN(TRIM(R139))=0,LEN(TRIM(S139))=0,LEN(TRIM(T139))=0,LEN(TRIM(V139))=0,LEN(TRIM(W139))=0,LEN(TRIM(Y139))=0,LEN(TRIM(Z139))=0,LEN(TRIM(AA139))=0),"Indeterminate",IF(X139&lt;&gt;"OK","Indeterminate",IF(OR(E139="Indeterminate",F139="Indeterminate",G139="Indeterminate",R139="Indeterminate",S139="Indeterminate",T139="Indeterminate",V139="Indeterminate",W139="Indeterminate",Y139="Indeterminate",Z139="Indeterminate",AA139="Indeterminate"),"Indeterminate",IF(OR(E139="Sponsor controlled - invalid",F139="Sponsor veto - invalid",G139="Sponsor/candidate controlled - invalid",H139&lt;&gt;"Yes",I139&lt;&gt;"Yes",J139&lt;&gt;"Yes",R139="Predetermined outcome - invalid",S139="No credible precommitment",T139="Material assistance undisclosed",V139="Missing",V139="Changed after unblinding",W139="Material shared-model generation undisclosed",Y139="No protected reporting channel",Z139="No anonymity/confidentiality protection",AA139="No anti-retaliation safeguard"),"Inadequate",IF(OR(E139="Joint with firewall",F139="Independent with security redaction only",G139="Joint with public rules",K139&lt;&gt;"",AND(L139&lt;&gt;"",LOWER(L139)&lt;&gt;"none"),R139="Declared interest with enforceable firewall",S139="Conditional precommitment with disclosed limits",T139="Material assistance disclosed and separated",W139="Material shared-model generation disclosed",Z139="Not applicable with recorded rationale"),"Adequate with declared controls","Adequate"))))))</f>
        <v/>
      </c>
      <c r="P139">
        <f>IF(AND(O139="",N139=""),"",IF(AND(O139&lt;&gt;"",N139=""),"UNRECORDED",IF(AND(O139="",N139&lt;&gt;""),"ORPHAN_RECORDED",IF(O139=N139,"MATCH","MISMATCH"))))</f>
        <v/>
      </c>
      <c r="X139" s="303">
        <f>IF(COUNTA(E139:J139)+COUNTA(R139:T139)+COUNTA(V139:W139)+COUNTA(Y139:AA139)=0,"",IF(AND(COUNTIF(Vocabulary!$S$5:$S$8,E139)=1,COUNTIF(Vocabulary!$T$5:$T$8,F139)=1,COUNTIF(Vocabulary!$U$5:$U$8,G139)=1,COUNTIF(Vocabulary!$J$5:$J$6,H139)=1,COUNTIF(Vocabulary!$J$5:$J$6,I139)=1,COUNTIF(Vocabulary!$J$5:$J$6,J139)=1,COUNTIF(Vocabulary!$W$5:$W$8,R139)=1,COUNTIF(Vocabulary!$X$5:$X$8,S139)=1,COUNTIF(Vocabulary!$Y$5:$Y$9,T139)=1,COUNTIF(Vocabulary!$Z$5:$Z$8,V139)=1,COUNTIF(Vocabulary!$AA$5:$AA$9,W139)=1,COUNTIF(Vocabulary!$AB$5:$AB$7,Y139)=1,COUNTIF(Vocabulary!$AC$5:$AC$8,Z139)=1,COUNTIF(Vocabulary!$AD$5:$AD$7,AA139)=1),"OK","UNRECOGNISED_CONTROL_VALUE"))</f>
        <v/>
      </c>
      <c r="Y139" s="303" t="n"/>
      <c r="Z139" s="303" t="n"/>
      <c r="AA139" s="303" t="n"/>
    </row>
    <row r="140">
      <c r="O140">
        <f>IF(COUNTA(A140:N140)+COUNTA(Q140:W140)+COUNTA(Y140:AA140)=0,"",IF(OR(LEN(TRIM(A140))=0,LEN(TRIM(B140))=0,LEN(TRIM(C140))=0,LEN(TRIM(D140))=0,LEN(TRIM(E140))=0,LEN(TRIM(F140))=0,LEN(TRIM(G140))=0,LEN(TRIM(H140))=0,LEN(TRIM(I140))=0,LEN(TRIM(J140))=0,LEN(TRIM(R140))=0,LEN(TRIM(S140))=0,LEN(TRIM(T140))=0,LEN(TRIM(V140))=0,LEN(TRIM(W140))=0,LEN(TRIM(Y140))=0,LEN(TRIM(Z140))=0,LEN(TRIM(AA140))=0),"Indeterminate",IF(X140&lt;&gt;"OK","Indeterminate",IF(OR(E140="Indeterminate",F140="Indeterminate",G140="Indeterminate",R140="Indeterminate",S140="Indeterminate",T140="Indeterminate",V140="Indeterminate",W140="Indeterminate",Y140="Indeterminate",Z140="Indeterminate",AA140="Indeterminate"),"Indeterminate",IF(OR(E140="Sponsor controlled - invalid",F140="Sponsor veto - invalid",G140="Sponsor/candidate controlled - invalid",H140&lt;&gt;"Yes",I140&lt;&gt;"Yes",J140&lt;&gt;"Yes",R140="Predetermined outcome - invalid",S140="No credible precommitment",T140="Material assistance undisclosed",V140="Missing",V140="Changed after unblinding",W140="Material shared-model generation undisclosed",Y140="No protected reporting channel",Z140="No anonymity/confidentiality protection",AA140="No anti-retaliation safeguard"),"Inadequate",IF(OR(E140="Joint with firewall",F140="Independent with security redaction only",G140="Joint with public rules",K140&lt;&gt;"",AND(L140&lt;&gt;"",LOWER(L140)&lt;&gt;"none"),R140="Declared interest with enforceable firewall",S140="Conditional precommitment with disclosed limits",T140="Material assistance disclosed and separated",W140="Material shared-model generation disclosed",Z140="Not applicable with recorded rationale"),"Adequate with declared controls","Adequate"))))))</f>
        <v/>
      </c>
      <c r="P140">
        <f>IF(AND(O140="",N140=""),"",IF(AND(O140&lt;&gt;"",N140=""),"UNRECORDED",IF(AND(O140="",N140&lt;&gt;""),"ORPHAN_RECORDED",IF(O140=N140,"MATCH","MISMATCH"))))</f>
        <v/>
      </c>
      <c r="X140" s="303">
        <f>IF(COUNTA(E140:J140)+COUNTA(R140:T140)+COUNTA(V140:W140)+COUNTA(Y140:AA140)=0,"",IF(AND(COUNTIF(Vocabulary!$S$5:$S$8,E140)=1,COUNTIF(Vocabulary!$T$5:$T$8,F140)=1,COUNTIF(Vocabulary!$U$5:$U$8,G140)=1,COUNTIF(Vocabulary!$J$5:$J$6,H140)=1,COUNTIF(Vocabulary!$J$5:$J$6,I140)=1,COUNTIF(Vocabulary!$J$5:$J$6,J140)=1,COUNTIF(Vocabulary!$W$5:$W$8,R140)=1,COUNTIF(Vocabulary!$X$5:$X$8,S140)=1,COUNTIF(Vocabulary!$Y$5:$Y$9,T140)=1,COUNTIF(Vocabulary!$Z$5:$Z$8,V140)=1,COUNTIF(Vocabulary!$AA$5:$AA$9,W140)=1,COUNTIF(Vocabulary!$AB$5:$AB$7,Y140)=1,COUNTIF(Vocabulary!$AC$5:$AC$8,Z140)=1,COUNTIF(Vocabulary!$AD$5:$AD$7,AA140)=1),"OK","UNRECOGNISED_CONTROL_VALUE"))</f>
        <v/>
      </c>
      <c r="Y140" s="303" t="n"/>
      <c r="Z140" s="303" t="n"/>
      <c r="AA140" s="303" t="n"/>
    </row>
    <row r="141">
      <c r="O141">
        <f>IF(COUNTA(A141:N141)+COUNTA(Q141:W141)+COUNTA(Y141:AA141)=0,"",IF(OR(LEN(TRIM(A141))=0,LEN(TRIM(B141))=0,LEN(TRIM(C141))=0,LEN(TRIM(D141))=0,LEN(TRIM(E141))=0,LEN(TRIM(F141))=0,LEN(TRIM(G141))=0,LEN(TRIM(H141))=0,LEN(TRIM(I141))=0,LEN(TRIM(J141))=0,LEN(TRIM(R141))=0,LEN(TRIM(S141))=0,LEN(TRIM(T141))=0,LEN(TRIM(V141))=0,LEN(TRIM(W141))=0,LEN(TRIM(Y141))=0,LEN(TRIM(Z141))=0,LEN(TRIM(AA141))=0),"Indeterminate",IF(X141&lt;&gt;"OK","Indeterminate",IF(OR(E141="Indeterminate",F141="Indeterminate",G141="Indeterminate",R141="Indeterminate",S141="Indeterminate",T141="Indeterminate",V141="Indeterminate",W141="Indeterminate",Y141="Indeterminate",Z141="Indeterminate",AA141="Indeterminate"),"Indeterminate",IF(OR(E141="Sponsor controlled - invalid",F141="Sponsor veto - invalid",G141="Sponsor/candidate controlled - invalid",H141&lt;&gt;"Yes",I141&lt;&gt;"Yes",J141&lt;&gt;"Yes",R141="Predetermined outcome - invalid",S141="No credible precommitment",T141="Material assistance undisclosed",V141="Missing",V141="Changed after unblinding",W141="Material shared-model generation undisclosed",Y141="No protected reporting channel",Z141="No anonymity/confidentiality protection",AA141="No anti-retaliation safeguard"),"Inadequate",IF(OR(E141="Joint with firewall",F141="Independent with security redaction only",G141="Joint with public rules",K141&lt;&gt;"",AND(L141&lt;&gt;"",LOWER(L141)&lt;&gt;"none"),R141="Declared interest with enforceable firewall",S141="Conditional precommitment with disclosed limits",T141="Material assistance disclosed and separated",W141="Material shared-model generation disclosed",Z141="Not applicable with recorded rationale"),"Adequate with declared controls","Adequate"))))))</f>
        <v/>
      </c>
      <c r="P141">
        <f>IF(AND(O141="",N141=""),"",IF(AND(O141&lt;&gt;"",N141=""),"UNRECORDED",IF(AND(O141="",N141&lt;&gt;""),"ORPHAN_RECORDED",IF(O141=N141,"MATCH","MISMATCH"))))</f>
        <v/>
      </c>
      <c r="X141" s="303">
        <f>IF(COUNTA(E141:J141)+COUNTA(R141:T141)+COUNTA(V141:W141)+COUNTA(Y141:AA141)=0,"",IF(AND(COUNTIF(Vocabulary!$S$5:$S$8,E141)=1,COUNTIF(Vocabulary!$T$5:$T$8,F141)=1,COUNTIF(Vocabulary!$U$5:$U$8,G141)=1,COUNTIF(Vocabulary!$J$5:$J$6,H141)=1,COUNTIF(Vocabulary!$J$5:$J$6,I141)=1,COUNTIF(Vocabulary!$J$5:$J$6,J141)=1,COUNTIF(Vocabulary!$W$5:$W$8,R141)=1,COUNTIF(Vocabulary!$X$5:$X$8,S141)=1,COUNTIF(Vocabulary!$Y$5:$Y$9,T141)=1,COUNTIF(Vocabulary!$Z$5:$Z$8,V141)=1,COUNTIF(Vocabulary!$AA$5:$AA$9,W141)=1,COUNTIF(Vocabulary!$AB$5:$AB$7,Y141)=1,COUNTIF(Vocabulary!$AC$5:$AC$8,Z141)=1,COUNTIF(Vocabulary!$AD$5:$AD$7,AA141)=1),"OK","UNRECOGNISED_CONTROL_VALUE"))</f>
        <v/>
      </c>
      <c r="Y141" s="303" t="n"/>
      <c r="Z141" s="303" t="n"/>
      <c r="AA141" s="303" t="n"/>
    </row>
    <row r="142">
      <c r="O142">
        <f>IF(COUNTA(A142:N142)+COUNTA(Q142:W142)+COUNTA(Y142:AA142)=0,"",IF(OR(LEN(TRIM(A142))=0,LEN(TRIM(B142))=0,LEN(TRIM(C142))=0,LEN(TRIM(D142))=0,LEN(TRIM(E142))=0,LEN(TRIM(F142))=0,LEN(TRIM(G142))=0,LEN(TRIM(H142))=0,LEN(TRIM(I142))=0,LEN(TRIM(J142))=0,LEN(TRIM(R142))=0,LEN(TRIM(S142))=0,LEN(TRIM(T142))=0,LEN(TRIM(V142))=0,LEN(TRIM(W142))=0,LEN(TRIM(Y142))=0,LEN(TRIM(Z142))=0,LEN(TRIM(AA142))=0),"Indeterminate",IF(X142&lt;&gt;"OK","Indeterminate",IF(OR(E142="Indeterminate",F142="Indeterminate",G142="Indeterminate",R142="Indeterminate",S142="Indeterminate",T142="Indeterminate",V142="Indeterminate",W142="Indeterminate",Y142="Indeterminate",Z142="Indeterminate",AA142="Indeterminate"),"Indeterminate",IF(OR(E142="Sponsor controlled - invalid",F142="Sponsor veto - invalid",G142="Sponsor/candidate controlled - invalid",H142&lt;&gt;"Yes",I142&lt;&gt;"Yes",J142&lt;&gt;"Yes",R142="Predetermined outcome - invalid",S142="No credible precommitment",T142="Material assistance undisclosed",V142="Missing",V142="Changed after unblinding",W142="Material shared-model generation undisclosed",Y142="No protected reporting channel",Z142="No anonymity/confidentiality protection",AA142="No anti-retaliation safeguard"),"Inadequate",IF(OR(E142="Joint with firewall",F142="Independent with security redaction only",G142="Joint with public rules",K142&lt;&gt;"",AND(L142&lt;&gt;"",LOWER(L142)&lt;&gt;"none"),R142="Declared interest with enforceable firewall",S142="Conditional precommitment with disclosed limits",T142="Material assistance disclosed and separated",W142="Material shared-model generation disclosed",Z142="Not applicable with recorded rationale"),"Adequate with declared controls","Adequate"))))))</f>
        <v/>
      </c>
      <c r="P142">
        <f>IF(AND(O142="",N142=""),"",IF(AND(O142&lt;&gt;"",N142=""),"UNRECORDED",IF(AND(O142="",N142&lt;&gt;""),"ORPHAN_RECORDED",IF(O142=N142,"MATCH","MISMATCH"))))</f>
        <v/>
      </c>
      <c r="X142" s="303">
        <f>IF(COUNTA(E142:J142)+COUNTA(R142:T142)+COUNTA(V142:W142)+COUNTA(Y142:AA142)=0,"",IF(AND(COUNTIF(Vocabulary!$S$5:$S$8,E142)=1,COUNTIF(Vocabulary!$T$5:$T$8,F142)=1,COUNTIF(Vocabulary!$U$5:$U$8,G142)=1,COUNTIF(Vocabulary!$J$5:$J$6,H142)=1,COUNTIF(Vocabulary!$J$5:$J$6,I142)=1,COUNTIF(Vocabulary!$J$5:$J$6,J142)=1,COUNTIF(Vocabulary!$W$5:$W$8,R142)=1,COUNTIF(Vocabulary!$X$5:$X$8,S142)=1,COUNTIF(Vocabulary!$Y$5:$Y$9,T142)=1,COUNTIF(Vocabulary!$Z$5:$Z$8,V142)=1,COUNTIF(Vocabulary!$AA$5:$AA$9,W142)=1,COUNTIF(Vocabulary!$AB$5:$AB$7,Y142)=1,COUNTIF(Vocabulary!$AC$5:$AC$8,Z142)=1,COUNTIF(Vocabulary!$AD$5:$AD$7,AA142)=1),"OK","UNRECOGNISED_CONTROL_VALUE"))</f>
        <v/>
      </c>
      <c r="Y142" s="303" t="n"/>
      <c r="Z142" s="303" t="n"/>
      <c r="AA142" s="303" t="n"/>
    </row>
    <row r="143">
      <c r="O143">
        <f>IF(COUNTA(A143:N143)+COUNTA(Q143:W143)+COUNTA(Y143:AA143)=0,"",IF(OR(LEN(TRIM(A143))=0,LEN(TRIM(B143))=0,LEN(TRIM(C143))=0,LEN(TRIM(D143))=0,LEN(TRIM(E143))=0,LEN(TRIM(F143))=0,LEN(TRIM(G143))=0,LEN(TRIM(H143))=0,LEN(TRIM(I143))=0,LEN(TRIM(J143))=0,LEN(TRIM(R143))=0,LEN(TRIM(S143))=0,LEN(TRIM(T143))=0,LEN(TRIM(V143))=0,LEN(TRIM(W143))=0,LEN(TRIM(Y143))=0,LEN(TRIM(Z143))=0,LEN(TRIM(AA143))=0),"Indeterminate",IF(X143&lt;&gt;"OK","Indeterminate",IF(OR(E143="Indeterminate",F143="Indeterminate",G143="Indeterminate",R143="Indeterminate",S143="Indeterminate",T143="Indeterminate",V143="Indeterminate",W143="Indeterminate",Y143="Indeterminate",Z143="Indeterminate",AA143="Indeterminate"),"Indeterminate",IF(OR(E143="Sponsor controlled - invalid",F143="Sponsor veto - invalid",G143="Sponsor/candidate controlled - invalid",H143&lt;&gt;"Yes",I143&lt;&gt;"Yes",J143&lt;&gt;"Yes",R143="Predetermined outcome - invalid",S143="No credible precommitment",T143="Material assistance undisclosed",V143="Missing",V143="Changed after unblinding",W143="Material shared-model generation undisclosed",Y143="No protected reporting channel",Z143="No anonymity/confidentiality protection",AA143="No anti-retaliation safeguard"),"Inadequate",IF(OR(E143="Joint with firewall",F143="Independent with security redaction only",G143="Joint with public rules",K143&lt;&gt;"",AND(L143&lt;&gt;"",LOWER(L143)&lt;&gt;"none"),R143="Declared interest with enforceable firewall",S143="Conditional precommitment with disclosed limits",T143="Material assistance disclosed and separated",W143="Material shared-model generation disclosed",Z143="Not applicable with recorded rationale"),"Adequate with declared controls","Adequate"))))))</f>
        <v/>
      </c>
      <c r="P143">
        <f>IF(AND(O143="",N143=""),"",IF(AND(O143&lt;&gt;"",N143=""),"UNRECORDED",IF(AND(O143="",N143&lt;&gt;""),"ORPHAN_RECORDED",IF(O143=N143,"MATCH","MISMATCH"))))</f>
        <v/>
      </c>
      <c r="X143" s="303">
        <f>IF(COUNTA(E143:J143)+COUNTA(R143:T143)+COUNTA(V143:W143)+COUNTA(Y143:AA143)=0,"",IF(AND(COUNTIF(Vocabulary!$S$5:$S$8,E143)=1,COUNTIF(Vocabulary!$T$5:$T$8,F143)=1,COUNTIF(Vocabulary!$U$5:$U$8,G143)=1,COUNTIF(Vocabulary!$J$5:$J$6,H143)=1,COUNTIF(Vocabulary!$J$5:$J$6,I143)=1,COUNTIF(Vocabulary!$J$5:$J$6,J143)=1,COUNTIF(Vocabulary!$W$5:$W$8,R143)=1,COUNTIF(Vocabulary!$X$5:$X$8,S143)=1,COUNTIF(Vocabulary!$Y$5:$Y$9,T143)=1,COUNTIF(Vocabulary!$Z$5:$Z$8,V143)=1,COUNTIF(Vocabulary!$AA$5:$AA$9,W143)=1,COUNTIF(Vocabulary!$AB$5:$AB$7,Y143)=1,COUNTIF(Vocabulary!$AC$5:$AC$8,Z143)=1,COUNTIF(Vocabulary!$AD$5:$AD$7,AA143)=1),"OK","UNRECOGNISED_CONTROL_VALUE"))</f>
        <v/>
      </c>
      <c r="Y143" s="303" t="n"/>
      <c r="Z143" s="303" t="n"/>
      <c r="AA143" s="303" t="n"/>
    </row>
    <row r="144">
      <c r="O144">
        <f>IF(COUNTA(A144:N144)+COUNTA(Q144:W144)+COUNTA(Y144:AA144)=0,"",IF(OR(LEN(TRIM(A144))=0,LEN(TRIM(B144))=0,LEN(TRIM(C144))=0,LEN(TRIM(D144))=0,LEN(TRIM(E144))=0,LEN(TRIM(F144))=0,LEN(TRIM(G144))=0,LEN(TRIM(H144))=0,LEN(TRIM(I144))=0,LEN(TRIM(J144))=0,LEN(TRIM(R144))=0,LEN(TRIM(S144))=0,LEN(TRIM(T144))=0,LEN(TRIM(V144))=0,LEN(TRIM(W144))=0,LEN(TRIM(Y144))=0,LEN(TRIM(Z144))=0,LEN(TRIM(AA144))=0),"Indeterminate",IF(X144&lt;&gt;"OK","Indeterminate",IF(OR(E144="Indeterminate",F144="Indeterminate",G144="Indeterminate",R144="Indeterminate",S144="Indeterminate",T144="Indeterminate",V144="Indeterminate",W144="Indeterminate",Y144="Indeterminate",Z144="Indeterminate",AA144="Indeterminate"),"Indeterminate",IF(OR(E144="Sponsor controlled - invalid",F144="Sponsor veto - invalid",G144="Sponsor/candidate controlled - invalid",H144&lt;&gt;"Yes",I144&lt;&gt;"Yes",J144&lt;&gt;"Yes",R144="Predetermined outcome - invalid",S144="No credible precommitment",T144="Material assistance undisclosed",V144="Missing",V144="Changed after unblinding",W144="Material shared-model generation undisclosed",Y144="No protected reporting channel",Z144="No anonymity/confidentiality protection",AA144="No anti-retaliation safeguard"),"Inadequate",IF(OR(E144="Joint with firewall",F144="Independent with security redaction only",G144="Joint with public rules",K144&lt;&gt;"",AND(L144&lt;&gt;"",LOWER(L144)&lt;&gt;"none"),R144="Declared interest with enforceable firewall",S144="Conditional precommitment with disclosed limits",T144="Material assistance disclosed and separated",W144="Material shared-model generation disclosed",Z144="Not applicable with recorded rationale"),"Adequate with declared controls","Adequate"))))))</f>
        <v/>
      </c>
      <c r="P144">
        <f>IF(AND(O144="",N144=""),"",IF(AND(O144&lt;&gt;"",N144=""),"UNRECORDED",IF(AND(O144="",N144&lt;&gt;""),"ORPHAN_RECORDED",IF(O144=N144,"MATCH","MISMATCH"))))</f>
        <v/>
      </c>
      <c r="X144" s="303">
        <f>IF(COUNTA(E144:J144)+COUNTA(R144:T144)+COUNTA(V144:W144)+COUNTA(Y144:AA144)=0,"",IF(AND(COUNTIF(Vocabulary!$S$5:$S$8,E144)=1,COUNTIF(Vocabulary!$T$5:$T$8,F144)=1,COUNTIF(Vocabulary!$U$5:$U$8,G144)=1,COUNTIF(Vocabulary!$J$5:$J$6,H144)=1,COUNTIF(Vocabulary!$J$5:$J$6,I144)=1,COUNTIF(Vocabulary!$J$5:$J$6,J144)=1,COUNTIF(Vocabulary!$W$5:$W$8,R144)=1,COUNTIF(Vocabulary!$X$5:$X$8,S144)=1,COUNTIF(Vocabulary!$Y$5:$Y$9,T144)=1,COUNTIF(Vocabulary!$Z$5:$Z$8,V144)=1,COUNTIF(Vocabulary!$AA$5:$AA$9,W144)=1,COUNTIF(Vocabulary!$AB$5:$AB$7,Y144)=1,COUNTIF(Vocabulary!$AC$5:$AC$8,Z144)=1,COUNTIF(Vocabulary!$AD$5:$AD$7,AA144)=1),"OK","UNRECOGNISED_CONTROL_VALUE"))</f>
        <v/>
      </c>
      <c r="Y144" s="303" t="n"/>
      <c r="Z144" s="303" t="n"/>
      <c r="AA144" s="303" t="n"/>
    </row>
    <row r="145">
      <c r="O145">
        <f>IF(COUNTA(A145:N145)+COUNTA(Q145:W145)+COUNTA(Y145:AA145)=0,"",IF(OR(LEN(TRIM(A145))=0,LEN(TRIM(B145))=0,LEN(TRIM(C145))=0,LEN(TRIM(D145))=0,LEN(TRIM(E145))=0,LEN(TRIM(F145))=0,LEN(TRIM(G145))=0,LEN(TRIM(H145))=0,LEN(TRIM(I145))=0,LEN(TRIM(J145))=0,LEN(TRIM(R145))=0,LEN(TRIM(S145))=0,LEN(TRIM(T145))=0,LEN(TRIM(V145))=0,LEN(TRIM(W145))=0,LEN(TRIM(Y145))=0,LEN(TRIM(Z145))=0,LEN(TRIM(AA145))=0),"Indeterminate",IF(X145&lt;&gt;"OK","Indeterminate",IF(OR(E145="Indeterminate",F145="Indeterminate",G145="Indeterminate",R145="Indeterminate",S145="Indeterminate",T145="Indeterminate",V145="Indeterminate",W145="Indeterminate",Y145="Indeterminate",Z145="Indeterminate",AA145="Indeterminate"),"Indeterminate",IF(OR(E145="Sponsor controlled - invalid",F145="Sponsor veto - invalid",G145="Sponsor/candidate controlled - invalid",H145&lt;&gt;"Yes",I145&lt;&gt;"Yes",J145&lt;&gt;"Yes",R145="Predetermined outcome - invalid",S145="No credible precommitment",T145="Material assistance undisclosed",V145="Missing",V145="Changed after unblinding",W145="Material shared-model generation undisclosed",Y145="No protected reporting channel",Z145="No anonymity/confidentiality protection",AA145="No anti-retaliation safeguard"),"Inadequate",IF(OR(E145="Joint with firewall",F145="Independent with security redaction only",G145="Joint with public rules",K145&lt;&gt;"",AND(L145&lt;&gt;"",LOWER(L145)&lt;&gt;"none"),R145="Declared interest with enforceable firewall",S145="Conditional precommitment with disclosed limits",T145="Material assistance disclosed and separated",W145="Material shared-model generation disclosed",Z145="Not applicable with recorded rationale"),"Adequate with declared controls","Adequate"))))))</f>
        <v/>
      </c>
      <c r="P145">
        <f>IF(AND(O145="",N145=""),"",IF(AND(O145&lt;&gt;"",N145=""),"UNRECORDED",IF(AND(O145="",N145&lt;&gt;""),"ORPHAN_RECORDED",IF(O145=N145,"MATCH","MISMATCH"))))</f>
        <v/>
      </c>
      <c r="X145" s="303">
        <f>IF(COUNTA(E145:J145)+COUNTA(R145:T145)+COUNTA(V145:W145)+COUNTA(Y145:AA145)=0,"",IF(AND(COUNTIF(Vocabulary!$S$5:$S$8,E145)=1,COUNTIF(Vocabulary!$T$5:$T$8,F145)=1,COUNTIF(Vocabulary!$U$5:$U$8,G145)=1,COUNTIF(Vocabulary!$J$5:$J$6,H145)=1,COUNTIF(Vocabulary!$J$5:$J$6,I145)=1,COUNTIF(Vocabulary!$J$5:$J$6,J145)=1,COUNTIF(Vocabulary!$W$5:$W$8,R145)=1,COUNTIF(Vocabulary!$X$5:$X$8,S145)=1,COUNTIF(Vocabulary!$Y$5:$Y$9,T145)=1,COUNTIF(Vocabulary!$Z$5:$Z$8,V145)=1,COUNTIF(Vocabulary!$AA$5:$AA$9,W145)=1,COUNTIF(Vocabulary!$AB$5:$AB$7,Y145)=1,COUNTIF(Vocabulary!$AC$5:$AC$8,Z145)=1,COUNTIF(Vocabulary!$AD$5:$AD$7,AA145)=1),"OK","UNRECOGNISED_CONTROL_VALUE"))</f>
        <v/>
      </c>
      <c r="Y145" s="303" t="n"/>
      <c r="Z145" s="303" t="n"/>
      <c r="AA145" s="303" t="n"/>
    </row>
    <row r="146">
      <c r="O146">
        <f>IF(COUNTA(A146:N146)+COUNTA(Q146:W146)+COUNTA(Y146:AA146)=0,"",IF(OR(LEN(TRIM(A146))=0,LEN(TRIM(B146))=0,LEN(TRIM(C146))=0,LEN(TRIM(D146))=0,LEN(TRIM(E146))=0,LEN(TRIM(F146))=0,LEN(TRIM(G146))=0,LEN(TRIM(H146))=0,LEN(TRIM(I146))=0,LEN(TRIM(J146))=0,LEN(TRIM(R146))=0,LEN(TRIM(S146))=0,LEN(TRIM(T146))=0,LEN(TRIM(V146))=0,LEN(TRIM(W146))=0,LEN(TRIM(Y146))=0,LEN(TRIM(Z146))=0,LEN(TRIM(AA146))=0),"Indeterminate",IF(X146&lt;&gt;"OK","Indeterminate",IF(OR(E146="Indeterminate",F146="Indeterminate",G146="Indeterminate",R146="Indeterminate",S146="Indeterminate",T146="Indeterminate",V146="Indeterminate",W146="Indeterminate",Y146="Indeterminate",Z146="Indeterminate",AA146="Indeterminate"),"Indeterminate",IF(OR(E146="Sponsor controlled - invalid",F146="Sponsor veto - invalid",G146="Sponsor/candidate controlled - invalid",H146&lt;&gt;"Yes",I146&lt;&gt;"Yes",J146&lt;&gt;"Yes",R146="Predetermined outcome - invalid",S146="No credible precommitment",T146="Material assistance undisclosed",V146="Missing",V146="Changed after unblinding",W146="Material shared-model generation undisclosed",Y146="No protected reporting channel",Z146="No anonymity/confidentiality protection",AA146="No anti-retaliation safeguard"),"Inadequate",IF(OR(E146="Joint with firewall",F146="Independent with security redaction only",G146="Joint with public rules",K146&lt;&gt;"",AND(L146&lt;&gt;"",LOWER(L146)&lt;&gt;"none"),R146="Declared interest with enforceable firewall",S146="Conditional precommitment with disclosed limits",T146="Material assistance disclosed and separated",W146="Material shared-model generation disclosed",Z146="Not applicable with recorded rationale"),"Adequate with declared controls","Adequate"))))))</f>
        <v/>
      </c>
      <c r="P146">
        <f>IF(AND(O146="",N146=""),"",IF(AND(O146&lt;&gt;"",N146=""),"UNRECORDED",IF(AND(O146="",N146&lt;&gt;""),"ORPHAN_RECORDED",IF(O146=N146,"MATCH","MISMATCH"))))</f>
        <v/>
      </c>
      <c r="X146" s="303">
        <f>IF(COUNTA(E146:J146)+COUNTA(R146:T146)+COUNTA(V146:W146)+COUNTA(Y146:AA146)=0,"",IF(AND(COUNTIF(Vocabulary!$S$5:$S$8,E146)=1,COUNTIF(Vocabulary!$T$5:$T$8,F146)=1,COUNTIF(Vocabulary!$U$5:$U$8,G146)=1,COUNTIF(Vocabulary!$J$5:$J$6,H146)=1,COUNTIF(Vocabulary!$J$5:$J$6,I146)=1,COUNTIF(Vocabulary!$J$5:$J$6,J146)=1,COUNTIF(Vocabulary!$W$5:$W$8,R146)=1,COUNTIF(Vocabulary!$X$5:$X$8,S146)=1,COUNTIF(Vocabulary!$Y$5:$Y$9,T146)=1,COUNTIF(Vocabulary!$Z$5:$Z$8,V146)=1,COUNTIF(Vocabulary!$AA$5:$AA$9,W146)=1,COUNTIF(Vocabulary!$AB$5:$AB$7,Y146)=1,COUNTIF(Vocabulary!$AC$5:$AC$8,Z146)=1,COUNTIF(Vocabulary!$AD$5:$AD$7,AA146)=1),"OK","UNRECOGNISED_CONTROL_VALUE"))</f>
        <v/>
      </c>
      <c r="Y146" s="303" t="n"/>
      <c r="Z146" s="303" t="n"/>
      <c r="AA146" s="303" t="n"/>
    </row>
    <row r="147">
      <c r="O147">
        <f>IF(COUNTA(A147:N147)+COUNTA(Q147:W147)+COUNTA(Y147:AA147)=0,"",IF(OR(LEN(TRIM(A147))=0,LEN(TRIM(B147))=0,LEN(TRIM(C147))=0,LEN(TRIM(D147))=0,LEN(TRIM(E147))=0,LEN(TRIM(F147))=0,LEN(TRIM(G147))=0,LEN(TRIM(H147))=0,LEN(TRIM(I147))=0,LEN(TRIM(J147))=0,LEN(TRIM(R147))=0,LEN(TRIM(S147))=0,LEN(TRIM(T147))=0,LEN(TRIM(V147))=0,LEN(TRIM(W147))=0,LEN(TRIM(Y147))=0,LEN(TRIM(Z147))=0,LEN(TRIM(AA147))=0),"Indeterminate",IF(X147&lt;&gt;"OK","Indeterminate",IF(OR(E147="Indeterminate",F147="Indeterminate",G147="Indeterminate",R147="Indeterminate",S147="Indeterminate",T147="Indeterminate",V147="Indeterminate",W147="Indeterminate",Y147="Indeterminate",Z147="Indeterminate",AA147="Indeterminate"),"Indeterminate",IF(OR(E147="Sponsor controlled - invalid",F147="Sponsor veto - invalid",G147="Sponsor/candidate controlled - invalid",H147&lt;&gt;"Yes",I147&lt;&gt;"Yes",J147&lt;&gt;"Yes",R147="Predetermined outcome - invalid",S147="No credible precommitment",T147="Material assistance undisclosed",V147="Missing",V147="Changed after unblinding",W147="Material shared-model generation undisclosed",Y147="No protected reporting channel",Z147="No anonymity/confidentiality protection",AA147="No anti-retaliation safeguard"),"Inadequate",IF(OR(E147="Joint with firewall",F147="Independent with security redaction only",G147="Joint with public rules",K147&lt;&gt;"",AND(L147&lt;&gt;"",LOWER(L147)&lt;&gt;"none"),R147="Declared interest with enforceable firewall",S147="Conditional precommitment with disclosed limits",T147="Material assistance disclosed and separated",W147="Material shared-model generation disclosed",Z147="Not applicable with recorded rationale"),"Adequate with declared controls","Adequate"))))))</f>
        <v/>
      </c>
      <c r="P147">
        <f>IF(AND(O147="",N147=""),"",IF(AND(O147&lt;&gt;"",N147=""),"UNRECORDED",IF(AND(O147="",N147&lt;&gt;""),"ORPHAN_RECORDED",IF(O147=N147,"MATCH","MISMATCH"))))</f>
        <v/>
      </c>
      <c r="X147" s="303">
        <f>IF(COUNTA(E147:J147)+COUNTA(R147:T147)+COUNTA(V147:W147)+COUNTA(Y147:AA147)=0,"",IF(AND(COUNTIF(Vocabulary!$S$5:$S$8,E147)=1,COUNTIF(Vocabulary!$T$5:$T$8,F147)=1,COUNTIF(Vocabulary!$U$5:$U$8,G147)=1,COUNTIF(Vocabulary!$J$5:$J$6,H147)=1,COUNTIF(Vocabulary!$J$5:$J$6,I147)=1,COUNTIF(Vocabulary!$J$5:$J$6,J147)=1,COUNTIF(Vocabulary!$W$5:$W$8,R147)=1,COUNTIF(Vocabulary!$X$5:$X$8,S147)=1,COUNTIF(Vocabulary!$Y$5:$Y$9,T147)=1,COUNTIF(Vocabulary!$Z$5:$Z$8,V147)=1,COUNTIF(Vocabulary!$AA$5:$AA$9,W147)=1,COUNTIF(Vocabulary!$AB$5:$AB$7,Y147)=1,COUNTIF(Vocabulary!$AC$5:$AC$8,Z147)=1,COUNTIF(Vocabulary!$AD$5:$AD$7,AA147)=1),"OK","UNRECOGNISED_CONTROL_VALUE"))</f>
        <v/>
      </c>
      <c r="Y147" s="303" t="n"/>
      <c r="Z147" s="303" t="n"/>
      <c r="AA147" s="303" t="n"/>
    </row>
    <row r="148">
      <c r="O148">
        <f>IF(COUNTA(A148:N148)+COUNTA(Q148:W148)+COUNTA(Y148:AA148)=0,"",IF(OR(LEN(TRIM(A148))=0,LEN(TRIM(B148))=0,LEN(TRIM(C148))=0,LEN(TRIM(D148))=0,LEN(TRIM(E148))=0,LEN(TRIM(F148))=0,LEN(TRIM(G148))=0,LEN(TRIM(H148))=0,LEN(TRIM(I148))=0,LEN(TRIM(J148))=0,LEN(TRIM(R148))=0,LEN(TRIM(S148))=0,LEN(TRIM(T148))=0,LEN(TRIM(V148))=0,LEN(TRIM(W148))=0,LEN(TRIM(Y148))=0,LEN(TRIM(Z148))=0,LEN(TRIM(AA148))=0),"Indeterminate",IF(X148&lt;&gt;"OK","Indeterminate",IF(OR(E148="Indeterminate",F148="Indeterminate",G148="Indeterminate",R148="Indeterminate",S148="Indeterminate",T148="Indeterminate",V148="Indeterminate",W148="Indeterminate",Y148="Indeterminate",Z148="Indeterminate",AA148="Indeterminate"),"Indeterminate",IF(OR(E148="Sponsor controlled - invalid",F148="Sponsor veto - invalid",G148="Sponsor/candidate controlled - invalid",H148&lt;&gt;"Yes",I148&lt;&gt;"Yes",J148&lt;&gt;"Yes",R148="Predetermined outcome - invalid",S148="No credible precommitment",T148="Material assistance undisclosed",V148="Missing",V148="Changed after unblinding",W148="Material shared-model generation undisclosed",Y148="No protected reporting channel",Z148="No anonymity/confidentiality protection",AA148="No anti-retaliation safeguard"),"Inadequate",IF(OR(E148="Joint with firewall",F148="Independent with security redaction only",G148="Joint with public rules",K148&lt;&gt;"",AND(L148&lt;&gt;"",LOWER(L148)&lt;&gt;"none"),R148="Declared interest with enforceable firewall",S148="Conditional precommitment with disclosed limits",T148="Material assistance disclosed and separated",W148="Material shared-model generation disclosed",Z148="Not applicable with recorded rationale"),"Adequate with declared controls","Adequate"))))))</f>
        <v/>
      </c>
      <c r="P148">
        <f>IF(AND(O148="",N148=""),"",IF(AND(O148&lt;&gt;"",N148=""),"UNRECORDED",IF(AND(O148="",N148&lt;&gt;""),"ORPHAN_RECORDED",IF(O148=N148,"MATCH","MISMATCH"))))</f>
        <v/>
      </c>
      <c r="X148" s="303">
        <f>IF(COUNTA(E148:J148)+COUNTA(R148:T148)+COUNTA(V148:W148)+COUNTA(Y148:AA148)=0,"",IF(AND(COUNTIF(Vocabulary!$S$5:$S$8,E148)=1,COUNTIF(Vocabulary!$T$5:$T$8,F148)=1,COUNTIF(Vocabulary!$U$5:$U$8,G148)=1,COUNTIF(Vocabulary!$J$5:$J$6,H148)=1,COUNTIF(Vocabulary!$J$5:$J$6,I148)=1,COUNTIF(Vocabulary!$J$5:$J$6,J148)=1,COUNTIF(Vocabulary!$W$5:$W$8,R148)=1,COUNTIF(Vocabulary!$X$5:$X$8,S148)=1,COUNTIF(Vocabulary!$Y$5:$Y$9,T148)=1,COUNTIF(Vocabulary!$Z$5:$Z$8,V148)=1,COUNTIF(Vocabulary!$AA$5:$AA$9,W148)=1,COUNTIF(Vocabulary!$AB$5:$AB$7,Y148)=1,COUNTIF(Vocabulary!$AC$5:$AC$8,Z148)=1,COUNTIF(Vocabulary!$AD$5:$AD$7,AA148)=1),"OK","UNRECOGNISED_CONTROL_VALUE"))</f>
        <v/>
      </c>
      <c r="Y148" s="303" t="n"/>
      <c r="Z148" s="303" t="n"/>
      <c r="AA148" s="303" t="n"/>
    </row>
    <row r="149">
      <c r="O149">
        <f>IF(COUNTA(A149:N149)+COUNTA(Q149:W149)+COUNTA(Y149:AA149)=0,"",IF(OR(LEN(TRIM(A149))=0,LEN(TRIM(B149))=0,LEN(TRIM(C149))=0,LEN(TRIM(D149))=0,LEN(TRIM(E149))=0,LEN(TRIM(F149))=0,LEN(TRIM(G149))=0,LEN(TRIM(H149))=0,LEN(TRIM(I149))=0,LEN(TRIM(J149))=0,LEN(TRIM(R149))=0,LEN(TRIM(S149))=0,LEN(TRIM(T149))=0,LEN(TRIM(V149))=0,LEN(TRIM(W149))=0,LEN(TRIM(Y149))=0,LEN(TRIM(Z149))=0,LEN(TRIM(AA149))=0),"Indeterminate",IF(X149&lt;&gt;"OK","Indeterminate",IF(OR(E149="Indeterminate",F149="Indeterminate",G149="Indeterminate",R149="Indeterminate",S149="Indeterminate",T149="Indeterminate",V149="Indeterminate",W149="Indeterminate",Y149="Indeterminate",Z149="Indeterminate",AA149="Indeterminate"),"Indeterminate",IF(OR(E149="Sponsor controlled - invalid",F149="Sponsor veto - invalid",G149="Sponsor/candidate controlled - invalid",H149&lt;&gt;"Yes",I149&lt;&gt;"Yes",J149&lt;&gt;"Yes",R149="Predetermined outcome - invalid",S149="No credible precommitment",T149="Material assistance undisclosed",V149="Missing",V149="Changed after unblinding",W149="Material shared-model generation undisclosed",Y149="No protected reporting channel",Z149="No anonymity/confidentiality protection",AA149="No anti-retaliation safeguard"),"Inadequate",IF(OR(E149="Joint with firewall",F149="Independent with security redaction only",G149="Joint with public rules",K149&lt;&gt;"",AND(L149&lt;&gt;"",LOWER(L149)&lt;&gt;"none"),R149="Declared interest with enforceable firewall",S149="Conditional precommitment with disclosed limits",T149="Material assistance disclosed and separated",W149="Material shared-model generation disclosed",Z149="Not applicable with recorded rationale"),"Adequate with declared controls","Adequate"))))))</f>
        <v/>
      </c>
      <c r="P149">
        <f>IF(AND(O149="",N149=""),"",IF(AND(O149&lt;&gt;"",N149=""),"UNRECORDED",IF(AND(O149="",N149&lt;&gt;""),"ORPHAN_RECORDED",IF(O149=N149,"MATCH","MISMATCH"))))</f>
        <v/>
      </c>
      <c r="X149" s="303">
        <f>IF(COUNTA(E149:J149)+COUNTA(R149:T149)+COUNTA(V149:W149)+COUNTA(Y149:AA149)=0,"",IF(AND(COUNTIF(Vocabulary!$S$5:$S$8,E149)=1,COUNTIF(Vocabulary!$T$5:$T$8,F149)=1,COUNTIF(Vocabulary!$U$5:$U$8,G149)=1,COUNTIF(Vocabulary!$J$5:$J$6,H149)=1,COUNTIF(Vocabulary!$J$5:$J$6,I149)=1,COUNTIF(Vocabulary!$J$5:$J$6,J149)=1,COUNTIF(Vocabulary!$W$5:$W$8,R149)=1,COUNTIF(Vocabulary!$X$5:$X$8,S149)=1,COUNTIF(Vocabulary!$Y$5:$Y$9,T149)=1,COUNTIF(Vocabulary!$Z$5:$Z$8,V149)=1,COUNTIF(Vocabulary!$AA$5:$AA$9,W149)=1,COUNTIF(Vocabulary!$AB$5:$AB$7,Y149)=1,COUNTIF(Vocabulary!$AC$5:$AC$8,Z149)=1,COUNTIF(Vocabulary!$AD$5:$AD$7,AA149)=1),"OK","UNRECOGNISED_CONTROL_VALUE"))</f>
        <v/>
      </c>
      <c r="Y149" s="303" t="n"/>
      <c r="Z149" s="303" t="n"/>
      <c r="AA149" s="303" t="n"/>
    </row>
    <row r="150">
      <c r="O150">
        <f>IF(COUNTA(A150:N150)+COUNTA(Q150:W150)+COUNTA(Y150:AA150)=0,"",IF(OR(LEN(TRIM(A150))=0,LEN(TRIM(B150))=0,LEN(TRIM(C150))=0,LEN(TRIM(D150))=0,LEN(TRIM(E150))=0,LEN(TRIM(F150))=0,LEN(TRIM(G150))=0,LEN(TRIM(H150))=0,LEN(TRIM(I150))=0,LEN(TRIM(J150))=0,LEN(TRIM(R150))=0,LEN(TRIM(S150))=0,LEN(TRIM(T150))=0,LEN(TRIM(V150))=0,LEN(TRIM(W150))=0,LEN(TRIM(Y150))=0,LEN(TRIM(Z150))=0,LEN(TRIM(AA150))=0),"Indeterminate",IF(X150&lt;&gt;"OK","Indeterminate",IF(OR(E150="Indeterminate",F150="Indeterminate",G150="Indeterminate",R150="Indeterminate",S150="Indeterminate",T150="Indeterminate",V150="Indeterminate",W150="Indeterminate",Y150="Indeterminate",Z150="Indeterminate",AA150="Indeterminate"),"Indeterminate",IF(OR(E150="Sponsor controlled - invalid",F150="Sponsor veto - invalid",G150="Sponsor/candidate controlled - invalid",H150&lt;&gt;"Yes",I150&lt;&gt;"Yes",J150&lt;&gt;"Yes",R150="Predetermined outcome - invalid",S150="No credible precommitment",T150="Material assistance undisclosed",V150="Missing",V150="Changed after unblinding",W150="Material shared-model generation undisclosed",Y150="No protected reporting channel",Z150="No anonymity/confidentiality protection",AA150="No anti-retaliation safeguard"),"Inadequate",IF(OR(E150="Joint with firewall",F150="Independent with security redaction only",G150="Joint with public rules",K150&lt;&gt;"",AND(L150&lt;&gt;"",LOWER(L150)&lt;&gt;"none"),R150="Declared interest with enforceable firewall",S150="Conditional precommitment with disclosed limits",T150="Material assistance disclosed and separated",W150="Material shared-model generation disclosed",Z150="Not applicable with recorded rationale"),"Adequate with declared controls","Adequate"))))))</f>
        <v/>
      </c>
      <c r="P150">
        <f>IF(AND(O150="",N150=""),"",IF(AND(O150&lt;&gt;"",N150=""),"UNRECORDED",IF(AND(O150="",N150&lt;&gt;""),"ORPHAN_RECORDED",IF(O150=N150,"MATCH","MISMATCH"))))</f>
        <v/>
      </c>
      <c r="X150" s="303">
        <f>IF(COUNTA(E150:J150)+COUNTA(R150:T150)+COUNTA(V150:W150)+COUNTA(Y150:AA150)=0,"",IF(AND(COUNTIF(Vocabulary!$S$5:$S$8,E150)=1,COUNTIF(Vocabulary!$T$5:$T$8,F150)=1,COUNTIF(Vocabulary!$U$5:$U$8,G150)=1,COUNTIF(Vocabulary!$J$5:$J$6,H150)=1,COUNTIF(Vocabulary!$J$5:$J$6,I150)=1,COUNTIF(Vocabulary!$J$5:$J$6,J150)=1,COUNTIF(Vocabulary!$W$5:$W$8,R150)=1,COUNTIF(Vocabulary!$X$5:$X$8,S150)=1,COUNTIF(Vocabulary!$Y$5:$Y$9,T150)=1,COUNTIF(Vocabulary!$Z$5:$Z$8,V150)=1,COUNTIF(Vocabulary!$AA$5:$AA$9,W150)=1,COUNTIF(Vocabulary!$AB$5:$AB$7,Y150)=1,COUNTIF(Vocabulary!$AC$5:$AC$8,Z150)=1,COUNTIF(Vocabulary!$AD$5:$AD$7,AA150)=1),"OK","UNRECOGNISED_CONTROL_VALUE"))</f>
        <v/>
      </c>
      <c r="Y150" s="303" t="n"/>
      <c r="Z150" s="303" t="n"/>
      <c r="AA150" s="303" t="n"/>
    </row>
    <row r="151">
      <c r="O151">
        <f>IF(COUNTA(A151:N151)+COUNTA(Q151:W151)+COUNTA(Y151:AA151)=0,"",IF(OR(LEN(TRIM(A151))=0,LEN(TRIM(B151))=0,LEN(TRIM(C151))=0,LEN(TRIM(D151))=0,LEN(TRIM(E151))=0,LEN(TRIM(F151))=0,LEN(TRIM(G151))=0,LEN(TRIM(H151))=0,LEN(TRIM(I151))=0,LEN(TRIM(J151))=0,LEN(TRIM(R151))=0,LEN(TRIM(S151))=0,LEN(TRIM(T151))=0,LEN(TRIM(V151))=0,LEN(TRIM(W151))=0,LEN(TRIM(Y151))=0,LEN(TRIM(Z151))=0,LEN(TRIM(AA151))=0),"Indeterminate",IF(X151&lt;&gt;"OK","Indeterminate",IF(OR(E151="Indeterminate",F151="Indeterminate",G151="Indeterminate",R151="Indeterminate",S151="Indeterminate",T151="Indeterminate",V151="Indeterminate",W151="Indeterminate",Y151="Indeterminate",Z151="Indeterminate",AA151="Indeterminate"),"Indeterminate",IF(OR(E151="Sponsor controlled - invalid",F151="Sponsor veto - invalid",G151="Sponsor/candidate controlled - invalid",H151&lt;&gt;"Yes",I151&lt;&gt;"Yes",J151&lt;&gt;"Yes",R151="Predetermined outcome - invalid",S151="No credible precommitment",T151="Material assistance undisclosed",V151="Missing",V151="Changed after unblinding",W151="Material shared-model generation undisclosed",Y151="No protected reporting channel",Z151="No anonymity/confidentiality protection",AA151="No anti-retaliation safeguard"),"Inadequate",IF(OR(E151="Joint with firewall",F151="Independent with security redaction only",G151="Joint with public rules",K151&lt;&gt;"",AND(L151&lt;&gt;"",LOWER(L151)&lt;&gt;"none"),R151="Declared interest with enforceable firewall",S151="Conditional precommitment with disclosed limits",T151="Material assistance disclosed and separated",W151="Material shared-model generation disclosed",Z151="Not applicable with recorded rationale"),"Adequate with declared controls","Adequate"))))))</f>
        <v/>
      </c>
      <c r="P151">
        <f>IF(AND(O151="",N151=""),"",IF(AND(O151&lt;&gt;"",N151=""),"UNRECORDED",IF(AND(O151="",N151&lt;&gt;""),"ORPHAN_RECORDED",IF(O151=N151,"MATCH","MISMATCH"))))</f>
        <v/>
      </c>
      <c r="X151" s="303">
        <f>IF(COUNTA(E151:J151)+COUNTA(R151:T151)+COUNTA(V151:W151)+COUNTA(Y151:AA151)=0,"",IF(AND(COUNTIF(Vocabulary!$S$5:$S$8,E151)=1,COUNTIF(Vocabulary!$T$5:$T$8,F151)=1,COUNTIF(Vocabulary!$U$5:$U$8,G151)=1,COUNTIF(Vocabulary!$J$5:$J$6,H151)=1,COUNTIF(Vocabulary!$J$5:$J$6,I151)=1,COUNTIF(Vocabulary!$J$5:$J$6,J151)=1,COUNTIF(Vocabulary!$W$5:$W$8,R151)=1,COUNTIF(Vocabulary!$X$5:$X$8,S151)=1,COUNTIF(Vocabulary!$Y$5:$Y$9,T151)=1,COUNTIF(Vocabulary!$Z$5:$Z$8,V151)=1,COUNTIF(Vocabulary!$AA$5:$AA$9,W151)=1,COUNTIF(Vocabulary!$AB$5:$AB$7,Y151)=1,COUNTIF(Vocabulary!$AC$5:$AC$8,Z151)=1,COUNTIF(Vocabulary!$AD$5:$AD$7,AA151)=1),"OK","UNRECOGNISED_CONTROL_VALUE"))</f>
        <v/>
      </c>
      <c r="Y151" s="303" t="n"/>
      <c r="Z151" s="303" t="n"/>
      <c r="AA151" s="303" t="n"/>
    </row>
    <row r="152">
      <c r="O152">
        <f>IF(COUNTA(A152:N152)+COUNTA(Q152:W152)+COUNTA(Y152:AA152)=0,"",IF(OR(LEN(TRIM(A152))=0,LEN(TRIM(B152))=0,LEN(TRIM(C152))=0,LEN(TRIM(D152))=0,LEN(TRIM(E152))=0,LEN(TRIM(F152))=0,LEN(TRIM(G152))=0,LEN(TRIM(H152))=0,LEN(TRIM(I152))=0,LEN(TRIM(J152))=0,LEN(TRIM(R152))=0,LEN(TRIM(S152))=0,LEN(TRIM(T152))=0,LEN(TRIM(V152))=0,LEN(TRIM(W152))=0,LEN(TRIM(Y152))=0,LEN(TRIM(Z152))=0,LEN(TRIM(AA152))=0),"Indeterminate",IF(X152&lt;&gt;"OK","Indeterminate",IF(OR(E152="Indeterminate",F152="Indeterminate",G152="Indeterminate",R152="Indeterminate",S152="Indeterminate",T152="Indeterminate",V152="Indeterminate",W152="Indeterminate",Y152="Indeterminate",Z152="Indeterminate",AA152="Indeterminate"),"Indeterminate",IF(OR(E152="Sponsor controlled - invalid",F152="Sponsor veto - invalid",G152="Sponsor/candidate controlled - invalid",H152&lt;&gt;"Yes",I152&lt;&gt;"Yes",J152&lt;&gt;"Yes",R152="Predetermined outcome - invalid",S152="No credible precommitment",T152="Material assistance undisclosed",V152="Missing",V152="Changed after unblinding",W152="Material shared-model generation undisclosed",Y152="No protected reporting channel",Z152="No anonymity/confidentiality protection",AA152="No anti-retaliation safeguard"),"Inadequate",IF(OR(E152="Joint with firewall",F152="Independent with security redaction only",G152="Joint with public rules",K152&lt;&gt;"",AND(L152&lt;&gt;"",LOWER(L152)&lt;&gt;"none"),R152="Declared interest with enforceable firewall",S152="Conditional precommitment with disclosed limits",T152="Material assistance disclosed and separated",W152="Material shared-model generation disclosed",Z152="Not applicable with recorded rationale"),"Adequate with declared controls","Adequate"))))))</f>
        <v/>
      </c>
      <c r="P152">
        <f>IF(AND(O152="",N152=""),"",IF(AND(O152&lt;&gt;"",N152=""),"UNRECORDED",IF(AND(O152="",N152&lt;&gt;""),"ORPHAN_RECORDED",IF(O152=N152,"MATCH","MISMATCH"))))</f>
        <v/>
      </c>
      <c r="X152" s="303">
        <f>IF(COUNTA(E152:J152)+COUNTA(R152:T152)+COUNTA(V152:W152)+COUNTA(Y152:AA152)=0,"",IF(AND(COUNTIF(Vocabulary!$S$5:$S$8,E152)=1,COUNTIF(Vocabulary!$T$5:$T$8,F152)=1,COUNTIF(Vocabulary!$U$5:$U$8,G152)=1,COUNTIF(Vocabulary!$J$5:$J$6,H152)=1,COUNTIF(Vocabulary!$J$5:$J$6,I152)=1,COUNTIF(Vocabulary!$J$5:$J$6,J152)=1,COUNTIF(Vocabulary!$W$5:$W$8,R152)=1,COUNTIF(Vocabulary!$X$5:$X$8,S152)=1,COUNTIF(Vocabulary!$Y$5:$Y$9,T152)=1,COUNTIF(Vocabulary!$Z$5:$Z$8,V152)=1,COUNTIF(Vocabulary!$AA$5:$AA$9,W152)=1,COUNTIF(Vocabulary!$AB$5:$AB$7,Y152)=1,COUNTIF(Vocabulary!$AC$5:$AC$8,Z152)=1,COUNTIF(Vocabulary!$AD$5:$AD$7,AA152)=1),"OK","UNRECOGNISED_CONTROL_VALUE"))</f>
        <v/>
      </c>
      <c r="Y152" s="303" t="n"/>
      <c r="Z152" s="303" t="n"/>
      <c r="AA152" s="303" t="n"/>
    </row>
    <row r="153">
      <c r="O153">
        <f>IF(COUNTA(A153:N153)+COUNTA(Q153:W153)+COUNTA(Y153:AA153)=0,"",IF(OR(LEN(TRIM(A153))=0,LEN(TRIM(B153))=0,LEN(TRIM(C153))=0,LEN(TRIM(D153))=0,LEN(TRIM(E153))=0,LEN(TRIM(F153))=0,LEN(TRIM(G153))=0,LEN(TRIM(H153))=0,LEN(TRIM(I153))=0,LEN(TRIM(J153))=0,LEN(TRIM(R153))=0,LEN(TRIM(S153))=0,LEN(TRIM(T153))=0,LEN(TRIM(V153))=0,LEN(TRIM(W153))=0,LEN(TRIM(Y153))=0,LEN(TRIM(Z153))=0,LEN(TRIM(AA153))=0),"Indeterminate",IF(X153&lt;&gt;"OK","Indeterminate",IF(OR(E153="Indeterminate",F153="Indeterminate",G153="Indeterminate",R153="Indeterminate",S153="Indeterminate",T153="Indeterminate",V153="Indeterminate",W153="Indeterminate",Y153="Indeterminate",Z153="Indeterminate",AA153="Indeterminate"),"Indeterminate",IF(OR(E153="Sponsor controlled - invalid",F153="Sponsor veto - invalid",G153="Sponsor/candidate controlled - invalid",H153&lt;&gt;"Yes",I153&lt;&gt;"Yes",J153&lt;&gt;"Yes",R153="Predetermined outcome - invalid",S153="No credible precommitment",T153="Material assistance undisclosed",V153="Missing",V153="Changed after unblinding",W153="Material shared-model generation undisclosed",Y153="No protected reporting channel",Z153="No anonymity/confidentiality protection",AA153="No anti-retaliation safeguard"),"Inadequate",IF(OR(E153="Joint with firewall",F153="Independent with security redaction only",G153="Joint with public rules",K153&lt;&gt;"",AND(L153&lt;&gt;"",LOWER(L153)&lt;&gt;"none"),R153="Declared interest with enforceable firewall",S153="Conditional precommitment with disclosed limits",T153="Material assistance disclosed and separated",W153="Material shared-model generation disclosed",Z153="Not applicable with recorded rationale"),"Adequate with declared controls","Adequate"))))))</f>
        <v/>
      </c>
      <c r="P153">
        <f>IF(AND(O153="",N153=""),"",IF(AND(O153&lt;&gt;"",N153=""),"UNRECORDED",IF(AND(O153="",N153&lt;&gt;""),"ORPHAN_RECORDED",IF(O153=N153,"MATCH","MISMATCH"))))</f>
        <v/>
      </c>
      <c r="X153" s="303">
        <f>IF(COUNTA(E153:J153)+COUNTA(R153:T153)+COUNTA(V153:W153)+COUNTA(Y153:AA153)=0,"",IF(AND(COUNTIF(Vocabulary!$S$5:$S$8,E153)=1,COUNTIF(Vocabulary!$T$5:$T$8,F153)=1,COUNTIF(Vocabulary!$U$5:$U$8,G153)=1,COUNTIF(Vocabulary!$J$5:$J$6,H153)=1,COUNTIF(Vocabulary!$J$5:$J$6,I153)=1,COUNTIF(Vocabulary!$J$5:$J$6,J153)=1,COUNTIF(Vocabulary!$W$5:$W$8,R153)=1,COUNTIF(Vocabulary!$X$5:$X$8,S153)=1,COUNTIF(Vocabulary!$Y$5:$Y$9,T153)=1,COUNTIF(Vocabulary!$Z$5:$Z$8,V153)=1,COUNTIF(Vocabulary!$AA$5:$AA$9,W153)=1,COUNTIF(Vocabulary!$AB$5:$AB$7,Y153)=1,COUNTIF(Vocabulary!$AC$5:$AC$8,Z153)=1,COUNTIF(Vocabulary!$AD$5:$AD$7,AA153)=1),"OK","UNRECOGNISED_CONTROL_VALUE"))</f>
        <v/>
      </c>
      <c r="Y153" s="303" t="n"/>
      <c r="Z153" s="303" t="n"/>
      <c r="AA153" s="303" t="n"/>
    </row>
    <row r="154">
      <c r="O154">
        <f>IF(COUNTA(A154:N154)+COUNTA(Q154:W154)+COUNTA(Y154:AA154)=0,"",IF(OR(LEN(TRIM(A154))=0,LEN(TRIM(B154))=0,LEN(TRIM(C154))=0,LEN(TRIM(D154))=0,LEN(TRIM(E154))=0,LEN(TRIM(F154))=0,LEN(TRIM(G154))=0,LEN(TRIM(H154))=0,LEN(TRIM(I154))=0,LEN(TRIM(J154))=0,LEN(TRIM(R154))=0,LEN(TRIM(S154))=0,LEN(TRIM(T154))=0,LEN(TRIM(V154))=0,LEN(TRIM(W154))=0,LEN(TRIM(Y154))=0,LEN(TRIM(Z154))=0,LEN(TRIM(AA154))=0),"Indeterminate",IF(X154&lt;&gt;"OK","Indeterminate",IF(OR(E154="Indeterminate",F154="Indeterminate",G154="Indeterminate",R154="Indeterminate",S154="Indeterminate",T154="Indeterminate",V154="Indeterminate",W154="Indeterminate",Y154="Indeterminate",Z154="Indeterminate",AA154="Indeterminate"),"Indeterminate",IF(OR(E154="Sponsor controlled - invalid",F154="Sponsor veto - invalid",G154="Sponsor/candidate controlled - invalid",H154&lt;&gt;"Yes",I154&lt;&gt;"Yes",J154&lt;&gt;"Yes",R154="Predetermined outcome - invalid",S154="No credible precommitment",T154="Material assistance undisclosed",V154="Missing",V154="Changed after unblinding",W154="Material shared-model generation undisclosed",Y154="No protected reporting channel",Z154="No anonymity/confidentiality protection",AA154="No anti-retaliation safeguard"),"Inadequate",IF(OR(E154="Joint with firewall",F154="Independent with security redaction only",G154="Joint with public rules",K154&lt;&gt;"",AND(L154&lt;&gt;"",LOWER(L154)&lt;&gt;"none"),R154="Declared interest with enforceable firewall",S154="Conditional precommitment with disclosed limits",T154="Material assistance disclosed and separated",W154="Material shared-model generation disclosed",Z154="Not applicable with recorded rationale"),"Adequate with declared controls","Adequate"))))))</f>
        <v/>
      </c>
      <c r="P154">
        <f>IF(AND(O154="",N154=""),"",IF(AND(O154&lt;&gt;"",N154=""),"UNRECORDED",IF(AND(O154="",N154&lt;&gt;""),"ORPHAN_RECORDED",IF(O154=N154,"MATCH","MISMATCH"))))</f>
        <v/>
      </c>
      <c r="X154" s="303">
        <f>IF(COUNTA(E154:J154)+COUNTA(R154:T154)+COUNTA(V154:W154)+COUNTA(Y154:AA154)=0,"",IF(AND(COUNTIF(Vocabulary!$S$5:$S$8,E154)=1,COUNTIF(Vocabulary!$T$5:$T$8,F154)=1,COUNTIF(Vocabulary!$U$5:$U$8,G154)=1,COUNTIF(Vocabulary!$J$5:$J$6,H154)=1,COUNTIF(Vocabulary!$J$5:$J$6,I154)=1,COUNTIF(Vocabulary!$J$5:$J$6,J154)=1,COUNTIF(Vocabulary!$W$5:$W$8,R154)=1,COUNTIF(Vocabulary!$X$5:$X$8,S154)=1,COUNTIF(Vocabulary!$Y$5:$Y$9,T154)=1,COUNTIF(Vocabulary!$Z$5:$Z$8,V154)=1,COUNTIF(Vocabulary!$AA$5:$AA$9,W154)=1,COUNTIF(Vocabulary!$AB$5:$AB$7,Y154)=1,COUNTIF(Vocabulary!$AC$5:$AC$8,Z154)=1,COUNTIF(Vocabulary!$AD$5:$AD$7,AA154)=1),"OK","UNRECOGNISED_CONTROL_VALUE"))</f>
        <v/>
      </c>
      <c r="Y154" s="303" t="n"/>
      <c r="Z154" s="303" t="n"/>
      <c r="AA154" s="303" t="n"/>
    </row>
    <row r="155">
      <c r="O155">
        <f>IF(COUNTA(A155:N155)+COUNTA(Q155:W155)+COUNTA(Y155:AA155)=0,"",IF(OR(LEN(TRIM(A155))=0,LEN(TRIM(B155))=0,LEN(TRIM(C155))=0,LEN(TRIM(D155))=0,LEN(TRIM(E155))=0,LEN(TRIM(F155))=0,LEN(TRIM(G155))=0,LEN(TRIM(H155))=0,LEN(TRIM(I155))=0,LEN(TRIM(J155))=0,LEN(TRIM(R155))=0,LEN(TRIM(S155))=0,LEN(TRIM(T155))=0,LEN(TRIM(V155))=0,LEN(TRIM(W155))=0,LEN(TRIM(Y155))=0,LEN(TRIM(Z155))=0,LEN(TRIM(AA155))=0),"Indeterminate",IF(X155&lt;&gt;"OK","Indeterminate",IF(OR(E155="Indeterminate",F155="Indeterminate",G155="Indeterminate",R155="Indeterminate",S155="Indeterminate",T155="Indeterminate",V155="Indeterminate",W155="Indeterminate",Y155="Indeterminate",Z155="Indeterminate",AA155="Indeterminate"),"Indeterminate",IF(OR(E155="Sponsor controlled - invalid",F155="Sponsor veto - invalid",G155="Sponsor/candidate controlled - invalid",H155&lt;&gt;"Yes",I155&lt;&gt;"Yes",J155&lt;&gt;"Yes",R155="Predetermined outcome - invalid",S155="No credible precommitment",T155="Material assistance undisclosed",V155="Missing",V155="Changed after unblinding",W155="Material shared-model generation undisclosed",Y155="No protected reporting channel",Z155="No anonymity/confidentiality protection",AA155="No anti-retaliation safeguard"),"Inadequate",IF(OR(E155="Joint with firewall",F155="Independent with security redaction only",G155="Joint with public rules",K155&lt;&gt;"",AND(L155&lt;&gt;"",LOWER(L155)&lt;&gt;"none"),R155="Declared interest with enforceable firewall",S155="Conditional precommitment with disclosed limits",T155="Material assistance disclosed and separated",W155="Material shared-model generation disclosed",Z155="Not applicable with recorded rationale"),"Adequate with declared controls","Adequate"))))))</f>
        <v/>
      </c>
      <c r="P155">
        <f>IF(AND(O155="",N155=""),"",IF(AND(O155&lt;&gt;"",N155=""),"UNRECORDED",IF(AND(O155="",N155&lt;&gt;""),"ORPHAN_RECORDED",IF(O155=N155,"MATCH","MISMATCH"))))</f>
        <v/>
      </c>
      <c r="X155" s="303">
        <f>IF(COUNTA(E155:J155)+COUNTA(R155:T155)+COUNTA(V155:W155)+COUNTA(Y155:AA155)=0,"",IF(AND(COUNTIF(Vocabulary!$S$5:$S$8,E155)=1,COUNTIF(Vocabulary!$T$5:$T$8,F155)=1,COUNTIF(Vocabulary!$U$5:$U$8,G155)=1,COUNTIF(Vocabulary!$J$5:$J$6,H155)=1,COUNTIF(Vocabulary!$J$5:$J$6,I155)=1,COUNTIF(Vocabulary!$J$5:$J$6,J155)=1,COUNTIF(Vocabulary!$W$5:$W$8,R155)=1,COUNTIF(Vocabulary!$X$5:$X$8,S155)=1,COUNTIF(Vocabulary!$Y$5:$Y$9,T155)=1,COUNTIF(Vocabulary!$Z$5:$Z$8,V155)=1,COUNTIF(Vocabulary!$AA$5:$AA$9,W155)=1,COUNTIF(Vocabulary!$AB$5:$AB$7,Y155)=1,COUNTIF(Vocabulary!$AC$5:$AC$8,Z155)=1,COUNTIF(Vocabulary!$AD$5:$AD$7,AA155)=1),"OK","UNRECOGNISED_CONTROL_VALUE"))</f>
        <v/>
      </c>
      <c r="Y155" s="303" t="n"/>
      <c r="Z155" s="303" t="n"/>
      <c r="AA155" s="303" t="n"/>
    </row>
    <row r="156">
      <c r="O156">
        <f>IF(COUNTA(A156:N156)+COUNTA(Q156:W156)+COUNTA(Y156:AA156)=0,"",IF(OR(LEN(TRIM(A156))=0,LEN(TRIM(B156))=0,LEN(TRIM(C156))=0,LEN(TRIM(D156))=0,LEN(TRIM(E156))=0,LEN(TRIM(F156))=0,LEN(TRIM(G156))=0,LEN(TRIM(H156))=0,LEN(TRIM(I156))=0,LEN(TRIM(J156))=0,LEN(TRIM(R156))=0,LEN(TRIM(S156))=0,LEN(TRIM(T156))=0,LEN(TRIM(V156))=0,LEN(TRIM(W156))=0,LEN(TRIM(Y156))=0,LEN(TRIM(Z156))=0,LEN(TRIM(AA156))=0),"Indeterminate",IF(X156&lt;&gt;"OK","Indeterminate",IF(OR(E156="Indeterminate",F156="Indeterminate",G156="Indeterminate",R156="Indeterminate",S156="Indeterminate",T156="Indeterminate",V156="Indeterminate",W156="Indeterminate",Y156="Indeterminate",Z156="Indeterminate",AA156="Indeterminate"),"Indeterminate",IF(OR(E156="Sponsor controlled - invalid",F156="Sponsor veto - invalid",G156="Sponsor/candidate controlled - invalid",H156&lt;&gt;"Yes",I156&lt;&gt;"Yes",J156&lt;&gt;"Yes",R156="Predetermined outcome - invalid",S156="No credible precommitment",T156="Material assistance undisclosed",V156="Missing",V156="Changed after unblinding",W156="Material shared-model generation undisclosed",Y156="No protected reporting channel",Z156="No anonymity/confidentiality protection",AA156="No anti-retaliation safeguard"),"Inadequate",IF(OR(E156="Joint with firewall",F156="Independent with security redaction only",G156="Joint with public rules",K156&lt;&gt;"",AND(L156&lt;&gt;"",LOWER(L156)&lt;&gt;"none"),R156="Declared interest with enforceable firewall",S156="Conditional precommitment with disclosed limits",T156="Material assistance disclosed and separated",W156="Material shared-model generation disclosed",Z156="Not applicable with recorded rationale"),"Adequate with declared controls","Adequate"))))))</f>
        <v/>
      </c>
      <c r="P156">
        <f>IF(AND(O156="",N156=""),"",IF(AND(O156&lt;&gt;"",N156=""),"UNRECORDED",IF(AND(O156="",N156&lt;&gt;""),"ORPHAN_RECORDED",IF(O156=N156,"MATCH","MISMATCH"))))</f>
        <v/>
      </c>
      <c r="X156" s="303">
        <f>IF(COUNTA(E156:J156)+COUNTA(R156:T156)+COUNTA(V156:W156)+COUNTA(Y156:AA156)=0,"",IF(AND(COUNTIF(Vocabulary!$S$5:$S$8,E156)=1,COUNTIF(Vocabulary!$T$5:$T$8,F156)=1,COUNTIF(Vocabulary!$U$5:$U$8,G156)=1,COUNTIF(Vocabulary!$J$5:$J$6,H156)=1,COUNTIF(Vocabulary!$J$5:$J$6,I156)=1,COUNTIF(Vocabulary!$J$5:$J$6,J156)=1,COUNTIF(Vocabulary!$W$5:$W$8,R156)=1,COUNTIF(Vocabulary!$X$5:$X$8,S156)=1,COUNTIF(Vocabulary!$Y$5:$Y$9,T156)=1,COUNTIF(Vocabulary!$Z$5:$Z$8,V156)=1,COUNTIF(Vocabulary!$AA$5:$AA$9,W156)=1,COUNTIF(Vocabulary!$AB$5:$AB$7,Y156)=1,COUNTIF(Vocabulary!$AC$5:$AC$8,Z156)=1,COUNTIF(Vocabulary!$AD$5:$AD$7,AA156)=1),"OK","UNRECOGNISED_CONTROL_VALUE"))</f>
        <v/>
      </c>
      <c r="Y156" s="303" t="n"/>
      <c r="Z156" s="303" t="n"/>
      <c r="AA156" s="303" t="n"/>
    </row>
    <row r="157">
      <c r="O157">
        <f>IF(COUNTA(A157:N157)+COUNTA(Q157:W157)+COUNTA(Y157:AA157)=0,"",IF(OR(LEN(TRIM(A157))=0,LEN(TRIM(B157))=0,LEN(TRIM(C157))=0,LEN(TRIM(D157))=0,LEN(TRIM(E157))=0,LEN(TRIM(F157))=0,LEN(TRIM(G157))=0,LEN(TRIM(H157))=0,LEN(TRIM(I157))=0,LEN(TRIM(J157))=0,LEN(TRIM(R157))=0,LEN(TRIM(S157))=0,LEN(TRIM(T157))=0,LEN(TRIM(V157))=0,LEN(TRIM(W157))=0,LEN(TRIM(Y157))=0,LEN(TRIM(Z157))=0,LEN(TRIM(AA157))=0),"Indeterminate",IF(X157&lt;&gt;"OK","Indeterminate",IF(OR(E157="Indeterminate",F157="Indeterminate",G157="Indeterminate",R157="Indeterminate",S157="Indeterminate",T157="Indeterminate",V157="Indeterminate",W157="Indeterminate",Y157="Indeterminate",Z157="Indeterminate",AA157="Indeterminate"),"Indeterminate",IF(OR(E157="Sponsor controlled - invalid",F157="Sponsor veto - invalid",G157="Sponsor/candidate controlled - invalid",H157&lt;&gt;"Yes",I157&lt;&gt;"Yes",J157&lt;&gt;"Yes",R157="Predetermined outcome - invalid",S157="No credible precommitment",T157="Material assistance undisclosed",V157="Missing",V157="Changed after unblinding",W157="Material shared-model generation undisclosed",Y157="No protected reporting channel",Z157="No anonymity/confidentiality protection",AA157="No anti-retaliation safeguard"),"Inadequate",IF(OR(E157="Joint with firewall",F157="Independent with security redaction only",G157="Joint with public rules",K157&lt;&gt;"",AND(L157&lt;&gt;"",LOWER(L157)&lt;&gt;"none"),R157="Declared interest with enforceable firewall",S157="Conditional precommitment with disclosed limits",T157="Material assistance disclosed and separated",W157="Material shared-model generation disclosed",Z157="Not applicable with recorded rationale"),"Adequate with declared controls","Adequate"))))))</f>
        <v/>
      </c>
      <c r="P157">
        <f>IF(AND(O157="",N157=""),"",IF(AND(O157&lt;&gt;"",N157=""),"UNRECORDED",IF(AND(O157="",N157&lt;&gt;""),"ORPHAN_RECORDED",IF(O157=N157,"MATCH","MISMATCH"))))</f>
        <v/>
      </c>
      <c r="X157" s="303">
        <f>IF(COUNTA(E157:J157)+COUNTA(R157:T157)+COUNTA(V157:W157)+COUNTA(Y157:AA157)=0,"",IF(AND(COUNTIF(Vocabulary!$S$5:$S$8,E157)=1,COUNTIF(Vocabulary!$T$5:$T$8,F157)=1,COUNTIF(Vocabulary!$U$5:$U$8,G157)=1,COUNTIF(Vocabulary!$J$5:$J$6,H157)=1,COUNTIF(Vocabulary!$J$5:$J$6,I157)=1,COUNTIF(Vocabulary!$J$5:$J$6,J157)=1,COUNTIF(Vocabulary!$W$5:$W$8,R157)=1,COUNTIF(Vocabulary!$X$5:$X$8,S157)=1,COUNTIF(Vocabulary!$Y$5:$Y$9,T157)=1,COUNTIF(Vocabulary!$Z$5:$Z$8,V157)=1,COUNTIF(Vocabulary!$AA$5:$AA$9,W157)=1,COUNTIF(Vocabulary!$AB$5:$AB$7,Y157)=1,COUNTIF(Vocabulary!$AC$5:$AC$8,Z157)=1,COUNTIF(Vocabulary!$AD$5:$AD$7,AA157)=1),"OK","UNRECOGNISED_CONTROL_VALUE"))</f>
        <v/>
      </c>
      <c r="Y157" s="303" t="n"/>
      <c r="Z157" s="303" t="n"/>
      <c r="AA157" s="303" t="n"/>
    </row>
    <row r="158">
      <c r="O158">
        <f>IF(COUNTA(A158:N158)+COUNTA(Q158:W158)+COUNTA(Y158:AA158)=0,"",IF(OR(LEN(TRIM(A158))=0,LEN(TRIM(B158))=0,LEN(TRIM(C158))=0,LEN(TRIM(D158))=0,LEN(TRIM(E158))=0,LEN(TRIM(F158))=0,LEN(TRIM(G158))=0,LEN(TRIM(H158))=0,LEN(TRIM(I158))=0,LEN(TRIM(J158))=0,LEN(TRIM(R158))=0,LEN(TRIM(S158))=0,LEN(TRIM(T158))=0,LEN(TRIM(V158))=0,LEN(TRIM(W158))=0,LEN(TRIM(Y158))=0,LEN(TRIM(Z158))=0,LEN(TRIM(AA158))=0),"Indeterminate",IF(X158&lt;&gt;"OK","Indeterminate",IF(OR(E158="Indeterminate",F158="Indeterminate",G158="Indeterminate",R158="Indeterminate",S158="Indeterminate",T158="Indeterminate",V158="Indeterminate",W158="Indeterminate",Y158="Indeterminate",Z158="Indeterminate",AA158="Indeterminate"),"Indeterminate",IF(OR(E158="Sponsor controlled - invalid",F158="Sponsor veto - invalid",G158="Sponsor/candidate controlled - invalid",H158&lt;&gt;"Yes",I158&lt;&gt;"Yes",J158&lt;&gt;"Yes",R158="Predetermined outcome - invalid",S158="No credible precommitment",T158="Material assistance undisclosed",V158="Missing",V158="Changed after unblinding",W158="Material shared-model generation undisclosed",Y158="No protected reporting channel",Z158="No anonymity/confidentiality protection",AA158="No anti-retaliation safeguard"),"Inadequate",IF(OR(E158="Joint with firewall",F158="Independent with security redaction only",G158="Joint with public rules",K158&lt;&gt;"",AND(L158&lt;&gt;"",LOWER(L158)&lt;&gt;"none"),R158="Declared interest with enforceable firewall",S158="Conditional precommitment with disclosed limits",T158="Material assistance disclosed and separated",W158="Material shared-model generation disclosed",Z158="Not applicable with recorded rationale"),"Adequate with declared controls","Adequate"))))))</f>
        <v/>
      </c>
      <c r="P158">
        <f>IF(AND(O158="",N158=""),"",IF(AND(O158&lt;&gt;"",N158=""),"UNRECORDED",IF(AND(O158="",N158&lt;&gt;""),"ORPHAN_RECORDED",IF(O158=N158,"MATCH","MISMATCH"))))</f>
        <v/>
      </c>
      <c r="X158" s="303">
        <f>IF(COUNTA(E158:J158)+COUNTA(R158:T158)+COUNTA(V158:W158)+COUNTA(Y158:AA158)=0,"",IF(AND(COUNTIF(Vocabulary!$S$5:$S$8,E158)=1,COUNTIF(Vocabulary!$T$5:$T$8,F158)=1,COUNTIF(Vocabulary!$U$5:$U$8,G158)=1,COUNTIF(Vocabulary!$J$5:$J$6,H158)=1,COUNTIF(Vocabulary!$J$5:$J$6,I158)=1,COUNTIF(Vocabulary!$J$5:$J$6,J158)=1,COUNTIF(Vocabulary!$W$5:$W$8,R158)=1,COUNTIF(Vocabulary!$X$5:$X$8,S158)=1,COUNTIF(Vocabulary!$Y$5:$Y$9,T158)=1,COUNTIF(Vocabulary!$Z$5:$Z$8,V158)=1,COUNTIF(Vocabulary!$AA$5:$AA$9,W158)=1,COUNTIF(Vocabulary!$AB$5:$AB$7,Y158)=1,COUNTIF(Vocabulary!$AC$5:$AC$8,Z158)=1,COUNTIF(Vocabulary!$AD$5:$AD$7,AA158)=1),"OK","UNRECOGNISED_CONTROL_VALUE"))</f>
        <v/>
      </c>
      <c r="Y158" s="303" t="n"/>
      <c r="Z158" s="303" t="n"/>
      <c r="AA158" s="303" t="n"/>
    </row>
    <row r="159">
      <c r="O159">
        <f>IF(COUNTA(A159:N159)+COUNTA(Q159:W159)+COUNTA(Y159:AA159)=0,"",IF(OR(LEN(TRIM(A159))=0,LEN(TRIM(B159))=0,LEN(TRIM(C159))=0,LEN(TRIM(D159))=0,LEN(TRIM(E159))=0,LEN(TRIM(F159))=0,LEN(TRIM(G159))=0,LEN(TRIM(H159))=0,LEN(TRIM(I159))=0,LEN(TRIM(J159))=0,LEN(TRIM(R159))=0,LEN(TRIM(S159))=0,LEN(TRIM(T159))=0,LEN(TRIM(V159))=0,LEN(TRIM(W159))=0,LEN(TRIM(Y159))=0,LEN(TRIM(Z159))=0,LEN(TRIM(AA159))=0),"Indeterminate",IF(X159&lt;&gt;"OK","Indeterminate",IF(OR(E159="Indeterminate",F159="Indeterminate",G159="Indeterminate",R159="Indeterminate",S159="Indeterminate",T159="Indeterminate",V159="Indeterminate",W159="Indeterminate",Y159="Indeterminate",Z159="Indeterminate",AA159="Indeterminate"),"Indeterminate",IF(OR(E159="Sponsor controlled - invalid",F159="Sponsor veto - invalid",G159="Sponsor/candidate controlled - invalid",H159&lt;&gt;"Yes",I159&lt;&gt;"Yes",J159&lt;&gt;"Yes",R159="Predetermined outcome - invalid",S159="No credible precommitment",T159="Material assistance undisclosed",V159="Missing",V159="Changed after unblinding",W159="Material shared-model generation undisclosed",Y159="No protected reporting channel",Z159="No anonymity/confidentiality protection",AA159="No anti-retaliation safeguard"),"Inadequate",IF(OR(E159="Joint with firewall",F159="Independent with security redaction only",G159="Joint with public rules",K159&lt;&gt;"",AND(L159&lt;&gt;"",LOWER(L159)&lt;&gt;"none"),R159="Declared interest with enforceable firewall",S159="Conditional precommitment with disclosed limits",T159="Material assistance disclosed and separated",W159="Material shared-model generation disclosed",Z159="Not applicable with recorded rationale"),"Adequate with declared controls","Adequate"))))))</f>
        <v/>
      </c>
      <c r="P159">
        <f>IF(AND(O159="",N159=""),"",IF(AND(O159&lt;&gt;"",N159=""),"UNRECORDED",IF(AND(O159="",N159&lt;&gt;""),"ORPHAN_RECORDED",IF(O159=N159,"MATCH","MISMATCH"))))</f>
        <v/>
      </c>
      <c r="X159" s="303">
        <f>IF(COUNTA(E159:J159)+COUNTA(R159:T159)+COUNTA(V159:W159)+COUNTA(Y159:AA159)=0,"",IF(AND(COUNTIF(Vocabulary!$S$5:$S$8,E159)=1,COUNTIF(Vocabulary!$T$5:$T$8,F159)=1,COUNTIF(Vocabulary!$U$5:$U$8,G159)=1,COUNTIF(Vocabulary!$J$5:$J$6,H159)=1,COUNTIF(Vocabulary!$J$5:$J$6,I159)=1,COUNTIF(Vocabulary!$J$5:$J$6,J159)=1,COUNTIF(Vocabulary!$W$5:$W$8,R159)=1,COUNTIF(Vocabulary!$X$5:$X$8,S159)=1,COUNTIF(Vocabulary!$Y$5:$Y$9,T159)=1,COUNTIF(Vocabulary!$Z$5:$Z$8,V159)=1,COUNTIF(Vocabulary!$AA$5:$AA$9,W159)=1,COUNTIF(Vocabulary!$AB$5:$AB$7,Y159)=1,COUNTIF(Vocabulary!$AC$5:$AC$8,Z159)=1,COUNTIF(Vocabulary!$AD$5:$AD$7,AA159)=1),"OK","UNRECOGNISED_CONTROL_VALUE"))</f>
        <v/>
      </c>
      <c r="Y159" s="303" t="n"/>
      <c r="Z159" s="303" t="n"/>
      <c r="AA159" s="303" t="n"/>
    </row>
    <row r="160">
      <c r="O160">
        <f>IF(COUNTA(A160:N160)+COUNTA(Q160:W160)+COUNTA(Y160:AA160)=0,"",IF(OR(LEN(TRIM(A160))=0,LEN(TRIM(B160))=0,LEN(TRIM(C160))=0,LEN(TRIM(D160))=0,LEN(TRIM(E160))=0,LEN(TRIM(F160))=0,LEN(TRIM(G160))=0,LEN(TRIM(H160))=0,LEN(TRIM(I160))=0,LEN(TRIM(J160))=0,LEN(TRIM(R160))=0,LEN(TRIM(S160))=0,LEN(TRIM(T160))=0,LEN(TRIM(V160))=0,LEN(TRIM(W160))=0,LEN(TRIM(Y160))=0,LEN(TRIM(Z160))=0,LEN(TRIM(AA160))=0),"Indeterminate",IF(X160&lt;&gt;"OK","Indeterminate",IF(OR(E160="Indeterminate",F160="Indeterminate",G160="Indeterminate",R160="Indeterminate",S160="Indeterminate",T160="Indeterminate",V160="Indeterminate",W160="Indeterminate",Y160="Indeterminate",Z160="Indeterminate",AA160="Indeterminate"),"Indeterminate",IF(OR(E160="Sponsor controlled - invalid",F160="Sponsor veto - invalid",G160="Sponsor/candidate controlled - invalid",H160&lt;&gt;"Yes",I160&lt;&gt;"Yes",J160&lt;&gt;"Yes",R160="Predetermined outcome - invalid",S160="No credible precommitment",T160="Material assistance undisclosed",V160="Missing",V160="Changed after unblinding",W160="Material shared-model generation undisclosed",Y160="No protected reporting channel",Z160="No anonymity/confidentiality protection",AA160="No anti-retaliation safeguard"),"Inadequate",IF(OR(E160="Joint with firewall",F160="Independent with security redaction only",G160="Joint with public rules",K160&lt;&gt;"",AND(L160&lt;&gt;"",LOWER(L160)&lt;&gt;"none"),R160="Declared interest with enforceable firewall",S160="Conditional precommitment with disclosed limits",T160="Material assistance disclosed and separated",W160="Material shared-model generation disclosed",Z160="Not applicable with recorded rationale"),"Adequate with declared controls","Adequate"))))))</f>
        <v/>
      </c>
      <c r="P160">
        <f>IF(AND(O160="",N160=""),"",IF(AND(O160&lt;&gt;"",N160=""),"UNRECORDED",IF(AND(O160="",N160&lt;&gt;""),"ORPHAN_RECORDED",IF(O160=N160,"MATCH","MISMATCH"))))</f>
        <v/>
      </c>
      <c r="X160" s="303">
        <f>IF(COUNTA(E160:J160)+COUNTA(R160:T160)+COUNTA(V160:W160)+COUNTA(Y160:AA160)=0,"",IF(AND(COUNTIF(Vocabulary!$S$5:$S$8,E160)=1,COUNTIF(Vocabulary!$T$5:$T$8,F160)=1,COUNTIF(Vocabulary!$U$5:$U$8,G160)=1,COUNTIF(Vocabulary!$J$5:$J$6,H160)=1,COUNTIF(Vocabulary!$J$5:$J$6,I160)=1,COUNTIF(Vocabulary!$J$5:$J$6,J160)=1,COUNTIF(Vocabulary!$W$5:$W$8,R160)=1,COUNTIF(Vocabulary!$X$5:$X$8,S160)=1,COUNTIF(Vocabulary!$Y$5:$Y$9,T160)=1,COUNTIF(Vocabulary!$Z$5:$Z$8,V160)=1,COUNTIF(Vocabulary!$AA$5:$AA$9,W160)=1,COUNTIF(Vocabulary!$AB$5:$AB$7,Y160)=1,COUNTIF(Vocabulary!$AC$5:$AC$8,Z160)=1,COUNTIF(Vocabulary!$AD$5:$AD$7,AA160)=1),"OK","UNRECOGNISED_CONTROL_VALUE"))</f>
        <v/>
      </c>
      <c r="Y160" s="303" t="n"/>
      <c r="Z160" s="303" t="n"/>
      <c r="AA160" s="303" t="n"/>
    </row>
    <row r="161">
      <c r="O161">
        <f>IF(COUNTA(A161:N161)+COUNTA(Q161:W161)+COUNTA(Y161:AA161)=0,"",IF(OR(LEN(TRIM(A161))=0,LEN(TRIM(B161))=0,LEN(TRIM(C161))=0,LEN(TRIM(D161))=0,LEN(TRIM(E161))=0,LEN(TRIM(F161))=0,LEN(TRIM(G161))=0,LEN(TRIM(H161))=0,LEN(TRIM(I161))=0,LEN(TRIM(J161))=0,LEN(TRIM(R161))=0,LEN(TRIM(S161))=0,LEN(TRIM(T161))=0,LEN(TRIM(V161))=0,LEN(TRIM(W161))=0,LEN(TRIM(Y161))=0,LEN(TRIM(Z161))=0,LEN(TRIM(AA161))=0),"Indeterminate",IF(X161&lt;&gt;"OK","Indeterminate",IF(OR(E161="Indeterminate",F161="Indeterminate",G161="Indeterminate",R161="Indeterminate",S161="Indeterminate",T161="Indeterminate",V161="Indeterminate",W161="Indeterminate",Y161="Indeterminate",Z161="Indeterminate",AA161="Indeterminate"),"Indeterminate",IF(OR(E161="Sponsor controlled - invalid",F161="Sponsor veto - invalid",G161="Sponsor/candidate controlled - invalid",H161&lt;&gt;"Yes",I161&lt;&gt;"Yes",J161&lt;&gt;"Yes",R161="Predetermined outcome - invalid",S161="No credible precommitment",T161="Material assistance undisclosed",V161="Missing",V161="Changed after unblinding",W161="Material shared-model generation undisclosed",Y161="No protected reporting channel",Z161="No anonymity/confidentiality protection",AA161="No anti-retaliation safeguard"),"Inadequate",IF(OR(E161="Joint with firewall",F161="Independent with security redaction only",G161="Joint with public rules",K161&lt;&gt;"",AND(L161&lt;&gt;"",LOWER(L161)&lt;&gt;"none"),R161="Declared interest with enforceable firewall",S161="Conditional precommitment with disclosed limits",T161="Material assistance disclosed and separated",W161="Material shared-model generation disclosed",Z161="Not applicable with recorded rationale"),"Adequate with declared controls","Adequate"))))))</f>
        <v/>
      </c>
      <c r="P161">
        <f>IF(AND(O161="",N161=""),"",IF(AND(O161&lt;&gt;"",N161=""),"UNRECORDED",IF(AND(O161="",N161&lt;&gt;""),"ORPHAN_RECORDED",IF(O161=N161,"MATCH","MISMATCH"))))</f>
        <v/>
      </c>
      <c r="X161" s="303">
        <f>IF(COUNTA(E161:J161)+COUNTA(R161:T161)+COUNTA(V161:W161)+COUNTA(Y161:AA161)=0,"",IF(AND(COUNTIF(Vocabulary!$S$5:$S$8,E161)=1,COUNTIF(Vocabulary!$T$5:$T$8,F161)=1,COUNTIF(Vocabulary!$U$5:$U$8,G161)=1,COUNTIF(Vocabulary!$J$5:$J$6,H161)=1,COUNTIF(Vocabulary!$J$5:$J$6,I161)=1,COUNTIF(Vocabulary!$J$5:$J$6,J161)=1,COUNTIF(Vocabulary!$W$5:$W$8,R161)=1,COUNTIF(Vocabulary!$X$5:$X$8,S161)=1,COUNTIF(Vocabulary!$Y$5:$Y$9,T161)=1,COUNTIF(Vocabulary!$Z$5:$Z$8,V161)=1,COUNTIF(Vocabulary!$AA$5:$AA$9,W161)=1,COUNTIF(Vocabulary!$AB$5:$AB$7,Y161)=1,COUNTIF(Vocabulary!$AC$5:$AC$8,Z161)=1,COUNTIF(Vocabulary!$AD$5:$AD$7,AA161)=1),"OK","UNRECOGNISED_CONTROL_VALUE"))</f>
        <v/>
      </c>
      <c r="Y161" s="303" t="n"/>
      <c r="Z161" s="303" t="n"/>
      <c r="AA161" s="303" t="n"/>
    </row>
    <row r="162">
      <c r="O162">
        <f>IF(COUNTA(A162:N162)+COUNTA(Q162:W162)+COUNTA(Y162:AA162)=0,"",IF(OR(LEN(TRIM(A162))=0,LEN(TRIM(B162))=0,LEN(TRIM(C162))=0,LEN(TRIM(D162))=0,LEN(TRIM(E162))=0,LEN(TRIM(F162))=0,LEN(TRIM(G162))=0,LEN(TRIM(H162))=0,LEN(TRIM(I162))=0,LEN(TRIM(J162))=0,LEN(TRIM(R162))=0,LEN(TRIM(S162))=0,LEN(TRIM(T162))=0,LEN(TRIM(V162))=0,LEN(TRIM(W162))=0,LEN(TRIM(Y162))=0,LEN(TRIM(Z162))=0,LEN(TRIM(AA162))=0),"Indeterminate",IF(X162&lt;&gt;"OK","Indeterminate",IF(OR(E162="Indeterminate",F162="Indeterminate",G162="Indeterminate",R162="Indeterminate",S162="Indeterminate",T162="Indeterminate",V162="Indeterminate",W162="Indeterminate",Y162="Indeterminate",Z162="Indeterminate",AA162="Indeterminate"),"Indeterminate",IF(OR(E162="Sponsor controlled - invalid",F162="Sponsor veto - invalid",G162="Sponsor/candidate controlled - invalid",H162&lt;&gt;"Yes",I162&lt;&gt;"Yes",J162&lt;&gt;"Yes",R162="Predetermined outcome - invalid",S162="No credible precommitment",T162="Material assistance undisclosed",V162="Missing",V162="Changed after unblinding",W162="Material shared-model generation undisclosed",Y162="No protected reporting channel",Z162="No anonymity/confidentiality protection",AA162="No anti-retaliation safeguard"),"Inadequate",IF(OR(E162="Joint with firewall",F162="Independent with security redaction only",G162="Joint with public rules",K162&lt;&gt;"",AND(L162&lt;&gt;"",LOWER(L162)&lt;&gt;"none"),R162="Declared interest with enforceable firewall",S162="Conditional precommitment with disclosed limits",T162="Material assistance disclosed and separated",W162="Material shared-model generation disclosed",Z162="Not applicable with recorded rationale"),"Adequate with declared controls","Adequate"))))))</f>
        <v/>
      </c>
      <c r="P162">
        <f>IF(AND(O162="",N162=""),"",IF(AND(O162&lt;&gt;"",N162=""),"UNRECORDED",IF(AND(O162="",N162&lt;&gt;""),"ORPHAN_RECORDED",IF(O162=N162,"MATCH","MISMATCH"))))</f>
        <v/>
      </c>
      <c r="X162" s="303">
        <f>IF(COUNTA(E162:J162)+COUNTA(R162:T162)+COUNTA(V162:W162)+COUNTA(Y162:AA162)=0,"",IF(AND(COUNTIF(Vocabulary!$S$5:$S$8,E162)=1,COUNTIF(Vocabulary!$T$5:$T$8,F162)=1,COUNTIF(Vocabulary!$U$5:$U$8,G162)=1,COUNTIF(Vocabulary!$J$5:$J$6,H162)=1,COUNTIF(Vocabulary!$J$5:$J$6,I162)=1,COUNTIF(Vocabulary!$J$5:$J$6,J162)=1,COUNTIF(Vocabulary!$W$5:$W$8,R162)=1,COUNTIF(Vocabulary!$X$5:$X$8,S162)=1,COUNTIF(Vocabulary!$Y$5:$Y$9,T162)=1,COUNTIF(Vocabulary!$Z$5:$Z$8,V162)=1,COUNTIF(Vocabulary!$AA$5:$AA$9,W162)=1,COUNTIF(Vocabulary!$AB$5:$AB$7,Y162)=1,COUNTIF(Vocabulary!$AC$5:$AC$8,Z162)=1,COUNTIF(Vocabulary!$AD$5:$AD$7,AA162)=1),"OK","UNRECOGNISED_CONTROL_VALUE"))</f>
        <v/>
      </c>
      <c r="Y162" s="303" t="n"/>
      <c r="Z162" s="303" t="n"/>
      <c r="AA162" s="303" t="n"/>
    </row>
    <row r="163">
      <c r="O163">
        <f>IF(COUNTA(A163:N163)+COUNTA(Q163:W163)+COUNTA(Y163:AA163)=0,"",IF(OR(LEN(TRIM(A163))=0,LEN(TRIM(B163))=0,LEN(TRIM(C163))=0,LEN(TRIM(D163))=0,LEN(TRIM(E163))=0,LEN(TRIM(F163))=0,LEN(TRIM(G163))=0,LEN(TRIM(H163))=0,LEN(TRIM(I163))=0,LEN(TRIM(J163))=0,LEN(TRIM(R163))=0,LEN(TRIM(S163))=0,LEN(TRIM(T163))=0,LEN(TRIM(V163))=0,LEN(TRIM(W163))=0,LEN(TRIM(Y163))=0,LEN(TRIM(Z163))=0,LEN(TRIM(AA163))=0),"Indeterminate",IF(X163&lt;&gt;"OK","Indeterminate",IF(OR(E163="Indeterminate",F163="Indeterminate",G163="Indeterminate",R163="Indeterminate",S163="Indeterminate",T163="Indeterminate",V163="Indeterminate",W163="Indeterminate",Y163="Indeterminate",Z163="Indeterminate",AA163="Indeterminate"),"Indeterminate",IF(OR(E163="Sponsor controlled - invalid",F163="Sponsor veto - invalid",G163="Sponsor/candidate controlled - invalid",H163&lt;&gt;"Yes",I163&lt;&gt;"Yes",J163&lt;&gt;"Yes",R163="Predetermined outcome - invalid",S163="No credible precommitment",T163="Material assistance undisclosed",V163="Missing",V163="Changed after unblinding",W163="Material shared-model generation undisclosed",Y163="No protected reporting channel",Z163="No anonymity/confidentiality protection",AA163="No anti-retaliation safeguard"),"Inadequate",IF(OR(E163="Joint with firewall",F163="Independent with security redaction only",G163="Joint with public rules",K163&lt;&gt;"",AND(L163&lt;&gt;"",LOWER(L163)&lt;&gt;"none"),R163="Declared interest with enforceable firewall",S163="Conditional precommitment with disclosed limits",T163="Material assistance disclosed and separated",W163="Material shared-model generation disclosed",Z163="Not applicable with recorded rationale"),"Adequate with declared controls","Adequate"))))))</f>
        <v/>
      </c>
      <c r="P163">
        <f>IF(AND(O163="",N163=""),"",IF(AND(O163&lt;&gt;"",N163=""),"UNRECORDED",IF(AND(O163="",N163&lt;&gt;""),"ORPHAN_RECORDED",IF(O163=N163,"MATCH","MISMATCH"))))</f>
        <v/>
      </c>
      <c r="X163" s="303">
        <f>IF(COUNTA(E163:J163)+COUNTA(R163:T163)+COUNTA(V163:W163)+COUNTA(Y163:AA163)=0,"",IF(AND(COUNTIF(Vocabulary!$S$5:$S$8,E163)=1,COUNTIF(Vocabulary!$T$5:$T$8,F163)=1,COUNTIF(Vocabulary!$U$5:$U$8,G163)=1,COUNTIF(Vocabulary!$J$5:$J$6,H163)=1,COUNTIF(Vocabulary!$J$5:$J$6,I163)=1,COUNTIF(Vocabulary!$J$5:$J$6,J163)=1,COUNTIF(Vocabulary!$W$5:$W$8,R163)=1,COUNTIF(Vocabulary!$X$5:$X$8,S163)=1,COUNTIF(Vocabulary!$Y$5:$Y$9,T163)=1,COUNTIF(Vocabulary!$Z$5:$Z$8,V163)=1,COUNTIF(Vocabulary!$AA$5:$AA$9,W163)=1,COUNTIF(Vocabulary!$AB$5:$AB$7,Y163)=1,COUNTIF(Vocabulary!$AC$5:$AC$8,Z163)=1,COUNTIF(Vocabulary!$AD$5:$AD$7,AA163)=1),"OK","UNRECOGNISED_CONTROL_VALUE"))</f>
        <v/>
      </c>
      <c r="Y163" s="303" t="n"/>
      <c r="Z163" s="303" t="n"/>
      <c r="AA163" s="303" t="n"/>
    </row>
    <row r="164">
      <c r="O164">
        <f>IF(COUNTA(A164:N164)+COUNTA(Q164:W164)+COUNTA(Y164:AA164)=0,"",IF(OR(LEN(TRIM(A164))=0,LEN(TRIM(B164))=0,LEN(TRIM(C164))=0,LEN(TRIM(D164))=0,LEN(TRIM(E164))=0,LEN(TRIM(F164))=0,LEN(TRIM(G164))=0,LEN(TRIM(H164))=0,LEN(TRIM(I164))=0,LEN(TRIM(J164))=0,LEN(TRIM(R164))=0,LEN(TRIM(S164))=0,LEN(TRIM(T164))=0,LEN(TRIM(V164))=0,LEN(TRIM(W164))=0,LEN(TRIM(Y164))=0,LEN(TRIM(Z164))=0,LEN(TRIM(AA164))=0),"Indeterminate",IF(X164&lt;&gt;"OK","Indeterminate",IF(OR(E164="Indeterminate",F164="Indeterminate",G164="Indeterminate",R164="Indeterminate",S164="Indeterminate",T164="Indeterminate",V164="Indeterminate",W164="Indeterminate",Y164="Indeterminate",Z164="Indeterminate",AA164="Indeterminate"),"Indeterminate",IF(OR(E164="Sponsor controlled - invalid",F164="Sponsor veto - invalid",G164="Sponsor/candidate controlled - invalid",H164&lt;&gt;"Yes",I164&lt;&gt;"Yes",J164&lt;&gt;"Yes",R164="Predetermined outcome - invalid",S164="No credible precommitment",T164="Material assistance undisclosed",V164="Missing",V164="Changed after unblinding",W164="Material shared-model generation undisclosed",Y164="No protected reporting channel",Z164="No anonymity/confidentiality protection",AA164="No anti-retaliation safeguard"),"Inadequate",IF(OR(E164="Joint with firewall",F164="Independent with security redaction only",G164="Joint with public rules",K164&lt;&gt;"",AND(L164&lt;&gt;"",LOWER(L164)&lt;&gt;"none"),R164="Declared interest with enforceable firewall",S164="Conditional precommitment with disclosed limits",T164="Material assistance disclosed and separated",W164="Material shared-model generation disclosed",Z164="Not applicable with recorded rationale"),"Adequate with declared controls","Adequate"))))))</f>
        <v/>
      </c>
      <c r="P164">
        <f>IF(AND(O164="",N164=""),"",IF(AND(O164&lt;&gt;"",N164=""),"UNRECORDED",IF(AND(O164="",N164&lt;&gt;""),"ORPHAN_RECORDED",IF(O164=N164,"MATCH","MISMATCH"))))</f>
        <v/>
      </c>
      <c r="X164" s="303">
        <f>IF(COUNTA(E164:J164)+COUNTA(R164:T164)+COUNTA(V164:W164)+COUNTA(Y164:AA164)=0,"",IF(AND(COUNTIF(Vocabulary!$S$5:$S$8,E164)=1,COUNTIF(Vocabulary!$T$5:$T$8,F164)=1,COUNTIF(Vocabulary!$U$5:$U$8,G164)=1,COUNTIF(Vocabulary!$J$5:$J$6,H164)=1,COUNTIF(Vocabulary!$J$5:$J$6,I164)=1,COUNTIF(Vocabulary!$J$5:$J$6,J164)=1,COUNTIF(Vocabulary!$W$5:$W$8,R164)=1,COUNTIF(Vocabulary!$X$5:$X$8,S164)=1,COUNTIF(Vocabulary!$Y$5:$Y$9,T164)=1,COUNTIF(Vocabulary!$Z$5:$Z$8,V164)=1,COUNTIF(Vocabulary!$AA$5:$AA$9,W164)=1,COUNTIF(Vocabulary!$AB$5:$AB$7,Y164)=1,COUNTIF(Vocabulary!$AC$5:$AC$8,Z164)=1,COUNTIF(Vocabulary!$AD$5:$AD$7,AA164)=1),"OK","UNRECOGNISED_CONTROL_VALUE"))</f>
        <v/>
      </c>
      <c r="Y164" s="303" t="n"/>
      <c r="Z164" s="303" t="n"/>
      <c r="AA164" s="303" t="n"/>
    </row>
    <row r="165">
      <c r="O165">
        <f>IF(COUNTA(A165:N165)+COUNTA(Q165:W165)+COUNTA(Y165:AA165)=0,"",IF(OR(LEN(TRIM(A165))=0,LEN(TRIM(B165))=0,LEN(TRIM(C165))=0,LEN(TRIM(D165))=0,LEN(TRIM(E165))=0,LEN(TRIM(F165))=0,LEN(TRIM(G165))=0,LEN(TRIM(H165))=0,LEN(TRIM(I165))=0,LEN(TRIM(J165))=0,LEN(TRIM(R165))=0,LEN(TRIM(S165))=0,LEN(TRIM(T165))=0,LEN(TRIM(V165))=0,LEN(TRIM(W165))=0,LEN(TRIM(Y165))=0,LEN(TRIM(Z165))=0,LEN(TRIM(AA165))=0),"Indeterminate",IF(X165&lt;&gt;"OK","Indeterminate",IF(OR(E165="Indeterminate",F165="Indeterminate",G165="Indeterminate",R165="Indeterminate",S165="Indeterminate",T165="Indeterminate",V165="Indeterminate",W165="Indeterminate",Y165="Indeterminate",Z165="Indeterminate",AA165="Indeterminate"),"Indeterminate",IF(OR(E165="Sponsor controlled - invalid",F165="Sponsor veto - invalid",G165="Sponsor/candidate controlled - invalid",H165&lt;&gt;"Yes",I165&lt;&gt;"Yes",J165&lt;&gt;"Yes",R165="Predetermined outcome - invalid",S165="No credible precommitment",T165="Material assistance undisclosed",V165="Missing",V165="Changed after unblinding",W165="Material shared-model generation undisclosed",Y165="No protected reporting channel",Z165="No anonymity/confidentiality protection",AA165="No anti-retaliation safeguard"),"Inadequate",IF(OR(E165="Joint with firewall",F165="Independent with security redaction only",G165="Joint with public rules",K165&lt;&gt;"",AND(L165&lt;&gt;"",LOWER(L165)&lt;&gt;"none"),R165="Declared interest with enforceable firewall",S165="Conditional precommitment with disclosed limits",T165="Material assistance disclosed and separated",W165="Material shared-model generation disclosed",Z165="Not applicable with recorded rationale"),"Adequate with declared controls","Adequate"))))))</f>
        <v/>
      </c>
      <c r="P165">
        <f>IF(AND(O165="",N165=""),"",IF(AND(O165&lt;&gt;"",N165=""),"UNRECORDED",IF(AND(O165="",N165&lt;&gt;""),"ORPHAN_RECORDED",IF(O165=N165,"MATCH","MISMATCH"))))</f>
        <v/>
      </c>
      <c r="X165" s="303">
        <f>IF(COUNTA(E165:J165)+COUNTA(R165:T165)+COUNTA(V165:W165)+COUNTA(Y165:AA165)=0,"",IF(AND(COUNTIF(Vocabulary!$S$5:$S$8,E165)=1,COUNTIF(Vocabulary!$T$5:$T$8,F165)=1,COUNTIF(Vocabulary!$U$5:$U$8,G165)=1,COUNTIF(Vocabulary!$J$5:$J$6,H165)=1,COUNTIF(Vocabulary!$J$5:$J$6,I165)=1,COUNTIF(Vocabulary!$J$5:$J$6,J165)=1,COUNTIF(Vocabulary!$W$5:$W$8,R165)=1,COUNTIF(Vocabulary!$X$5:$X$8,S165)=1,COUNTIF(Vocabulary!$Y$5:$Y$9,T165)=1,COUNTIF(Vocabulary!$Z$5:$Z$8,V165)=1,COUNTIF(Vocabulary!$AA$5:$AA$9,W165)=1,COUNTIF(Vocabulary!$AB$5:$AB$7,Y165)=1,COUNTIF(Vocabulary!$AC$5:$AC$8,Z165)=1,COUNTIF(Vocabulary!$AD$5:$AD$7,AA165)=1),"OK","UNRECOGNISED_CONTROL_VALUE"))</f>
        <v/>
      </c>
      <c r="Y165" s="303" t="n"/>
      <c r="Z165" s="303" t="n"/>
      <c r="AA165" s="303" t="n"/>
    </row>
    <row r="166">
      <c r="O166">
        <f>IF(COUNTA(A166:N166)+COUNTA(Q166:W166)+COUNTA(Y166:AA166)=0,"",IF(OR(LEN(TRIM(A166))=0,LEN(TRIM(B166))=0,LEN(TRIM(C166))=0,LEN(TRIM(D166))=0,LEN(TRIM(E166))=0,LEN(TRIM(F166))=0,LEN(TRIM(G166))=0,LEN(TRIM(H166))=0,LEN(TRIM(I166))=0,LEN(TRIM(J166))=0,LEN(TRIM(R166))=0,LEN(TRIM(S166))=0,LEN(TRIM(T166))=0,LEN(TRIM(V166))=0,LEN(TRIM(W166))=0,LEN(TRIM(Y166))=0,LEN(TRIM(Z166))=0,LEN(TRIM(AA166))=0),"Indeterminate",IF(X166&lt;&gt;"OK","Indeterminate",IF(OR(E166="Indeterminate",F166="Indeterminate",G166="Indeterminate",R166="Indeterminate",S166="Indeterminate",T166="Indeterminate",V166="Indeterminate",W166="Indeterminate",Y166="Indeterminate",Z166="Indeterminate",AA166="Indeterminate"),"Indeterminate",IF(OR(E166="Sponsor controlled - invalid",F166="Sponsor veto - invalid",G166="Sponsor/candidate controlled - invalid",H166&lt;&gt;"Yes",I166&lt;&gt;"Yes",J166&lt;&gt;"Yes",R166="Predetermined outcome - invalid",S166="No credible precommitment",T166="Material assistance undisclosed",V166="Missing",V166="Changed after unblinding",W166="Material shared-model generation undisclosed",Y166="No protected reporting channel",Z166="No anonymity/confidentiality protection",AA166="No anti-retaliation safeguard"),"Inadequate",IF(OR(E166="Joint with firewall",F166="Independent with security redaction only",G166="Joint with public rules",K166&lt;&gt;"",AND(L166&lt;&gt;"",LOWER(L166)&lt;&gt;"none"),R166="Declared interest with enforceable firewall",S166="Conditional precommitment with disclosed limits",T166="Material assistance disclosed and separated",W166="Material shared-model generation disclosed",Z166="Not applicable with recorded rationale"),"Adequate with declared controls","Adequate"))))))</f>
        <v/>
      </c>
      <c r="P166">
        <f>IF(AND(O166="",N166=""),"",IF(AND(O166&lt;&gt;"",N166=""),"UNRECORDED",IF(AND(O166="",N166&lt;&gt;""),"ORPHAN_RECORDED",IF(O166=N166,"MATCH","MISMATCH"))))</f>
        <v/>
      </c>
      <c r="X166" s="303">
        <f>IF(COUNTA(E166:J166)+COUNTA(R166:T166)+COUNTA(V166:W166)+COUNTA(Y166:AA166)=0,"",IF(AND(COUNTIF(Vocabulary!$S$5:$S$8,E166)=1,COUNTIF(Vocabulary!$T$5:$T$8,F166)=1,COUNTIF(Vocabulary!$U$5:$U$8,G166)=1,COUNTIF(Vocabulary!$J$5:$J$6,H166)=1,COUNTIF(Vocabulary!$J$5:$J$6,I166)=1,COUNTIF(Vocabulary!$J$5:$J$6,J166)=1,COUNTIF(Vocabulary!$W$5:$W$8,R166)=1,COUNTIF(Vocabulary!$X$5:$X$8,S166)=1,COUNTIF(Vocabulary!$Y$5:$Y$9,T166)=1,COUNTIF(Vocabulary!$Z$5:$Z$8,V166)=1,COUNTIF(Vocabulary!$AA$5:$AA$9,W166)=1,COUNTIF(Vocabulary!$AB$5:$AB$7,Y166)=1,COUNTIF(Vocabulary!$AC$5:$AC$8,Z166)=1,COUNTIF(Vocabulary!$AD$5:$AD$7,AA166)=1),"OK","UNRECOGNISED_CONTROL_VALUE"))</f>
        <v/>
      </c>
      <c r="Y166" s="303" t="n"/>
      <c r="Z166" s="303" t="n"/>
      <c r="AA166" s="303" t="n"/>
    </row>
    <row r="167">
      <c r="O167">
        <f>IF(COUNTA(A167:N167)+COUNTA(Q167:W167)+COUNTA(Y167:AA167)=0,"",IF(OR(LEN(TRIM(A167))=0,LEN(TRIM(B167))=0,LEN(TRIM(C167))=0,LEN(TRIM(D167))=0,LEN(TRIM(E167))=0,LEN(TRIM(F167))=0,LEN(TRIM(G167))=0,LEN(TRIM(H167))=0,LEN(TRIM(I167))=0,LEN(TRIM(J167))=0,LEN(TRIM(R167))=0,LEN(TRIM(S167))=0,LEN(TRIM(T167))=0,LEN(TRIM(V167))=0,LEN(TRIM(W167))=0,LEN(TRIM(Y167))=0,LEN(TRIM(Z167))=0,LEN(TRIM(AA167))=0),"Indeterminate",IF(X167&lt;&gt;"OK","Indeterminate",IF(OR(E167="Indeterminate",F167="Indeterminate",G167="Indeterminate",R167="Indeterminate",S167="Indeterminate",T167="Indeterminate",V167="Indeterminate",W167="Indeterminate",Y167="Indeterminate",Z167="Indeterminate",AA167="Indeterminate"),"Indeterminate",IF(OR(E167="Sponsor controlled - invalid",F167="Sponsor veto - invalid",G167="Sponsor/candidate controlled - invalid",H167&lt;&gt;"Yes",I167&lt;&gt;"Yes",J167&lt;&gt;"Yes",R167="Predetermined outcome - invalid",S167="No credible precommitment",T167="Material assistance undisclosed",V167="Missing",V167="Changed after unblinding",W167="Material shared-model generation undisclosed",Y167="No protected reporting channel",Z167="No anonymity/confidentiality protection",AA167="No anti-retaliation safeguard"),"Inadequate",IF(OR(E167="Joint with firewall",F167="Independent with security redaction only",G167="Joint with public rules",K167&lt;&gt;"",AND(L167&lt;&gt;"",LOWER(L167)&lt;&gt;"none"),R167="Declared interest with enforceable firewall",S167="Conditional precommitment with disclosed limits",T167="Material assistance disclosed and separated",W167="Material shared-model generation disclosed",Z167="Not applicable with recorded rationale"),"Adequate with declared controls","Adequate"))))))</f>
        <v/>
      </c>
      <c r="P167">
        <f>IF(AND(O167="",N167=""),"",IF(AND(O167&lt;&gt;"",N167=""),"UNRECORDED",IF(AND(O167="",N167&lt;&gt;""),"ORPHAN_RECORDED",IF(O167=N167,"MATCH","MISMATCH"))))</f>
        <v/>
      </c>
      <c r="X167" s="303">
        <f>IF(COUNTA(E167:J167)+COUNTA(R167:T167)+COUNTA(V167:W167)+COUNTA(Y167:AA167)=0,"",IF(AND(COUNTIF(Vocabulary!$S$5:$S$8,E167)=1,COUNTIF(Vocabulary!$T$5:$T$8,F167)=1,COUNTIF(Vocabulary!$U$5:$U$8,G167)=1,COUNTIF(Vocabulary!$J$5:$J$6,H167)=1,COUNTIF(Vocabulary!$J$5:$J$6,I167)=1,COUNTIF(Vocabulary!$J$5:$J$6,J167)=1,COUNTIF(Vocabulary!$W$5:$W$8,R167)=1,COUNTIF(Vocabulary!$X$5:$X$8,S167)=1,COUNTIF(Vocabulary!$Y$5:$Y$9,T167)=1,COUNTIF(Vocabulary!$Z$5:$Z$8,V167)=1,COUNTIF(Vocabulary!$AA$5:$AA$9,W167)=1,COUNTIF(Vocabulary!$AB$5:$AB$7,Y167)=1,COUNTIF(Vocabulary!$AC$5:$AC$8,Z167)=1,COUNTIF(Vocabulary!$AD$5:$AD$7,AA167)=1),"OK","UNRECOGNISED_CONTROL_VALUE"))</f>
        <v/>
      </c>
      <c r="Y167" s="303" t="n"/>
      <c r="Z167" s="303" t="n"/>
      <c r="AA167" s="303" t="n"/>
    </row>
    <row r="168">
      <c r="O168">
        <f>IF(COUNTA(A168:N168)+COUNTA(Q168:W168)+COUNTA(Y168:AA168)=0,"",IF(OR(LEN(TRIM(A168))=0,LEN(TRIM(B168))=0,LEN(TRIM(C168))=0,LEN(TRIM(D168))=0,LEN(TRIM(E168))=0,LEN(TRIM(F168))=0,LEN(TRIM(G168))=0,LEN(TRIM(H168))=0,LEN(TRIM(I168))=0,LEN(TRIM(J168))=0,LEN(TRIM(R168))=0,LEN(TRIM(S168))=0,LEN(TRIM(T168))=0,LEN(TRIM(V168))=0,LEN(TRIM(W168))=0,LEN(TRIM(Y168))=0,LEN(TRIM(Z168))=0,LEN(TRIM(AA168))=0),"Indeterminate",IF(X168&lt;&gt;"OK","Indeterminate",IF(OR(E168="Indeterminate",F168="Indeterminate",G168="Indeterminate",R168="Indeterminate",S168="Indeterminate",T168="Indeterminate",V168="Indeterminate",W168="Indeterminate",Y168="Indeterminate",Z168="Indeterminate",AA168="Indeterminate"),"Indeterminate",IF(OR(E168="Sponsor controlled - invalid",F168="Sponsor veto - invalid",G168="Sponsor/candidate controlled - invalid",H168&lt;&gt;"Yes",I168&lt;&gt;"Yes",J168&lt;&gt;"Yes",R168="Predetermined outcome - invalid",S168="No credible precommitment",T168="Material assistance undisclosed",V168="Missing",V168="Changed after unblinding",W168="Material shared-model generation undisclosed",Y168="No protected reporting channel",Z168="No anonymity/confidentiality protection",AA168="No anti-retaliation safeguard"),"Inadequate",IF(OR(E168="Joint with firewall",F168="Independent with security redaction only",G168="Joint with public rules",K168&lt;&gt;"",AND(L168&lt;&gt;"",LOWER(L168)&lt;&gt;"none"),R168="Declared interest with enforceable firewall",S168="Conditional precommitment with disclosed limits",T168="Material assistance disclosed and separated",W168="Material shared-model generation disclosed",Z168="Not applicable with recorded rationale"),"Adequate with declared controls","Adequate"))))))</f>
        <v/>
      </c>
      <c r="P168">
        <f>IF(AND(O168="",N168=""),"",IF(AND(O168&lt;&gt;"",N168=""),"UNRECORDED",IF(AND(O168="",N168&lt;&gt;""),"ORPHAN_RECORDED",IF(O168=N168,"MATCH","MISMATCH"))))</f>
        <v/>
      </c>
      <c r="X168" s="303">
        <f>IF(COUNTA(E168:J168)+COUNTA(R168:T168)+COUNTA(V168:W168)+COUNTA(Y168:AA168)=0,"",IF(AND(COUNTIF(Vocabulary!$S$5:$S$8,E168)=1,COUNTIF(Vocabulary!$T$5:$T$8,F168)=1,COUNTIF(Vocabulary!$U$5:$U$8,G168)=1,COUNTIF(Vocabulary!$J$5:$J$6,H168)=1,COUNTIF(Vocabulary!$J$5:$J$6,I168)=1,COUNTIF(Vocabulary!$J$5:$J$6,J168)=1,COUNTIF(Vocabulary!$W$5:$W$8,R168)=1,COUNTIF(Vocabulary!$X$5:$X$8,S168)=1,COUNTIF(Vocabulary!$Y$5:$Y$9,T168)=1,COUNTIF(Vocabulary!$Z$5:$Z$8,V168)=1,COUNTIF(Vocabulary!$AA$5:$AA$9,W168)=1,COUNTIF(Vocabulary!$AB$5:$AB$7,Y168)=1,COUNTIF(Vocabulary!$AC$5:$AC$8,Z168)=1,COUNTIF(Vocabulary!$AD$5:$AD$7,AA168)=1),"OK","UNRECOGNISED_CONTROL_VALUE"))</f>
        <v/>
      </c>
      <c r="Y168" s="303" t="n"/>
      <c r="Z168" s="303" t="n"/>
      <c r="AA168" s="303" t="n"/>
    </row>
    <row r="169">
      <c r="O169">
        <f>IF(COUNTA(A169:N169)+COUNTA(Q169:W169)+COUNTA(Y169:AA169)=0,"",IF(OR(LEN(TRIM(A169))=0,LEN(TRIM(B169))=0,LEN(TRIM(C169))=0,LEN(TRIM(D169))=0,LEN(TRIM(E169))=0,LEN(TRIM(F169))=0,LEN(TRIM(G169))=0,LEN(TRIM(H169))=0,LEN(TRIM(I169))=0,LEN(TRIM(J169))=0,LEN(TRIM(R169))=0,LEN(TRIM(S169))=0,LEN(TRIM(T169))=0,LEN(TRIM(V169))=0,LEN(TRIM(W169))=0,LEN(TRIM(Y169))=0,LEN(TRIM(Z169))=0,LEN(TRIM(AA169))=0),"Indeterminate",IF(X169&lt;&gt;"OK","Indeterminate",IF(OR(E169="Indeterminate",F169="Indeterminate",G169="Indeterminate",R169="Indeterminate",S169="Indeterminate",T169="Indeterminate",V169="Indeterminate",W169="Indeterminate",Y169="Indeterminate",Z169="Indeterminate",AA169="Indeterminate"),"Indeterminate",IF(OR(E169="Sponsor controlled - invalid",F169="Sponsor veto - invalid",G169="Sponsor/candidate controlled - invalid",H169&lt;&gt;"Yes",I169&lt;&gt;"Yes",J169&lt;&gt;"Yes",R169="Predetermined outcome - invalid",S169="No credible precommitment",T169="Material assistance undisclosed",V169="Missing",V169="Changed after unblinding",W169="Material shared-model generation undisclosed",Y169="No protected reporting channel",Z169="No anonymity/confidentiality protection",AA169="No anti-retaliation safeguard"),"Inadequate",IF(OR(E169="Joint with firewall",F169="Independent with security redaction only",G169="Joint with public rules",K169&lt;&gt;"",AND(L169&lt;&gt;"",LOWER(L169)&lt;&gt;"none"),R169="Declared interest with enforceable firewall",S169="Conditional precommitment with disclosed limits",T169="Material assistance disclosed and separated",W169="Material shared-model generation disclosed",Z169="Not applicable with recorded rationale"),"Adequate with declared controls","Adequate"))))))</f>
        <v/>
      </c>
      <c r="P169">
        <f>IF(AND(O169="",N169=""),"",IF(AND(O169&lt;&gt;"",N169=""),"UNRECORDED",IF(AND(O169="",N169&lt;&gt;""),"ORPHAN_RECORDED",IF(O169=N169,"MATCH","MISMATCH"))))</f>
        <v/>
      </c>
      <c r="X169" s="303">
        <f>IF(COUNTA(E169:J169)+COUNTA(R169:T169)+COUNTA(V169:W169)+COUNTA(Y169:AA169)=0,"",IF(AND(COUNTIF(Vocabulary!$S$5:$S$8,E169)=1,COUNTIF(Vocabulary!$T$5:$T$8,F169)=1,COUNTIF(Vocabulary!$U$5:$U$8,G169)=1,COUNTIF(Vocabulary!$J$5:$J$6,H169)=1,COUNTIF(Vocabulary!$J$5:$J$6,I169)=1,COUNTIF(Vocabulary!$J$5:$J$6,J169)=1,COUNTIF(Vocabulary!$W$5:$W$8,R169)=1,COUNTIF(Vocabulary!$X$5:$X$8,S169)=1,COUNTIF(Vocabulary!$Y$5:$Y$9,T169)=1,COUNTIF(Vocabulary!$Z$5:$Z$8,V169)=1,COUNTIF(Vocabulary!$AA$5:$AA$9,W169)=1,COUNTIF(Vocabulary!$AB$5:$AB$7,Y169)=1,COUNTIF(Vocabulary!$AC$5:$AC$8,Z169)=1,COUNTIF(Vocabulary!$AD$5:$AD$7,AA169)=1),"OK","UNRECOGNISED_CONTROL_VALUE"))</f>
        <v/>
      </c>
      <c r="Y169" s="303" t="n"/>
      <c r="Z169" s="303" t="n"/>
      <c r="AA169" s="303" t="n"/>
    </row>
    <row r="170">
      <c r="O170">
        <f>IF(COUNTA(A170:N170)+COUNTA(Q170:W170)+COUNTA(Y170:AA170)=0,"",IF(OR(LEN(TRIM(A170))=0,LEN(TRIM(B170))=0,LEN(TRIM(C170))=0,LEN(TRIM(D170))=0,LEN(TRIM(E170))=0,LEN(TRIM(F170))=0,LEN(TRIM(G170))=0,LEN(TRIM(H170))=0,LEN(TRIM(I170))=0,LEN(TRIM(J170))=0,LEN(TRIM(R170))=0,LEN(TRIM(S170))=0,LEN(TRIM(T170))=0,LEN(TRIM(V170))=0,LEN(TRIM(W170))=0,LEN(TRIM(Y170))=0,LEN(TRIM(Z170))=0,LEN(TRIM(AA170))=0),"Indeterminate",IF(X170&lt;&gt;"OK","Indeterminate",IF(OR(E170="Indeterminate",F170="Indeterminate",G170="Indeterminate",R170="Indeterminate",S170="Indeterminate",T170="Indeterminate",V170="Indeterminate",W170="Indeterminate",Y170="Indeterminate",Z170="Indeterminate",AA170="Indeterminate"),"Indeterminate",IF(OR(E170="Sponsor controlled - invalid",F170="Sponsor veto - invalid",G170="Sponsor/candidate controlled - invalid",H170&lt;&gt;"Yes",I170&lt;&gt;"Yes",J170&lt;&gt;"Yes",R170="Predetermined outcome - invalid",S170="No credible precommitment",T170="Material assistance undisclosed",V170="Missing",V170="Changed after unblinding",W170="Material shared-model generation undisclosed",Y170="No protected reporting channel",Z170="No anonymity/confidentiality protection",AA170="No anti-retaliation safeguard"),"Inadequate",IF(OR(E170="Joint with firewall",F170="Independent with security redaction only",G170="Joint with public rules",K170&lt;&gt;"",AND(L170&lt;&gt;"",LOWER(L170)&lt;&gt;"none"),R170="Declared interest with enforceable firewall",S170="Conditional precommitment with disclosed limits",T170="Material assistance disclosed and separated",W170="Material shared-model generation disclosed",Z170="Not applicable with recorded rationale"),"Adequate with declared controls","Adequate"))))))</f>
        <v/>
      </c>
      <c r="P170">
        <f>IF(AND(O170="",N170=""),"",IF(AND(O170&lt;&gt;"",N170=""),"UNRECORDED",IF(AND(O170="",N170&lt;&gt;""),"ORPHAN_RECORDED",IF(O170=N170,"MATCH","MISMATCH"))))</f>
        <v/>
      </c>
      <c r="X170" s="303">
        <f>IF(COUNTA(E170:J170)+COUNTA(R170:T170)+COUNTA(V170:W170)+COUNTA(Y170:AA170)=0,"",IF(AND(COUNTIF(Vocabulary!$S$5:$S$8,E170)=1,COUNTIF(Vocabulary!$T$5:$T$8,F170)=1,COUNTIF(Vocabulary!$U$5:$U$8,G170)=1,COUNTIF(Vocabulary!$J$5:$J$6,H170)=1,COUNTIF(Vocabulary!$J$5:$J$6,I170)=1,COUNTIF(Vocabulary!$J$5:$J$6,J170)=1,COUNTIF(Vocabulary!$W$5:$W$8,R170)=1,COUNTIF(Vocabulary!$X$5:$X$8,S170)=1,COUNTIF(Vocabulary!$Y$5:$Y$9,T170)=1,COUNTIF(Vocabulary!$Z$5:$Z$8,V170)=1,COUNTIF(Vocabulary!$AA$5:$AA$9,W170)=1,COUNTIF(Vocabulary!$AB$5:$AB$7,Y170)=1,COUNTIF(Vocabulary!$AC$5:$AC$8,Z170)=1,COUNTIF(Vocabulary!$AD$5:$AD$7,AA170)=1),"OK","UNRECOGNISED_CONTROL_VALUE"))</f>
        <v/>
      </c>
      <c r="Y170" s="303" t="n"/>
      <c r="Z170" s="303" t="n"/>
      <c r="AA170" s="303" t="n"/>
    </row>
    <row r="171">
      <c r="O171">
        <f>IF(COUNTA(A171:N171)+COUNTA(Q171:W171)+COUNTA(Y171:AA171)=0,"",IF(OR(LEN(TRIM(A171))=0,LEN(TRIM(B171))=0,LEN(TRIM(C171))=0,LEN(TRIM(D171))=0,LEN(TRIM(E171))=0,LEN(TRIM(F171))=0,LEN(TRIM(G171))=0,LEN(TRIM(H171))=0,LEN(TRIM(I171))=0,LEN(TRIM(J171))=0,LEN(TRIM(R171))=0,LEN(TRIM(S171))=0,LEN(TRIM(T171))=0,LEN(TRIM(V171))=0,LEN(TRIM(W171))=0,LEN(TRIM(Y171))=0,LEN(TRIM(Z171))=0,LEN(TRIM(AA171))=0),"Indeterminate",IF(X171&lt;&gt;"OK","Indeterminate",IF(OR(E171="Indeterminate",F171="Indeterminate",G171="Indeterminate",R171="Indeterminate",S171="Indeterminate",T171="Indeterminate",V171="Indeterminate",W171="Indeterminate",Y171="Indeterminate",Z171="Indeterminate",AA171="Indeterminate"),"Indeterminate",IF(OR(E171="Sponsor controlled - invalid",F171="Sponsor veto - invalid",G171="Sponsor/candidate controlled - invalid",H171&lt;&gt;"Yes",I171&lt;&gt;"Yes",J171&lt;&gt;"Yes",R171="Predetermined outcome - invalid",S171="No credible precommitment",T171="Material assistance undisclosed",V171="Missing",V171="Changed after unblinding",W171="Material shared-model generation undisclosed",Y171="No protected reporting channel",Z171="No anonymity/confidentiality protection",AA171="No anti-retaliation safeguard"),"Inadequate",IF(OR(E171="Joint with firewall",F171="Independent with security redaction only",G171="Joint with public rules",K171&lt;&gt;"",AND(L171&lt;&gt;"",LOWER(L171)&lt;&gt;"none"),R171="Declared interest with enforceable firewall",S171="Conditional precommitment with disclosed limits",T171="Material assistance disclosed and separated",W171="Material shared-model generation disclosed",Z171="Not applicable with recorded rationale"),"Adequate with declared controls","Adequate"))))))</f>
        <v/>
      </c>
      <c r="P171">
        <f>IF(AND(O171="",N171=""),"",IF(AND(O171&lt;&gt;"",N171=""),"UNRECORDED",IF(AND(O171="",N171&lt;&gt;""),"ORPHAN_RECORDED",IF(O171=N171,"MATCH","MISMATCH"))))</f>
        <v/>
      </c>
      <c r="X171" s="303">
        <f>IF(COUNTA(E171:J171)+COUNTA(R171:T171)+COUNTA(V171:W171)+COUNTA(Y171:AA171)=0,"",IF(AND(COUNTIF(Vocabulary!$S$5:$S$8,E171)=1,COUNTIF(Vocabulary!$T$5:$T$8,F171)=1,COUNTIF(Vocabulary!$U$5:$U$8,G171)=1,COUNTIF(Vocabulary!$J$5:$J$6,H171)=1,COUNTIF(Vocabulary!$J$5:$J$6,I171)=1,COUNTIF(Vocabulary!$J$5:$J$6,J171)=1,COUNTIF(Vocabulary!$W$5:$W$8,R171)=1,COUNTIF(Vocabulary!$X$5:$X$8,S171)=1,COUNTIF(Vocabulary!$Y$5:$Y$9,T171)=1,COUNTIF(Vocabulary!$Z$5:$Z$8,V171)=1,COUNTIF(Vocabulary!$AA$5:$AA$9,W171)=1,COUNTIF(Vocabulary!$AB$5:$AB$7,Y171)=1,COUNTIF(Vocabulary!$AC$5:$AC$8,Z171)=1,COUNTIF(Vocabulary!$AD$5:$AD$7,AA171)=1),"OK","UNRECOGNISED_CONTROL_VALUE"))</f>
        <v/>
      </c>
      <c r="Y171" s="303" t="n"/>
      <c r="Z171" s="303" t="n"/>
      <c r="AA171" s="303" t="n"/>
    </row>
    <row r="172">
      <c r="O172">
        <f>IF(COUNTA(A172:N172)+COUNTA(Q172:W172)+COUNTA(Y172:AA172)=0,"",IF(OR(LEN(TRIM(A172))=0,LEN(TRIM(B172))=0,LEN(TRIM(C172))=0,LEN(TRIM(D172))=0,LEN(TRIM(E172))=0,LEN(TRIM(F172))=0,LEN(TRIM(G172))=0,LEN(TRIM(H172))=0,LEN(TRIM(I172))=0,LEN(TRIM(J172))=0,LEN(TRIM(R172))=0,LEN(TRIM(S172))=0,LEN(TRIM(T172))=0,LEN(TRIM(V172))=0,LEN(TRIM(W172))=0,LEN(TRIM(Y172))=0,LEN(TRIM(Z172))=0,LEN(TRIM(AA172))=0),"Indeterminate",IF(X172&lt;&gt;"OK","Indeterminate",IF(OR(E172="Indeterminate",F172="Indeterminate",G172="Indeterminate",R172="Indeterminate",S172="Indeterminate",T172="Indeterminate",V172="Indeterminate",W172="Indeterminate",Y172="Indeterminate",Z172="Indeterminate",AA172="Indeterminate"),"Indeterminate",IF(OR(E172="Sponsor controlled - invalid",F172="Sponsor veto - invalid",G172="Sponsor/candidate controlled - invalid",H172&lt;&gt;"Yes",I172&lt;&gt;"Yes",J172&lt;&gt;"Yes",R172="Predetermined outcome - invalid",S172="No credible precommitment",T172="Material assistance undisclosed",V172="Missing",V172="Changed after unblinding",W172="Material shared-model generation undisclosed",Y172="No protected reporting channel",Z172="No anonymity/confidentiality protection",AA172="No anti-retaliation safeguard"),"Inadequate",IF(OR(E172="Joint with firewall",F172="Independent with security redaction only",G172="Joint with public rules",K172&lt;&gt;"",AND(L172&lt;&gt;"",LOWER(L172)&lt;&gt;"none"),R172="Declared interest with enforceable firewall",S172="Conditional precommitment with disclosed limits",T172="Material assistance disclosed and separated",W172="Material shared-model generation disclosed",Z172="Not applicable with recorded rationale"),"Adequate with declared controls","Adequate"))))))</f>
        <v/>
      </c>
      <c r="P172">
        <f>IF(AND(O172="",N172=""),"",IF(AND(O172&lt;&gt;"",N172=""),"UNRECORDED",IF(AND(O172="",N172&lt;&gt;""),"ORPHAN_RECORDED",IF(O172=N172,"MATCH","MISMATCH"))))</f>
        <v/>
      </c>
      <c r="X172" s="303">
        <f>IF(COUNTA(E172:J172)+COUNTA(R172:T172)+COUNTA(V172:W172)+COUNTA(Y172:AA172)=0,"",IF(AND(COUNTIF(Vocabulary!$S$5:$S$8,E172)=1,COUNTIF(Vocabulary!$T$5:$T$8,F172)=1,COUNTIF(Vocabulary!$U$5:$U$8,G172)=1,COUNTIF(Vocabulary!$J$5:$J$6,H172)=1,COUNTIF(Vocabulary!$J$5:$J$6,I172)=1,COUNTIF(Vocabulary!$J$5:$J$6,J172)=1,COUNTIF(Vocabulary!$W$5:$W$8,R172)=1,COUNTIF(Vocabulary!$X$5:$X$8,S172)=1,COUNTIF(Vocabulary!$Y$5:$Y$9,T172)=1,COUNTIF(Vocabulary!$Z$5:$Z$8,V172)=1,COUNTIF(Vocabulary!$AA$5:$AA$9,W172)=1,COUNTIF(Vocabulary!$AB$5:$AB$7,Y172)=1,COUNTIF(Vocabulary!$AC$5:$AC$8,Z172)=1,COUNTIF(Vocabulary!$AD$5:$AD$7,AA172)=1),"OK","UNRECOGNISED_CONTROL_VALUE"))</f>
        <v/>
      </c>
      <c r="Y172" s="303" t="n"/>
      <c r="Z172" s="303" t="n"/>
      <c r="AA172" s="303" t="n"/>
    </row>
    <row r="173">
      <c r="O173">
        <f>IF(COUNTA(A173:N173)+COUNTA(Q173:W173)+COUNTA(Y173:AA173)=0,"",IF(OR(LEN(TRIM(A173))=0,LEN(TRIM(B173))=0,LEN(TRIM(C173))=0,LEN(TRIM(D173))=0,LEN(TRIM(E173))=0,LEN(TRIM(F173))=0,LEN(TRIM(G173))=0,LEN(TRIM(H173))=0,LEN(TRIM(I173))=0,LEN(TRIM(J173))=0,LEN(TRIM(R173))=0,LEN(TRIM(S173))=0,LEN(TRIM(T173))=0,LEN(TRIM(V173))=0,LEN(TRIM(W173))=0,LEN(TRIM(Y173))=0,LEN(TRIM(Z173))=0,LEN(TRIM(AA173))=0),"Indeterminate",IF(X173&lt;&gt;"OK","Indeterminate",IF(OR(E173="Indeterminate",F173="Indeterminate",G173="Indeterminate",R173="Indeterminate",S173="Indeterminate",T173="Indeterminate",V173="Indeterminate",W173="Indeterminate",Y173="Indeterminate",Z173="Indeterminate",AA173="Indeterminate"),"Indeterminate",IF(OR(E173="Sponsor controlled - invalid",F173="Sponsor veto - invalid",G173="Sponsor/candidate controlled - invalid",H173&lt;&gt;"Yes",I173&lt;&gt;"Yes",J173&lt;&gt;"Yes",R173="Predetermined outcome - invalid",S173="No credible precommitment",T173="Material assistance undisclosed",V173="Missing",V173="Changed after unblinding",W173="Material shared-model generation undisclosed",Y173="No protected reporting channel",Z173="No anonymity/confidentiality protection",AA173="No anti-retaliation safeguard"),"Inadequate",IF(OR(E173="Joint with firewall",F173="Independent with security redaction only",G173="Joint with public rules",K173&lt;&gt;"",AND(L173&lt;&gt;"",LOWER(L173)&lt;&gt;"none"),R173="Declared interest with enforceable firewall",S173="Conditional precommitment with disclosed limits",T173="Material assistance disclosed and separated",W173="Material shared-model generation disclosed",Z173="Not applicable with recorded rationale"),"Adequate with declared controls","Adequate"))))))</f>
        <v/>
      </c>
      <c r="P173">
        <f>IF(AND(O173="",N173=""),"",IF(AND(O173&lt;&gt;"",N173=""),"UNRECORDED",IF(AND(O173="",N173&lt;&gt;""),"ORPHAN_RECORDED",IF(O173=N173,"MATCH","MISMATCH"))))</f>
        <v/>
      </c>
      <c r="X173" s="303">
        <f>IF(COUNTA(E173:J173)+COUNTA(R173:T173)+COUNTA(V173:W173)+COUNTA(Y173:AA173)=0,"",IF(AND(COUNTIF(Vocabulary!$S$5:$S$8,E173)=1,COUNTIF(Vocabulary!$T$5:$T$8,F173)=1,COUNTIF(Vocabulary!$U$5:$U$8,G173)=1,COUNTIF(Vocabulary!$J$5:$J$6,H173)=1,COUNTIF(Vocabulary!$J$5:$J$6,I173)=1,COUNTIF(Vocabulary!$J$5:$J$6,J173)=1,COUNTIF(Vocabulary!$W$5:$W$8,R173)=1,COUNTIF(Vocabulary!$X$5:$X$8,S173)=1,COUNTIF(Vocabulary!$Y$5:$Y$9,T173)=1,COUNTIF(Vocabulary!$Z$5:$Z$8,V173)=1,COUNTIF(Vocabulary!$AA$5:$AA$9,W173)=1,COUNTIF(Vocabulary!$AB$5:$AB$7,Y173)=1,COUNTIF(Vocabulary!$AC$5:$AC$8,Z173)=1,COUNTIF(Vocabulary!$AD$5:$AD$7,AA173)=1),"OK","UNRECOGNISED_CONTROL_VALUE"))</f>
        <v/>
      </c>
      <c r="Y173" s="303" t="n"/>
      <c r="Z173" s="303" t="n"/>
      <c r="AA173" s="303" t="n"/>
    </row>
    <row r="174">
      <c r="O174">
        <f>IF(COUNTA(A174:N174)+COUNTA(Q174:W174)+COUNTA(Y174:AA174)=0,"",IF(OR(LEN(TRIM(A174))=0,LEN(TRIM(B174))=0,LEN(TRIM(C174))=0,LEN(TRIM(D174))=0,LEN(TRIM(E174))=0,LEN(TRIM(F174))=0,LEN(TRIM(G174))=0,LEN(TRIM(H174))=0,LEN(TRIM(I174))=0,LEN(TRIM(J174))=0,LEN(TRIM(R174))=0,LEN(TRIM(S174))=0,LEN(TRIM(T174))=0,LEN(TRIM(V174))=0,LEN(TRIM(W174))=0,LEN(TRIM(Y174))=0,LEN(TRIM(Z174))=0,LEN(TRIM(AA174))=0),"Indeterminate",IF(X174&lt;&gt;"OK","Indeterminate",IF(OR(E174="Indeterminate",F174="Indeterminate",G174="Indeterminate",R174="Indeterminate",S174="Indeterminate",T174="Indeterminate",V174="Indeterminate",W174="Indeterminate",Y174="Indeterminate",Z174="Indeterminate",AA174="Indeterminate"),"Indeterminate",IF(OR(E174="Sponsor controlled - invalid",F174="Sponsor veto - invalid",G174="Sponsor/candidate controlled - invalid",H174&lt;&gt;"Yes",I174&lt;&gt;"Yes",J174&lt;&gt;"Yes",R174="Predetermined outcome - invalid",S174="No credible precommitment",T174="Material assistance undisclosed",V174="Missing",V174="Changed after unblinding",W174="Material shared-model generation undisclosed",Y174="No protected reporting channel",Z174="No anonymity/confidentiality protection",AA174="No anti-retaliation safeguard"),"Inadequate",IF(OR(E174="Joint with firewall",F174="Independent with security redaction only",G174="Joint with public rules",K174&lt;&gt;"",AND(L174&lt;&gt;"",LOWER(L174)&lt;&gt;"none"),R174="Declared interest with enforceable firewall",S174="Conditional precommitment with disclosed limits",T174="Material assistance disclosed and separated",W174="Material shared-model generation disclosed",Z174="Not applicable with recorded rationale"),"Adequate with declared controls","Adequate"))))))</f>
        <v/>
      </c>
      <c r="P174">
        <f>IF(AND(O174="",N174=""),"",IF(AND(O174&lt;&gt;"",N174=""),"UNRECORDED",IF(AND(O174="",N174&lt;&gt;""),"ORPHAN_RECORDED",IF(O174=N174,"MATCH","MISMATCH"))))</f>
        <v/>
      </c>
      <c r="X174" s="303">
        <f>IF(COUNTA(E174:J174)+COUNTA(R174:T174)+COUNTA(V174:W174)+COUNTA(Y174:AA174)=0,"",IF(AND(COUNTIF(Vocabulary!$S$5:$S$8,E174)=1,COUNTIF(Vocabulary!$T$5:$T$8,F174)=1,COUNTIF(Vocabulary!$U$5:$U$8,G174)=1,COUNTIF(Vocabulary!$J$5:$J$6,H174)=1,COUNTIF(Vocabulary!$J$5:$J$6,I174)=1,COUNTIF(Vocabulary!$J$5:$J$6,J174)=1,COUNTIF(Vocabulary!$W$5:$W$8,R174)=1,COUNTIF(Vocabulary!$X$5:$X$8,S174)=1,COUNTIF(Vocabulary!$Y$5:$Y$9,T174)=1,COUNTIF(Vocabulary!$Z$5:$Z$8,V174)=1,COUNTIF(Vocabulary!$AA$5:$AA$9,W174)=1,COUNTIF(Vocabulary!$AB$5:$AB$7,Y174)=1,COUNTIF(Vocabulary!$AC$5:$AC$8,Z174)=1,COUNTIF(Vocabulary!$AD$5:$AD$7,AA174)=1),"OK","UNRECOGNISED_CONTROL_VALUE"))</f>
        <v/>
      </c>
      <c r="Y174" s="303" t="n"/>
      <c r="Z174" s="303" t="n"/>
      <c r="AA174" s="303" t="n"/>
    </row>
    <row r="175">
      <c r="O175">
        <f>IF(COUNTA(A175:N175)+COUNTA(Q175:W175)+COUNTA(Y175:AA175)=0,"",IF(OR(LEN(TRIM(A175))=0,LEN(TRIM(B175))=0,LEN(TRIM(C175))=0,LEN(TRIM(D175))=0,LEN(TRIM(E175))=0,LEN(TRIM(F175))=0,LEN(TRIM(G175))=0,LEN(TRIM(H175))=0,LEN(TRIM(I175))=0,LEN(TRIM(J175))=0,LEN(TRIM(R175))=0,LEN(TRIM(S175))=0,LEN(TRIM(T175))=0,LEN(TRIM(V175))=0,LEN(TRIM(W175))=0,LEN(TRIM(Y175))=0,LEN(TRIM(Z175))=0,LEN(TRIM(AA175))=0),"Indeterminate",IF(X175&lt;&gt;"OK","Indeterminate",IF(OR(E175="Indeterminate",F175="Indeterminate",G175="Indeterminate",R175="Indeterminate",S175="Indeterminate",T175="Indeterminate",V175="Indeterminate",W175="Indeterminate",Y175="Indeterminate",Z175="Indeterminate",AA175="Indeterminate"),"Indeterminate",IF(OR(E175="Sponsor controlled - invalid",F175="Sponsor veto - invalid",G175="Sponsor/candidate controlled - invalid",H175&lt;&gt;"Yes",I175&lt;&gt;"Yes",J175&lt;&gt;"Yes",R175="Predetermined outcome - invalid",S175="No credible precommitment",T175="Material assistance undisclosed",V175="Missing",V175="Changed after unblinding",W175="Material shared-model generation undisclosed",Y175="No protected reporting channel",Z175="No anonymity/confidentiality protection",AA175="No anti-retaliation safeguard"),"Inadequate",IF(OR(E175="Joint with firewall",F175="Independent with security redaction only",G175="Joint with public rules",K175&lt;&gt;"",AND(L175&lt;&gt;"",LOWER(L175)&lt;&gt;"none"),R175="Declared interest with enforceable firewall",S175="Conditional precommitment with disclosed limits",T175="Material assistance disclosed and separated",W175="Material shared-model generation disclosed",Z175="Not applicable with recorded rationale"),"Adequate with declared controls","Adequate"))))))</f>
        <v/>
      </c>
      <c r="P175">
        <f>IF(AND(O175="",N175=""),"",IF(AND(O175&lt;&gt;"",N175=""),"UNRECORDED",IF(AND(O175="",N175&lt;&gt;""),"ORPHAN_RECORDED",IF(O175=N175,"MATCH","MISMATCH"))))</f>
        <v/>
      </c>
      <c r="X175" s="303">
        <f>IF(COUNTA(E175:J175)+COUNTA(R175:T175)+COUNTA(V175:W175)+COUNTA(Y175:AA175)=0,"",IF(AND(COUNTIF(Vocabulary!$S$5:$S$8,E175)=1,COUNTIF(Vocabulary!$T$5:$T$8,F175)=1,COUNTIF(Vocabulary!$U$5:$U$8,G175)=1,COUNTIF(Vocabulary!$J$5:$J$6,H175)=1,COUNTIF(Vocabulary!$J$5:$J$6,I175)=1,COUNTIF(Vocabulary!$J$5:$J$6,J175)=1,COUNTIF(Vocabulary!$W$5:$W$8,R175)=1,COUNTIF(Vocabulary!$X$5:$X$8,S175)=1,COUNTIF(Vocabulary!$Y$5:$Y$9,T175)=1,COUNTIF(Vocabulary!$Z$5:$Z$8,V175)=1,COUNTIF(Vocabulary!$AA$5:$AA$9,W175)=1,COUNTIF(Vocabulary!$AB$5:$AB$7,Y175)=1,COUNTIF(Vocabulary!$AC$5:$AC$8,Z175)=1,COUNTIF(Vocabulary!$AD$5:$AD$7,AA175)=1),"OK","UNRECOGNISED_CONTROL_VALUE"))</f>
        <v/>
      </c>
      <c r="Y175" s="303" t="n"/>
      <c r="Z175" s="303" t="n"/>
      <c r="AA175" s="303" t="n"/>
    </row>
    <row r="176">
      <c r="O176">
        <f>IF(COUNTA(A176:N176)+COUNTA(Q176:W176)+COUNTA(Y176:AA176)=0,"",IF(OR(LEN(TRIM(A176))=0,LEN(TRIM(B176))=0,LEN(TRIM(C176))=0,LEN(TRIM(D176))=0,LEN(TRIM(E176))=0,LEN(TRIM(F176))=0,LEN(TRIM(G176))=0,LEN(TRIM(H176))=0,LEN(TRIM(I176))=0,LEN(TRIM(J176))=0,LEN(TRIM(R176))=0,LEN(TRIM(S176))=0,LEN(TRIM(T176))=0,LEN(TRIM(V176))=0,LEN(TRIM(W176))=0,LEN(TRIM(Y176))=0,LEN(TRIM(Z176))=0,LEN(TRIM(AA176))=0),"Indeterminate",IF(X176&lt;&gt;"OK","Indeterminate",IF(OR(E176="Indeterminate",F176="Indeterminate",G176="Indeterminate",R176="Indeterminate",S176="Indeterminate",T176="Indeterminate",V176="Indeterminate",W176="Indeterminate",Y176="Indeterminate",Z176="Indeterminate",AA176="Indeterminate"),"Indeterminate",IF(OR(E176="Sponsor controlled - invalid",F176="Sponsor veto - invalid",G176="Sponsor/candidate controlled - invalid",H176&lt;&gt;"Yes",I176&lt;&gt;"Yes",J176&lt;&gt;"Yes",R176="Predetermined outcome - invalid",S176="No credible precommitment",T176="Material assistance undisclosed",V176="Missing",V176="Changed after unblinding",W176="Material shared-model generation undisclosed",Y176="No protected reporting channel",Z176="No anonymity/confidentiality protection",AA176="No anti-retaliation safeguard"),"Inadequate",IF(OR(E176="Joint with firewall",F176="Independent with security redaction only",G176="Joint with public rules",K176&lt;&gt;"",AND(L176&lt;&gt;"",LOWER(L176)&lt;&gt;"none"),R176="Declared interest with enforceable firewall",S176="Conditional precommitment with disclosed limits",T176="Material assistance disclosed and separated",W176="Material shared-model generation disclosed",Z176="Not applicable with recorded rationale"),"Adequate with declared controls","Adequate"))))))</f>
        <v/>
      </c>
      <c r="P176">
        <f>IF(AND(O176="",N176=""),"",IF(AND(O176&lt;&gt;"",N176=""),"UNRECORDED",IF(AND(O176="",N176&lt;&gt;""),"ORPHAN_RECORDED",IF(O176=N176,"MATCH","MISMATCH"))))</f>
        <v/>
      </c>
      <c r="X176" s="303">
        <f>IF(COUNTA(E176:J176)+COUNTA(R176:T176)+COUNTA(V176:W176)+COUNTA(Y176:AA176)=0,"",IF(AND(COUNTIF(Vocabulary!$S$5:$S$8,E176)=1,COUNTIF(Vocabulary!$T$5:$T$8,F176)=1,COUNTIF(Vocabulary!$U$5:$U$8,G176)=1,COUNTIF(Vocabulary!$J$5:$J$6,H176)=1,COUNTIF(Vocabulary!$J$5:$J$6,I176)=1,COUNTIF(Vocabulary!$J$5:$J$6,J176)=1,COUNTIF(Vocabulary!$W$5:$W$8,R176)=1,COUNTIF(Vocabulary!$X$5:$X$8,S176)=1,COUNTIF(Vocabulary!$Y$5:$Y$9,T176)=1,COUNTIF(Vocabulary!$Z$5:$Z$8,V176)=1,COUNTIF(Vocabulary!$AA$5:$AA$9,W176)=1,COUNTIF(Vocabulary!$AB$5:$AB$7,Y176)=1,COUNTIF(Vocabulary!$AC$5:$AC$8,Z176)=1,COUNTIF(Vocabulary!$AD$5:$AD$7,AA176)=1),"OK","UNRECOGNISED_CONTROL_VALUE"))</f>
        <v/>
      </c>
      <c r="Y176" s="303" t="n"/>
      <c r="Z176" s="303" t="n"/>
      <c r="AA176" s="303" t="n"/>
    </row>
    <row r="177">
      <c r="O177">
        <f>IF(COUNTA(A177:N177)+COUNTA(Q177:W177)+COUNTA(Y177:AA177)=0,"",IF(OR(LEN(TRIM(A177))=0,LEN(TRIM(B177))=0,LEN(TRIM(C177))=0,LEN(TRIM(D177))=0,LEN(TRIM(E177))=0,LEN(TRIM(F177))=0,LEN(TRIM(G177))=0,LEN(TRIM(H177))=0,LEN(TRIM(I177))=0,LEN(TRIM(J177))=0,LEN(TRIM(R177))=0,LEN(TRIM(S177))=0,LEN(TRIM(T177))=0,LEN(TRIM(V177))=0,LEN(TRIM(W177))=0,LEN(TRIM(Y177))=0,LEN(TRIM(Z177))=0,LEN(TRIM(AA177))=0),"Indeterminate",IF(X177&lt;&gt;"OK","Indeterminate",IF(OR(E177="Indeterminate",F177="Indeterminate",G177="Indeterminate",R177="Indeterminate",S177="Indeterminate",T177="Indeterminate",V177="Indeterminate",W177="Indeterminate",Y177="Indeterminate",Z177="Indeterminate",AA177="Indeterminate"),"Indeterminate",IF(OR(E177="Sponsor controlled - invalid",F177="Sponsor veto - invalid",G177="Sponsor/candidate controlled - invalid",H177&lt;&gt;"Yes",I177&lt;&gt;"Yes",J177&lt;&gt;"Yes",R177="Predetermined outcome - invalid",S177="No credible precommitment",T177="Material assistance undisclosed",V177="Missing",V177="Changed after unblinding",W177="Material shared-model generation undisclosed",Y177="No protected reporting channel",Z177="No anonymity/confidentiality protection",AA177="No anti-retaliation safeguard"),"Inadequate",IF(OR(E177="Joint with firewall",F177="Independent with security redaction only",G177="Joint with public rules",K177&lt;&gt;"",AND(L177&lt;&gt;"",LOWER(L177)&lt;&gt;"none"),R177="Declared interest with enforceable firewall",S177="Conditional precommitment with disclosed limits",T177="Material assistance disclosed and separated",W177="Material shared-model generation disclosed",Z177="Not applicable with recorded rationale"),"Adequate with declared controls","Adequate"))))))</f>
        <v/>
      </c>
      <c r="P177">
        <f>IF(AND(O177="",N177=""),"",IF(AND(O177&lt;&gt;"",N177=""),"UNRECORDED",IF(AND(O177="",N177&lt;&gt;""),"ORPHAN_RECORDED",IF(O177=N177,"MATCH","MISMATCH"))))</f>
        <v/>
      </c>
      <c r="X177" s="303">
        <f>IF(COUNTA(E177:J177)+COUNTA(R177:T177)+COUNTA(V177:W177)+COUNTA(Y177:AA177)=0,"",IF(AND(COUNTIF(Vocabulary!$S$5:$S$8,E177)=1,COUNTIF(Vocabulary!$T$5:$T$8,F177)=1,COUNTIF(Vocabulary!$U$5:$U$8,G177)=1,COUNTIF(Vocabulary!$J$5:$J$6,H177)=1,COUNTIF(Vocabulary!$J$5:$J$6,I177)=1,COUNTIF(Vocabulary!$J$5:$J$6,J177)=1,COUNTIF(Vocabulary!$W$5:$W$8,R177)=1,COUNTIF(Vocabulary!$X$5:$X$8,S177)=1,COUNTIF(Vocabulary!$Y$5:$Y$9,T177)=1,COUNTIF(Vocabulary!$Z$5:$Z$8,V177)=1,COUNTIF(Vocabulary!$AA$5:$AA$9,W177)=1,COUNTIF(Vocabulary!$AB$5:$AB$7,Y177)=1,COUNTIF(Vocabulary!$AC$5:$AC$8,Z177)=1,COUNTIF(Vocabulary!$AD$5:$AD$7,AA177)=1),"OK","UNRECOGNISED_CONTROL_VALUE"))</f>
        <v/>
      </c>
      <c r="Y177" s="303" t="n"/>
      <c r="Z177" s="303" t="n"/>
      <c r="AA177" s="303" t="n"/>
    </row>
    <row r="178">
      <c r="O178">
        <f>IF(COUNTA(A178:N178)+COUNTA(Q178:W178)+COUNTA(Y178:AA178)=0,"",IF(OR(LEN(TRIM(A178))=0,LEN(TRIM(B178))=0,LEN(TRIM(C178))=0,LEN(TRIM(D178))=0,LEN(TRIM(E178))=0,LEN(TRIM(F178))=0,LEN(TRIM(G178))=0,LEN(TRIM(H178))=0,LEN(TRIM(I178))=0,LEN(TRIM(J178))=0,LEN(TRIM(R178))=0,LEN(TRIM(S178))=0,LEN(TRIM(T178))=0,LEN(TRIM(V178))=0,LEN(TRIM(W178))=0,LEN(TRIM(Y178))=0,LEN(TRIM(Z178))=0,LEN(TRIM(AA178))=0),"Indeterminate",IF(X178&lt;&gt;"OK","Indeterminate",IF(OR(E178="Indeterminate",F178="Indeterminate",G178="Indeterminate",R178="Indeterminate",S178="Indeterminate",T178="Indeterminate",V178="Indeterminate",W178="Indeterminate",Y178="Indeterminate",Z178="Indeterminate",AA178="Indeterminate"),"Indeterminate",IF(OR(E178="Sponsor controlled - invalid",F178="Sponsor veto - invalid",G178="Sponsor/candidate controlled - invalid",H178&lt;&gt;"Yes",I178&lt;&gt;"Yes",J178&lt;&gt;"Yes",R178="Predetermined outcome - invalid",S178="No credible precommitment",T178="Material assistance undisclosed",V178="Missing",V178="Changed after unblinding",W178="Material shared-model generation undisclosed",Y178="No protected reporting channel",Z178="No anonymity/confidentiality protection",AA178="No anti-retaliation safeguard"),"Inadequate",IF(OR(E178="Joint with firewall",F178="Independent with security redaction only",G178="Joint with public rules",K178&lt;&gt;"",AND(L178&lt;&gt;"",LOWER(L178)&lt;&gt;"none"),R178="Declared interest with enforceable firewall",S178="Conditional precommitment with disclosed limits",T178="Material assistance disclosed and separated",W178="Material shared-model generation disclosed",Z178="Not applicable with recorded rationale"),"Adequate with declared controls","Adequate"))))))</f>
        <v/>
      </c>
      <c r="P178">
        <f>IF(AND(O178="",N178=""),"",IF(AND(O178&lt;&gt;"",N178=""),"UNRECORDED",IF(AND(O178="",N178&lt;&gt;""),"ORPHAN_RECORDED",IF(O178=N178,"MATCH","MISMATCH"))))</f>
        <v/>
      </c>
      <c r="X178" s="303">
        <f>IF(COUNTA(E178:J178)+COUNTA(R178:T178)+COUNTA(V178:W178)+COUNTA(Y178:AA178)=0,"",IF(AND(COUNTIF(Vocabulary!$S$5:$S$8,E178)=1,COUNTIF(Vocabulary!$T$5:$T$8,F178)=1,COUNTIF(Vocabulary!$U$5:$U$8,G178)=1,COUNTIF(Vocabulary!$J$5:$J$6,H178)=1,COUNTIF(Vocabulary!$J$5:$J$6,I178)=1,COUNTIF(Vocabulary!$J$5:$J$6,J178)=1,COUNTIF(Vocabulary!$W$5:$W$8,R178)=1,COUNTIF(Vocabulary!$X$5:$X$8,S178)=1,COUNTIF(Vocabulary!$Y$5:$Y$9,T178)=1,COUNTIF(Vocabulary!$Z$5:$Z$8,V178)=1,COUNTIF(Vocabulary!$AA$5:$AA$9,W178)=1,COUNTIF(Vocabulary!$AB$5:$AB$7,Y178)=1,COUNTIF(Vocabulary!$AC$5:$AC$8,Z178)=1,COUNTIF(Vocabulary!$AD$5:$AD$7,AA178)=1),"OK","UNRECOGNISED_CONTROL_VALUE"))</f>
        <v/>
      </c>
      <c r="Y178" s="303" t="n"/>
      <c r="Z178" s="303" t="n"/>
      <c r="AA178" s="303" t="n"/>
    </row>
    <row r="179">
      <c r="O179">
        <f>IF(COUNTA(A179:N179)+COUNTA(Q179:W179)+COUNTA(Y179:AA179)=0,"",IF(OR(LEN(TRIM(A179))=0,LEN(TRIM(B179))=0,LEN(TRIM(C179))=0,LEN(TRIM(D179))=0,LEN(TRIM(E179))=0,LEN(TRIM(F179))=0,LEN(TRIM(G179))=0,LEN(TRIM(H179))=0,LEN(TRIM(I179))=0,LEN(TRIM(J179))=0,LEN(TRIM(R179))=0,LEN(TRIM(S179))=0,LEN(TRIM(T179))=0,LEN(TRIM(V179))=0,LEN(TRIM(W179))=0,LEN(TRIM(Y179))=0,LEN(TRIM(Z179))=0,LEN(TRIM(AA179))=0),"Indeterminate",IF(X179&lt;&gt;"OK","Indeterminate",IF(OR(E179="Indeterminate",F179="Indeterminate",G179="Indeterminate",R179="Indeterminate",S179="Indeterminate",T179="Indeterminate",V179="Indeterminate",W179="Indeterminate",Y179="Indeterminate",Z179="Indeterminate",AA179="Indeterminate"),"Indeterminate",IF(OR(E179="Sponsor controlled - invalid",F179="Sponsor veto - invalid",G179="Sponsor/candidate controlled - invalid",H179&lt;&gt;"Yes",I179&lt;&gt;"Yes",J179&lt;&gt;"Yes",R179="Predetermined outcome - invalid",S179="No credible precommitment",T179="Material assistance undisclosed",V179="Missing",V179="Changed after unblinding",W179="Material shared-model generation undisclosed",Y179="No protected reporting channel",Z179="No anonymity/confidentiality protection",AA179="No anti-retaliation safeguard"),"Inadequate",IF(OR(E179="Joint with firewall",F179="Independent with security redaction only",G179="Joint with public rules",K179&lt;&gt;"",AND(L179&lt;&gt;"",LOWER(L179)&lt;&gt;"none"),R179="Declared interest with enforceable firewall",S179="Conditional precommitment with disclosed limits",T179="Material assistance disclosed and separated",W179="Material shared-model generation disclosed",Z179="Not applicable with recorded rationale"),"Adequate with declared controls","Adequate"))))))</f>
        <v/>
      </c>
      <c r="P179">
        <f>IF(AND(O179="",N179=""),"",IF(AND(O179&lt;&gt;"",N179=""),"UNRECORDED",IF(AND(O179="",N179&lt;&gt;""),"ORPHAN_RECORDED",IF(O179=N179,"MATCH","MISMATCH"))))</f>
        <v/>
      </c>
      <c r="X179" s="303">
        <f>IF(COUNTA(E179:J179)+COUNTA(R179:T179)+COUNTA(V179:W179)+COUNTA(Y179:AA179)=0,"",IF(AND(COUNTIF(Vocabulary!$S$5:$S$8,E179)=1,COUNTIF(Vocabulary!$T$5:$T$8,F179)=1,COUNTIF(Vocabulary!$U$5:$U$8,G179)=1,COUNTIF(Vocabulary!$J$5:$J$6,H179)=1,COUNTIF(Vocabulary!$J$5:$J$6,I179)=1,COUNTIF(Vocabulary!$J$5:$J$6,J179)=1,COUNTIF(Vocabulary!$W$5:$W$8,R179)=1,COUNTIF(Vocabulary!$X$5:$X$8,S179)=1,COUNTIF(Vocabulary!$Y$5:$Y$9,T179)=1,COUNTIF(Vocabulary!$Z$5:$Z$8,V179)=1,COUNTIF(Vocabulary!$AA$5:$AA$9,W179)=1,COUNTIF(Vocabulary!$AB$5:$AB$7,Y179)=1,COUNTIF(Vocabulary!$AC$5:$AC$8,Z179)=1,COUNTIF(Vocabulary!$AD$5:$AD$7,AA179)=1),"OK","UNRECOGNISED_CONTROL_VALUE"))</f>
        <v/>
      </c>
      <c r="Y179" s="303" t="n"/>
      <c r="Z179" s="303" t="n"/>
      <c r="AA179" s="303" t="n"/>
    </row>
    <row r="180">
      <c r="O180">
        <f>IF(COUNTA(A180:N180)+COUNTA(Q180:W180)+COUNTA(Y180:AA180)=0,"",IF(OR(LEN(TRIM(A180))=0,LEN(TRIM(B180))=0,LEN(TRIM(C180))=0,LEN(TRIM(D180))=0,LEN(TRIM(E180))=0,LEN(TRIM(F180))=0,LEN(TRIM(G180))=0,LEN(TRIM(H180))=0,LEN(TRIM(I180))=0,LEN(TRIM(J180))=0,LEN(TRIM(R180))=0,LEN(TRIM(S180))=0,LEN(TRIM(T180))=0,LEN(TRIM(V180))=0,LEN(TRIM(W180))=0,LEN(TRIM(Y180))=0,LEN(TRIM(Z180))=0,LEN(TRIM(AA180))=0),"Indeterminate",IF(X180&lt;&gt;"OK","Indeterminate",IF(OR(E180="Indeterminate",F180="Indeterminate",G180="Indeterminate",R180="Indeterminate",S180="Indeterminate",T180="Indeterminate",V180="Indeterminate",W180="Indeterminate",Y180="Indeterminate",Z180="Indeterminate",AA180="Indeterminate"),"Indeterminate",IF(OR(E180="Sponsor controlled - invalid",F180="Sponsor veto - invalid",G180="Sponsor/candidate controlled - invalid",H180&lt;&gt;"Yes",I180&lt;&gt;"Yes",J180&lt;&gt;"Yes",R180="Predetermined outcome - invalid",S180="No credible precommitment",T180="Material assistance undisclosed",V180="Missing",V180="Changed after unblinding",W180="Material shared-model generation undisclosed",Y180="No protected reporting channel",Z180="No anonymity/confidentiality protection",AA180="No anti-retaliation safeguard"),"Inadequate",IF(OR(E180="Joint with firewall",F180="Independent with security redaction only",G180="Joint with public rules",K180&lt;&gt;"",AND(L180&lt;&gt;"",LOWER(L180)&lt;&gt;"none"),R180="Declared interest with enforceable firewall",S180="Conditional precommitment with disclosed limits",T180="Material assistance disclosed and separated",W180="Material shared-model generation disclosed",Z180="Not applicable with recorded rationale"),"Adequate with declared controls","Adequate"))))))</f>
        <v/>
      </c>
      <c r="P180">
        <f>IF(AND(O180="",N180=""),"",IF(AND(O180&lt;&gt;"",N180=""),"UNRECORDED",IF(AND(O180="",N180&lt;&gt;""),"ORPHAN_RECORDED",IF(O180=N180,"MATCH","MISMATCH"))))</f>
        <v/>
      </c>
      <c r="X180" s="303">
        <f>IF(COUNTA(E180:J180)+COUNTA(R180:T180)+COUNTA(V180:W180)+COUNTA(Y180:AA180)=0,"",IF(AND(COUNTIF(Vocabulary!$S$5:$S$8,E180)=1,COUNTIF(Vocabulary!$T$5:$T$8,F180)=1,COUNTIF(Vocabulary!$U$5:$U$8,G180)=1,COUNTIF(Vocabulary!$J$5:$J$6,H180)=1,COUNTIF(Vocabulary!$J$5:$J$6,I180)=1,COUNTIF(Vocabulary!$J$5:$J$6,J180)=1,COUNTIF(Vocabulary!$W$5:$W$8,R180)=1,COUNTIF(Vocabulary!$X$5:$X$8,S180)=1,COUNTIF(Vocabulary!$Y$5:$Y$9,T180)=1,COUNTIF(Vocabulary!$Z$5:$Z$8,V180)=1,COUNTIF(Vocabulary!$AA$5:$AA$9,W180)=1,COUNTIF(Vocabulary!$AB$5:$AB$7,Y180)=1,COUNTIF(Vocabulary!$AC$5:$AC$8,Z180)=1,COUNTIF(Vocabulary!$AD$5:$AD$7,AA180)=1),"OK","UNRECOGNISED_CONTROL_VALUE"))</f>
        <v/>
      </c>
      <c r="Y180" s="303" t="n"/>
      <c r="Z180" s="303" t="n"/>
      <c r="AA180" s="303" t="n"/>
    </row>
    <row r="181">
      <c r="O181">
        <f>IF(COUNTA(A181:N181)+COUNTA(Q181:W181)+COUNTA(Y181:AA181)=0,"",IF(OR(LEN(TRIM(A181))=0,LEN(TRIM(B181))=0,LEN(TRIM(C181))=0,LEN(TRIM(D181))=0,LEN(TRIM(E181))=0,LEN(TRIM(F181))=0,LEN(TRIM(G181))=0,LEN(TRIM(H181))=0,LEN(TRIM(I181))=0,LEN(TRIM(J181))=0,LEN(TRIM(R181))=0,LEN(TRIM(S181))=0,LEN(TRIM(T181))=0,LEN(TRIM(V181))=0,LEN(TRIM(W181))=0,LEN(TRIM(Y181))=0,LEN(TRIM(Z181))=0,LEN(TRIM(AA181))=0),"Indeterminate",IF(X181&lt;&gt;"OK","Indeterminate",IF(OR(E181="Indeterminate",F181="Indeterminate",G181="Indeterminate",R181="Indeterminate",S181="Indeterminate",T181="Indeterminate",V181="Indeterminate",W181="Indeterminate",Y181="Indeterminate",Z181="Indeterminate",AA181="Indeterminate"),"Indeterminate",IF(OR(E181="Sponsor controlled - invalid",F181="Sponsor veto - invalid",G181="Sponsor/candidate controlled - invalid",H181&lt;&gt;"Yes",I181&lt;&gt;"Yes",J181&lt;&gt;"Yes",R181="Predetermined outcome - invalid",S181="No credible precommitment",T181="Material assistance undisclosed",V181="Missing",V181="Changed after unblinding",W181="Material shared-model generation undisclosed",Y181="No protected reporting channel",Z181="No anonymity/confidentiality protection",AA181="No anti-retaliation safeguard"),"Inadequate",IF(OR(E181="Joint with firewall",F181="Independent with security redaction only",G181="Joint with public rules",K181&lt;&gt;"",AND(L181&lt;&gt;"",LOWER(L181)&lt;&gt;"none"),R181="Declared interest with enforceable firewall",S181="Conditional precommitment with disclosed limits",T181="Material assistance disclosed and separated",W181="Material shared-model generation disclosed",Z181="Not applicable with recorded rationale"),"Adequate with declared controls","Adequate"))))))</f>
        <v/>
      </c>
      <c r="P181">
        <f>IF(AND(O181="",N181=""),"",IF(AND(O181&lt;&gt;"",N181=""),"UNRECORDED",IF(AND(O181="",N181&lt;&gt;""),"ORPHAN_RECORDED",IF(O181=N181,"MATCH","MISMATCH"))))</f>
        <v/>
      </c>
      <c r="X181" s="303">
        <f>IF(COUNTA(E181:J181)+COUNTA(R181:T181)+COUNTA(V181:W181)+COUNTA(Y181:AA181)=0,"",IF(AND(COUNTIF(Vocabulary!$S$5:$S$8,E181)=1,COUNTIF(Vocabulary!$T$5:$T$8,F181)=1,COUNTIF(Vocabulary!$U$5:$U$8,G181)=1,COUNTIF(Vocabulary!$J$5:$J$6,H181)=1,COUNTIF(Vocabulary!$J$5:$J$6,I181)=1,COUNTIF(Vocabulary!$J$5:$J$6,J181)=1,COUNTIF(Vocabulary!$W$5:$W$8,R181)=1,COUNTIF(Vocabulary!$X$5:$X$8,S181)=1,COUNTIF(Vocabulary!$Y$5:$Y$9,T181)=1,COUNTIF(Vocabulary!$Z$5:$Z$8,V181)=1,COUNTIF(Vocabulary!$AA$5:$AA$9,W181)=1,COUNTIF(Vocabulary!$AB$5:$AB$7,Y181)=1,COUNTIF(Vocabulary!$AC$5:$AC$8,Z181)=1,COUNTIF(Vocabulary!$AD$5:$AD$7,AA181)=1),"OK","UNRECOGNISED_CONTROL_VALUE"))</f>
        <v/>
      </c>
      <c r="Y181" s="303" t="n"/>
      <c r="Z181" s="303" t="n"/>
      <c r="AA181" s="303" t="n"/>
    </row>
    <row r="182">
      <c r="O182">
        <f>IF(COUNTA(A182:N182)+COUNTA(Q182:W182)+COUNTA(Y182:AA182)=0,"",IF(OR(LEN(TRIM(A182))=0,LEN(TRIM(B182))=0,LEN(TRIM(C182))=0,LEN(TRIM(D182))=0,LEN(TRIM(E182))=0,LEN(TRIM(F182))=0,LEN(TRIM(G182))=0,LEN(TRIM(H182))=0,LEN(TRIM(I182))=0,LEN(TRIM(J182))=0,LEN(TRIM(R182))=0,LEN(TRIM(S182))=0,LEN(TRIM(T182))=0,LEN(TRIM(V182))=0,LEN(TRIM(W182))=0,LEN(TRIM(Y182))=0,LEN(TRIM(Z182))=0,LEN(TRIM(AA182))=0),"Indeterminate",IF(X182&lt;&gt;"OK","Indeterminate",IF(OR(E182="Indeterminate",F182="Indeterminate",G182="Indeterminate",R182="Indeterminate",S182="Indeterminate",T182="Indeterminate",V182="Indeterminate",W182="Indeterminate",Y182="Indeterminate",Z182="Indeterminate",AA182="Indeterminate"),"Indeterminate",IF(OR(E182="Sponsor controlled - invalid",F182="Sponsor veto - invalid",G182="Sponsor/candidate controlled - invalid",H182&lt;&gt;"Yes",I182&lt;&gt;"Yes",J182&lt;&gt;"Yes",R182="Predetermined outcome - invalid",S182="No credible precommitment",T182="Material assistance undisclosed",V182="Missing",V182="Changed after unblinding",W182="Material shared-model generation undisclosed",Y182="No protected reporting channel",Z182="No anonymity/confidentiality protection",AA182="No anti-retaliation safeguard"),"Inadequate",IF(OR(E182="Joint with firewall",F182="Independent with security redaction only",G182="Joint with public rules",K182&lt;&gt;"",AND(L182&lt;&gt;"",LOWER(L182)&lt;&gt;"none"),R182="Declared interest with enforceable firewall",S182="Conditional precommitment with disclosed limits",T182="Material assistance disclosed and separated",W182="Material shared-model generation disclosed",Z182="Not applicable with recorded rationale"),"Adequate with declared controls","Adequate"))))))</f>
        <v/>
      </c>
      <c r="P182">
        <f>IF(AND(O182="",N182=""),"",IF(AND(O182&lt;&gt;"",N182=""),"UNRECORDED",IF(AND(O182="",N182&lt;&gt;""),"ORPHAN_RECORDED",IF(O182=N182,"MATCH","MISMATCH"))))</f>
        <v/>
      </c>
      <c r="X182" s="303">
        <f>IF(COUNTA(E182:J182)+COUNTA(R182:T182)+COUNTA(V182:W182)+COUNTA(Y182:AA182)=0,"",IF(AND(COUNTIF(Vocabulary!$S$5:$S$8,E182)=1,COUNTIF(Vocabulary!$T$5:$T$8,F182)=1,COUNTIF(Vocabulary!$U$5:$U$8,G182)=1,COUNTIF(Vocabulary!$J$5:$J$6,H182)=1,COUNTIF(Vocabulary!$J$5:$J$6,I182)=1,COUNTIF(Vocabulary!$J$5:$J$6,J182)=1,COUNTIF(Vocabulary!$W$5:$W$8,R182)=1,COUNTIF(Vocabulary!$X$5:$X$8,S182)=1,COUNTIF(Vocabulary!$Y$5:$Y$9,T182)=1,COUNTIF(Vocabulary!$Z$5:$Z$8,V182)=1,COUNTIF(Vocabulary!$AA$5:$AA$9,W182)=1,COUNTIF(Vocabulary!$AB$5:$AB$7,Y182)=1,COUNTIF(Vocabulary!$AC$5:$AC$8,Z182)=1,COUNTIF(Vocabulary!$AD$5:$AD$7,AA182)=1),"OK","UNRECOGNISED_CONTROL_VALUE"))</f>
        <v/>
      </c>
      <c r="Y182" s="303" t="n"/>
      <c r="Z182" s="303" t="n"/>
      <c r="AA182" s="303" t="n"/>
    </row>
    <row r="183">
      <c r="O183">
        <f>IF(COUNTA(A183:N183)+COUNTA(Q183:W183)+COUNTA(Y183:AA183)=0,"",IF(OR(LEN(TRIM(A183))=0,LEN(TRIM(B183))=0,LEN(TRIM(C183))=0,LEN(TRIM(D183))=0,LEN(TRIM(E183))=0,LEN(TRIM(F183))=0,LEN(TRIM(G183))=0,LEN(TRIM(H183))=0,LEN(TRIM(I183))=0,LEN(TRIM(J183))=0,LEN(TRIM(R183))=0,LEN(TRIM(S183))=0,LEN(TRIM(T183))=0,LEN(TRIM(V183))=0,LEN(TRIM(W183))=0,LEN(TRIM(Y183))=0,LEN(TRIM(Z183))=0,LEN(TRIM(AA183))=0),"Indeterminate",IF(X183&lt;&gt;"OK","Indeterminate",IF(OR(E183="Indeterminate",F183="Indeterminate",G183="Indeterminate",R183="Indeterminate",S183="Indeterminate",T183="Indeterminate",V183="Indeterminate",W183="Indeterminate",Y183="Indeterminate",Z183="Indeterminate",AA183="Indeterminate"),"Indeterminate",IF(OR(E183="Sponsor controlled - invalid",F183="Sponsor veto - invalid",G183="Sponsor/candidate controlled - invalid",H183&lt;&gt;"Yes",I183&lt;&gt;"Yes",J183&lt;&gt;"Yes",R183="Predetermined outcome - invalid",S183="No credible precommitment",T183="Material assistance undisclosed",V183="Missing",V183="Changed after unblinding",W183="Material shared-model generation undisclosed",Y183="No protected reporting channel",Z183="No anonymity/confidentiality protection",AA183="No anti-retaliation safeguard"),"Inadequate",IF(OR(E183="Joint with firewall",F183="Independent with security redaction only",G183="Joint with public rules",K183&lt;&gt;"",AND(L183&lt;&gt;"",LOWER(L183)&lt;&gt;"none"),R183="Declared interest with enforceable firewall",S183="Conditional precommitment with disclosed limits",T183="Material assistance disclosed and separated",W183="Material shared-model generation disclosed",Z183="Not applicable with recorded rationale"),"Adequate with declared controls","Adequate"))))))</f>
        <v/>
      </c>
      <c r="P183">
        <f>IF(AND(O183="",N183=""),"",IF(AND(O183&lt;&gt;"",N183=""),"UNRECORDED",IF(AND(O183="",N183&lt;&gt;""),"ORPHAN_RECORDED",IF(O183=N183,"MATCH","MISMATCH"))))</f>
        <v/>
      </c>
      <c r="X183" s="303">
        <f>IF(COUNTA(E183:J183)+COUNTA(R183:T183)+COUNTA(V183:W183)+COUNTA(Y183:AA183)=0,"",IF(AND(COUNTIF(Vocabulary!$S$5:$S$8,E183)=1,COUNTIF(Vocabulary!$T$5:$T$8,F183)=1,COUNTIF(Vocabulary!$U$5:$U$8,G183)=1,COUNTIF(Vocabulary!$J$5:$J$6,H183)=1,COUNTIF(Vocabulary!$J$5:$J$6,I183)=1,COUNTIF(Vocabulary!$J$5:$J$6,J183)=1,COUNTIF(Vocabulary!$W$5:$W$8,R183)=1,COUNTIF(Vocabulary!$X$5:$X$8,S183)=1,COUNTIF(Vocabulary!$Y$5:$Y$9,T183)=1,COUNTIF(Vocabulary!$Z$5:$Z$8,V183)=1,COUNTIF(Vocabulary!$AA$5:$AA$9,W183)=1,COUNTIF(Vocabulary!$AB$5:$AB$7,Y183)=1,COUNTIF(Vocabulary!$AC$5:$AC$8,Z183)=1,COUNTIF(Vocabulary!$AD$5:$AD$7,AA183)=1),"OK","UNRECOGNISED_CONTROL_VALUE"))</f>
        <v/>
      </c>
      <c r="Y183" s="303" t="n"/>
      <c r="Z183" s="303" t="n"/>
      <c r="AA183" s="303" t="n"/>
    </row>
    <row r="184">
      <c r="O184">
        <f>IF(COUNTA(A184:N184)+COUNTA(Q184:W184)+COUNTA(Y184:AA184)=0,"",IF(OR(LEN(TRIM(A184))=0,LEN(TRIM(B184))=0,LEN(TRIM(C184))=0,LEN(TRIM(D184))=0,LEN(TRIM(E184))=0,LEN(TRIM(F184))=0,LEN(TRIM(G184))=0,LEN(TRIM(H184))=0,LEN(TRIM(I184))=0,LEN(TRIM(J184))=0,LEN(TRIM(R184))=0,LEN(TRIM(S184))=0,LEN(TRIM(T184))=0,LEN(TRIM(V184))=0,LEN(TRIM(W184))=0,LEN(TRIM(Y184))=0,LEN(TRIM(Z184))=0,LEN(TRIM(AA184))=0),"Indeterminate",IF(X184&lt;&gt;"OK","Indeterminate",IF(OR(E184="Indeterminate",F184="Indeterminate",G184="Indeterminate",R184="Indeterminate",S184="Indeterminate",T184="Indeterminate",V184="Indeterminate",W184="Indeterminate",Y184="Indeterminate",Z184="Indeterminate",AA184="Indeterminate"),"Indeterminate",IF(OR(E184="Sponsor controlled - invalid",F184="Sponsor veto - invalid",G184="Sponsor/candidate controlled - invalid",H184&lt;&gt;"Yes",I184&lt;&gt;"Yes",J184&lt;&gt;"Yes",R184="Predetermined outcome - invalid",S184="No credible precommitment",T184="Material assistance undisclosed",V184="Missing",V184="Changed after unblinding",W184="Material shared-model generation undisclosed",Y184="No protected reporting channel",Z184="No anonymity/confidentiality protection",AA184="No anti-retaliation safeguard"),"Inadequate",IF(OR(E184="Joint with firewall",F184="Independent with security redaction only",G184="Joint with public rules",K184&lt;&gt;"",AND(L184&lt;&gt;"",LOWER(L184)&lt;&gt;"none"),R184="Declared interest with enforceable firewall",S184="Conditional precommitment with disclosed limits",T184="Material assistance disclosed and separated",W184="Material shared-model generation disclosed",Z184="Not applicable with recorded rationale"),"Adequate with declared controls","Adequate"))))))</f>
        <v/>
      </c>
      <c r="P184">
        <f>IF(AND(O184="",N184=""),"",IF(AND(O184&lt;&gt;"",N184=""),"UNRECORDED",IF(AND(O184="",N184&lt;&gt;""),"ORPHAN_RECORDED",IF(O184=N184,"MATCH","MISMATCH"))))</f>
        <v/>
      </c>
      <c r="X184" s="303">
        <f>IF(COUNTA(E184:J184)+COUNTA(R184:T184)+COUNTA(V184:W184)+COUNTA(Y184:AA184)=0,"",IF(AND(COUNTIF(Vocabulary!$S$5:$S$8,E184)=1,COUNTIF(Vocabulary!$T$5:$T$8,F184)=1,COUNTIF(Vocabulary!$U$5:$U$8,G184)=1,COUNTIF(Vocabulary!$J$5:$J$6,H184)=1,COUNTIF(Vocabulary!$J$5:$J$6,I184)=1,COUNTIF(Vocabulary!$J$5:$J$6,J184)=1,COUNTIF(Vocabulary!$W$5:$W$8,R184)=1,COUNTIF(Vocabulary!$X$5:$X$8,S184)=1,COUNTIF(Vocabulary!$Y$5:$Y$9,T184)=1,COUNTIF(Vocabulary!$Z$5:$Z$8,V184)=1,COUNTIF(Vocabulary!$AA$5:$AA$9,W184)=1,COUNTIF(Vocabulary!$AB$5:$AB$7,Y184)=1,COUNTIF(Vocabulary!$AC$5:$AC$8,Z184)=1,COUNTIF(Vocabulary!$AD$5:$AD$7,AA184)=1),"OK","UNRECOGNISED_CONTROL_VALUE"))</f>
        <v/>
      </c>
      <c r="Y184" s="303" t="n"/>
      <c r="Z184" s="303" t="n"/>
      <c r="AA184" s="303" t="n"/>
    </row>
    <row r="185">
      <c r="O185">
        <f>IF(COUNTA(A185:N185)+COUNTA(Q185:W185)+COUNTA(Y185:AA185)=0,"",IF(OR(LEN(TRIM(A185))=0,LEN(TRIM(B185))=0,LEN(TRIM(C185))=0,LEN(TRIM(D185))=0,LEN(TRIM(E185))=0,LEN(TRIM(F185))=0,LEN(TRIM(G185))=0,LEN(TRIM(H185))=0,LEN(TRIM(I185))=0,LEN(TRIM(J185))=0,LEN(TRIM(R185))=0,LEN(TRIM(S185))=0,LEN(TRIM(T185))=0,LEN(TRIM(V185))=0,LEN(TRIM(W185))=0,LEN(TRIM(Y185))=0,LEN(TRIM(Z185))=0,LEN(TRIM(AA185))=0),"Indeterminate",IF(X185&lt;&gt;"OK","Indeterminate",IF(OR(E185="Indeterminate",F185="Indeterminate",G185="Indeterminate",R185="Indeterminate",S185="Indeterminate",T185="Indeterminate",V185="Indeterminate",W185="Indeterminate",Y185="Indeterminate",Z185="Indeterminate",AA185="Indeterminate"),"Indeterminate",IF(OR(E185="Sponsor controlled - invalid",F185="Sponsor veto - invalid",G185="Sponsor/candidate controlled - invalid",H185&lt;&gt;"Yes",I185&lt;&gt;"Yes",J185&lt;&gt;"Yes",R185="Predetermined outcome - invalid",S185="No credible precommitment",T185="Material assistance undisclosed",V185="Missing",V185="Changed after unblinding",W185="Material shared-model generation undisclosed",Y185="No protected reporting channel",Z185="No anonymity/confidentiality protection",AA185="No anti-retaliation safeguard"),"Inadequate",IF(OR(E185="Joint with firewall",F185="Independent with security redaction only",G185="Joint with public rules",K185&lt;&gt;"",AND(L185&lt;&gt;"",LOWER(L185)&lt;&gt;"none"),R185="Declared interest with enforceable firewall",S185="Conditional precommitment with disclosed limits",T185="Material assistance disclosed and separated",W185="Material shared-model generation disclosed",Z185="Not applicable with recorded rationale"),"Adequate with declared controls","Adequate"))))))</f>
        <v/>
      </c>
      <c r="P185">
        <f>IF(AND(O185="",N185=""),"",IF(AND(O185&lt;&gt;"",N185=""),"UNRECORDED",IF(AND(O185="",N185&lt;&gt;""),"ORPHAN_RECORDED",IF(O185=N185,"MATCH","MISMATCH"))))</f>
        <v/>
      </c>
      <c r="X185" s="303">
        <f>IF(COUNTA(E185:J185)+COUNTA(R185:T185)+COUNTA(V185:W185)+COUNTA(Y185:AA185)=0,"",IF(AND(COUNTIF(Vocabulary!$S$5:$S$8,E185)=1,COUNTIF(Vocabulary!$T$5:$T$8,F185)=1,COUNTIF(Vocabulary!$U$5:$U$8,G185)=1,COUNTIF(Vocabulary!$J$5:$J$6,H185)=1,COUNTIF(Vocabulary!$J$5:$J$6,I185)=1,COUNTIF(Vocabulary!$J$5:$J$6,J185)=1,COUNTIF(Vocabulary!$W$5:$W$8,R185)=1,COUNTIF(Vocabulary!$X$5:$X$8,S185)=1,COUNTIF(Vocabulary!$Y$5:$Y$9,T185)=1,COUNTIF(Vocabulary!$Z$5:$Z$8,V185)=1,COUNTIF(Vocabulary!$AA$5:$AA$9,W185)=1,COUNTIF(Vocabulary!$AB$5:$AB$7,Y185)=1,COUNTIF(Vocabulary!$AC$5:$AC$8,Z185)=1,COUNTIF(Vocabulary!$AD$5:$AD$7,AA185)=1),"OK","UNRECOGNISED_CONTROL_VALUE"))</f>
        <v/>
      </c>
      <c r="Y185" s="303" t="n"/>
      <c r="Z185" s="303" t="n"/>
      <c r="AA185" s="303" t="n"/>
    </row>
    <row r="186">
      <c r="O186">
        <f>IF(COUNTA(A186:N186)+COUNTA(Q186:W186)+COUNTA(Y186:AA186)=0,"",IF(OR(LEN(TRIM(A186))=0,LEN(TRIM(B186))=0,LEN(TRIM(C186))=0,LEN(TRIM(D186))=0,LEN(TRIM(E186))=0,LEN(TRIM(F186))=0,LEN(TRIM(G186))=0,LEN(TRIM(H186))=0,LEN(TRIM(I186))=0,LEN(TRIM(J186))=0,LEN(TRIM(R186))=0,LEN(TRIM(S186))=0,LEN(TRIM(T186))=0,LEN(TRIM(V186))=0,LEN(TRIM(W186))=0,LEN(TRIM(Y186))=0,LEN(TRIM(Z186))=0,LEN(TRIM(AA186))=0),"Indeterminate",IF(X186&lt;&gt;"OK","Indeterminate",IF(OR(E186="Indeterminate",F186="Indeterminate",G186="Indeterminate",R186="Indeterminate",S186="Indeterminate",T186="Indeterminate",V186="Indeterminate",W186="Indeterminate",Y186="Indeterminate",Z186="Indeterminate",AA186="Indeterminate"),"Indeterminate",IF(OR(E186="Sponsor controlled - invalid",F186="Sponsor veto - invalid",G186="Sponsor/candidate controlled - invalid",H186&lt;&gt;"Yes",I186&lt;&gt;"Yes",J186&lt;&gt;"Yes",R186="Predetermined outcome - invalid",S186="No credible precommitment",T186="Material assistance undisclosed",V186="Missing",V186="Changed after unblinding",W186="Material shared-model generation undisclosed",Y186="No protected reporting channel",Z186="No anonymity/confidentiality protection",AA186="No anti-retaliation safeguard"),"Inadequate",IF(OR(E186="Joint with firewall",F186="Independent with security redaction only",G186="Joint with public rules",K186&lt;&gt;"",AND(L186&lt;&gt;"",LOWER(L186)&lt;&gt;"none"),R186="Declared interest with enforceable firewall",S186="Conditional precommitment with disclosed limits",T186="Material assistance disclosed and separated",W186="Material shared-model generation disclosed",Z186="Not applicable with recorded rationale"),"Adequate with declared controls","Adequate"))))))</f>
        <v/>
      </c>
      <c r="P186">
        <f>IF(AND(O186="",N186=""),"",IF(AND(O186&lt;&gt;"",N186=""),"UNRECORDED",IF(AND(O186="",N186&lt;&gt;""),"ORPHAN_RECORDED",IF(O186=N186,"MATCH","MISMATCH"))))</f>
        <v/>
      </c>
      <c r="X186" s="303">
        <f>IF(COUNTA(E186:J186)+COUNTA(R186:T186)+COUNTA(V186:W186)+COUNTA(Y186:AA186)=0,"",IF(AND(COUNTIF(Vocabulary!$S$5:$S$8,E186)=1,COUNTIF(Vocabulary!$T$5:$T$8,F186)=1,COUNTIF(Vocabulary!$U$5:$U$8,G186)=1,COUNTIF(Vocabulary!$J$5:$J$6,H186)=1,COUNTIF(Vocabulary!$J$5:$J$6,I186)=1,COUNTIF(Vocabulary!$J$5:$J$6,J186)=1,COUNTIF(Vocabulary!$W$5:$W$8,R186)=1,COUNTIF(Vocabulary!$X$5:$X$8,S186)=1,COUNTIF(Vocabulary!$Y$5:$Y$9,T186)=1,COUNTIF(Vocabulary!$Z$5:$Z$8,V186)=1,COUNTIF(Vocabulary!$AA$5:$AA$9,W186)=1,COUNTIF(Vocabulary!$AB$5:$AB$7,Y186)=1,COUNTIF(Vocabulary!$AC$5:$AC$8,Z186)=1,COUNTIF(Vocabulary!$AD$5:$AD$7,AA186)=1),"OK","UNRECOGNISED_CONTROL_VALUE"))</f>
        <v/>
      </c>
      <c r="Y186" s="303" t="n"/>
      <c r="Z186" s="303" t="n"/>
      <c r="AA186" s="303" t="n"/>
    </row>
    <row r="187">
      <c r="O187">
        <f>IF(COUNTA(A187:N187)+COUNTA(Q187:W187)+COUNTA(Y187:AA187)=0,"",IF(OR(LEN(TRIM(A187))=0,LEN(TRIM(B187))=0,LEN(TRIM(C187))=0,LEN(TRIM(D187))=0,LEN(TRIM(E187))=0,LEN(TRIM(F187))=0,LEN(TRIM(G187))=0,LEN(TRIM(H187))=0,LEN(TRIM(I187))=0,LEN(TRIM(J187))=0,LEN(TRIM(R187))=0,LEN(TRIM(S187))=0,LEN(TRIM(T187))=0,LEN(TRIM(V187))=0,LEN(TRIM(W187))=0,LEN(TRIM(Y187))=0,LEN(TRIM(Z187))=0,LEN(TRIM(AA187))=0),"Indeterminate",IF(X187&lt;&gt;"OK","Indeterminate",IF(OR(E187="Indeterminate",F187="Indeterminate",G187="Indeterminate",R187="Indeterminate",S187="Indeterminate",T187="Indeterminate",V187="Indeterminate",W187="Indeterminate",Y187="Indeterminate",Z187="Indeterminate",AA187="Indeterminate"),"Indeterminate",IF(OR(E187="Sponsor controlled - invalid",F187="Sponsor veto - invalid",G187="Sponsor/candidate controlled - invalid",H187&lt;&gt;"Yes",I187&lt;&gt;"Yes",J187&lt;&gt;"Yes",R187="Predetermined outcome - invalid",S187="No credible precommitment",T187="Material assistance undisclosed",V187="Missing",V187="Changed after unblinding",W187="Material shared-model generation undisclosed",Y187="No protected reporting channel",Z187="No anonymity/confidentiality protection",AA187="No anti-retaliation safeguard"),"Inadequate",IF(OR(E187="Joint with firewall",F187="Independent with security redaction only",G187="Joint with public rules",K187&lt;&gt;"",AND(L187&lt;&gt;"",LOWER(L187)&lt;&gt;"none"),R187="Declared interest with enforceable firewall",S187="Conditional precommitment with disclosed limits",T187="Material assistance disclosed and separated",W187="Material shared-model generation disclosed",Z187="Not applicable with recorded rationale"),"Adequate with declared controls","Adequate"))))))</f>
        <v/>
      </c>
      <c r="P187">
        <f>IF(AND(O187="",N187=""),"",IF(AND(O187&lt;&gt;"",N187=""),"UNRECORDED",IF(AND(O187="",N187&lt;&gt;""),"ORPHAN_RECORDED",IF(O187=N187,"MATCH","MISMATCH"))))</f>
        <v/>
      </c>
      <c r="X187" s="303">
        <f>IF(COUNTA(E187:J187)+COUNTA(R187:T187)+COUNTA(V187:W187)+COUNTA(Y187:AA187)=0,"",IF(AND(COUNTIF(Vocabulary!$S$5:$S$8,E187)=1,COUNTIF(Vocabulary!$T$5:$T$8,F187)=1,COUNTIF(Vocabulary!$U$5:$U$8,G187)=1,COUNTIF(Vocabulary!$J$5:$J$6,H187)=1,COUNTIF(Vocabulary!$J$5:$J$6,I187)=1,COUNTIF(Vocabulary!$J$5:$J$6,J187)=1,COUNTIF(Vocabulary!$W$5:$W$8,R187)=1,COUNTIF(Vocabulary!$X$5:$X$8,S187)=1,COUNTIF(Vocabulary!$Y$5:$Y$9,T187)=1,COUNTIF(Vocabulary!$Z$5:$Z$8,V187)=1,COUNTIF(Vocabulary!$AA$5:$AA$9,W187)=1,COUNTIF(Vocabulary!$AB$5:$AB$7,Y187)=1,COUNTIF(Vocabulary!$AC$5:$AC$8,Z187)=1,COUNTIF(Vocabulary!$AD$5:$AD$7,AA187)=1),"OK","UNRECOGNISED_CONTROL_VALUE"))</f>
        <v/>
      </c>
      <c r="Y187" s="303" t="n"/>
      <c r="Z187" s="303" t="n"/>
      <c r="AA187" s="303" t="n"/>
    </row>
    <row r="188">
      <c r="O188">
        <f>IF(COUNTA(A188:N188)+COUNTA(Q188:W188)+COUNTA(Y188:AA188)=0,"",IF(OR(LEN(TRIM(A188))=0,LEN(TRIM(B188))=0,LEN(TRIM(C188))=0,LEN(TRIM(D188))=0,LEN(TRIM(E188))=0,LEN(TRIM(F188))=0,LEN(TRIM(G188))=0,LEN(TRIM(H188))=0,LEN(TRIM(I188))=0,LEN(TRIM(J188))=0,LEN(TRIM(R188))=0,LEN(TRIM(S188))=0,LEN(TRIM(T188))=0,LEN(TRIM(V188))=0,LEN(TRIM(W188))=0,LEN(TRIM(Y188))=0,LEN(TRIM(Z188))=0,LEN(TRIM(AA188))=0),"Indeterminate",IF(X188&lt;&gt;"OK","Indeterminate",IF(OR(E188="Indeterminate",F188="Indeterminate",G188="Indeterminate",R188="Indeterminate",S188="Indeterminate",T188="Indeterminate",V188="Indeterminate",W188="Indeterminate",Y188="Indeterminate",Z188="Indeterminate",AA188="Indeterminate"),"Indeterminate",IF(OR(E188="Sponsor controlled - invalid",F188="Sponsor veto - invalid",G188="Sponsor/candidate controlled - invalid",H188&lt;&gt;"Yes",I188&lt;&gt;"Yes",J188&lt;&gt;"Yes",R188="Predetermined outcome - invalid",S188="No credible precommitment",T188="Material assistance undisclosed",V188="Missing",V188="Changed after unblinding",W188="Material shared-model generation undisclosed",Y188="No protected reporting channel",Z188="No anonymity/confidentiality protection",AA188="No anti-retaliation safeguard"),"Inadequate",IF(OR(E188="Joint with firewall",F188="Independent with security redaction only",G188="Joint with public rules",K188&lt;&gt;"",AND(L188&lt;&gt;"",LOWER(L188)&lt;&gt;"none"),R188="Declared interest with enforceable firewall",S188="Conditional precommitment with disclosed limits",T188="Material assistance disclosed and separated",W188="Material shared-model generation disclosed",Z188="Not applicable with recorded rationale"),"Adequate with declared controls","Adequate"))))))</f>
        <v/>
      </c>
      <c r="P188">
        <f>IF(AND(O188="",N188=""),"",IF(AND(O188&lt;&gt;"",N188=""),"UNRECORDED",IF(AND(O188="",N188&lt;&gt;""),"ORPHAN_RECORDED",IF(O188=N188,"MATCH","MISMATCH"))))</f>
        <v/>
      </c>
      <c r="X188" s="303">
        <f>IF(COUNTA(E188:J188)+COUNTA(R188:T188)+COUNTA(V188:W188)+COUNTA(Y188:AA188)=0,"",IF(AND(COUNTIF(Vocabulary!$S$5:$S$8,E188)=1,COUNTIF(Vocabulary!$T$5:$T$8,F188)=1,COUNTIF(Vocabulary!$U$5:$U$8,G188)=1,COUNTIF(Vocabulary!$J$5:$J$6,H188)=1,COUNTIF(Vocabulary!$J$5:$J$6,I188)=1,COUNTIF(Vocabulary!$J$5:$J$6,J188)=1,COUNTIF(Vocabulary!$W$5:$W$8,R188)=1,COUNTIF(Vocabulary!$X$5:$X$8,S188)=1,COUNTIF(Vocabulary!$Y$5:$Y$9,T188)=1,COUNTIF(Vocabulary!$Z$5:$Z$8,V188)=1,COUNTIF(Vocabulary!$AA$5:$AA$9,W188)=1,COUNTIF(Vocabulary!$AB$5:$AB$7,Y188)=1,COUNTIF(Vocabulary!$AC$5:$AC$8,Z188)=1,COUNTIF(Vocabulary!$AD$5:$AD$7,AA188)=1),"OK","UNRECOGNISED_CONTROL_VALUE"))</f>
        <v/>
      </c>
      <c r="Y188" s="303" t="n"/>
      <c r="Z188" s="303" t="n"/>
      <c r="AA188" s="303" t="n"/>
    </row>
    <row r="189">
      <c r="O189">
        <f>IF(COUNTA(A189:N189)+COUNTA(Q189:W189)+COUNTA(Y189:AA189)=0,"",IF(OR(LEN(TRIM(A189))=0,LEN(TRIM(B189))=0,LEN(TRIM(C189))=0,LEN(TRIM(D189))=0,LEN(TRIM(E189))=0,LEN(TRIM(F189))=0,LEN(TRIM(G189))=0,LEN(TRIM(H189))=0,LEN(TRIM(I189))=0,LEN(TRIM(J189))=0,LEN(TRIM(R189))=0,LEN(TRIM(S189))=0,LEN(TRIM(T189))=0,LEN(TRIM(V189))=0,LEN(TRIM(W189))=0,LEN(TRIM(Y189))=0,LEN(TRIM(Z189))=0,LEN(TRIM(AA189))=0),"Indeterminate",IF(X189&lt;&gt;"OK","Indeterminate",IF(OR(E189="Indeterminate",F189="Indeterminate",G189="Indeterminate",R189="Indeterminate",S189="Indeterminate",T189="Indeterminate",V189="Indeterminate",W189="Indeterminate",Y189="Indeterminate",Z189="Indeterminate",AA189="Indeterminate"),"Indeterminate",IF(OR(E189="Sponsor controlled - invalid",F189="Sponsor veto - invalid",G189="Sponsor/candidate controlled - invalid",H189&lt;&gt;"Yes",I189&lt;&gt;"Yes",J189&lt;&gt;"Yes",R189="Predetermined outcome - invalid",S189="No credible precommitment",T189="Material assistance undisclosed",V189="Missing",V189="Changed after unblinding",W189="Material shared-model generation undisclosed",Y189="No protected reporting channel",Z189="No anonymity/confidentiality protection",AA189="No anti-retaliation safeguard"),"Inadequate",IF(OR(E189="Joint with firewall",F189="Independent with security redaction only",G189="Joint with public rules",K189&lt;&gt;"",AND(L189&lt;&gt;"",LOWER(L189)&lt;&gt;"none"),R189="Declared interest with enforceable firewall",S189="Conditional precommitment with disclosed limits",T189="Material assistance disclosed and separated",W189="Material shared-model generation disclosed",Z189="Not applicable with recorded rationale"),"Adequate with declared controls","Adequate"))))))</f>
        <v/>
      </c>
      <c r="P189">
        <f>IF(AND(O189="",N189=""),"",IF(AND(O189&lt;&gt;"",N189=""),"UNRECORDED",IF(AND(O189="",N189&lt;&gt;""),"ORPHAN_RECORDED",IF(O189=N189,"MATCH","MISMATCH"))))</f>
        <v/>
      </c>
      <c r="X189" s="303">
        <f>IF(COUNTA(E189:J189)+COUNTA(R189:T189)+COUNTA(V189:W189)+COUNTA(Y189:AA189)=0,"",IF(AND(COUNTIF(Vocabulary!$S$5:$S$8,E189)=1,COUNTIF(Vocabulary!$T$5:$T$8,F189)=1,COUNTIF(Vocabulary!$U$5:$U$8,G189)=1,COUNTIF(Vocabulary!$J$5:$J$6,H189)=1,COUNTIF(Vocabulary!$J$5:$J$6,I189)=1,COUNTIF(Vocabulary!$J$5:$J$6,J189)=1,COUNTIF(Vocabulary!$W$5:$W$8,R189)=1,COUNTIF(Vocabulary!$X$5:$X$8,S189)=1,COUNTIF(Vocabulary!$Y$5:$Y$9,T189)=1,COUNTIF(Vocabulary!$Z$5:$Z$8,V189)=1,COUNTIF(Vocabulary!$AA$5:$AA$9,W189)=1,COUNTIF(Vocabulary!$AB$5:$AB$7,Y189)=1,COUNTIF(Vocabulary!$AC$5:$AC$8,Z189)=1,COUNTIF(Vocabulary!$AD$5:$AD$7,AA189)=1),"OK","UNRECOGNISED_CONTROL_VALUE"))</f>
        <v/>
      </c>
      <c r="Y189" s="303" t="n"/>
      <c r="Z189" s="303" t="n"/>
      <c r="AA189" s="303" t="n"/>
    </row>
    <row r="190">
      <c r="O190">
        <f>IF(COUNTA(A190:N190)+COUNTA(Q190:W190)+COUNTA(Y190:AA190)=0,"",IF(OR(LEN(TRIM(A190))=0,LEN(TRIM(B190))=0,LEN(TRIM(C190))=0,LEN(TRIM(D190))=0,LEN(TRIM(E190))=0,LEN(TRIM(F190))=0,LEN(TRIM(G190))=0,LEN(TRIM(H190))=0,LEN(TRIM(I190))=0,LEN(TRIM(J190))=0,LEN(TRIM(R190))=0,LEN(TRIM(S190))=0,LEN(TRIM(T190))=0,LEN(TRIM(V190))=0,LEN(TRIM(W190))=0,LEN(TRIM(Y190))=0,LEN(TRIM(Z190))=0,LEN(TRIM(AA190))=0),"Indeterminate",IF(X190&lt;&gt;"OK","Indeterminate",IF(OR(E190="Indeterminate",F190="Indeterminate",G190="Indeterminate",R190="Indeterminate",S190="Indeterminate",T190="Indeterminate",V190="Indeterminate",W190="Indeterminate",Y190="Indeterminate",Z190="Indeterminate",AA190="Indeterminate"),"Indeterminate",IF(OR(E190="Sponsor controlled - invalid",F190="Sponsor veto - invalid",G190="Sponsor/candidate controlled - invalid",H190&lt;&gt;"Yes",I190&lt;&gt;"Yes",J190&lt;&gt;"Yes",R190="Predetermined outcome - invalid",S190="No credible precommitment",T190="Material assistance undisclosed",V190="Missing",V190="Changed after unblinding",W190="Material shared-model generation undisclosed",Y190="No protected reporting channel",Z190="No anonymity/confidentiality protection",AA190="No anti-retaliation safeguard"),"Inadequate",IF(OR(E190="Joint with firewall",F190="Independent with security redaction only",G190="Joint with public rules",K190&lt;&gt;"",AND(L190&lt;&gt;"",LOWER(L190)&lt;&gt;"none"),R190="Declared interest with enforceable firewall",S190="Conditional precommitment with disclosed limits",T190="Material assistance disclosed and separated",W190="Material shared-model generation disclosed",Z190="Not applicable with recorded rationale"),"Adequate with declared controls","Adequate"))))))</f>
        <v/>
      </c>
      <c r="P190">
        <f>IF(AND(O190="",N190=""),"",IF(AND(O190&lt;&gt;"",N190=""),"UNRECORDED",IF(AND(O190="",N190&lt;&gt;""),"ORPHAN_RECORDED",IF(O190=N190,"MATCH","MISMATCH"))))</f>
        <v/>
      </c>
      <c r="X190" s="303">
        <f>IF(COUNTA(E190:J190)+COUNTA(R190:T190)+COUNTA(V190:W190)+COUNTA(Y190:AA190)=0,"",IF(AND(COUNTIF(Vocabulary!$S$5:$S$8,E190)=1,COUNTIF(Vocabulary!$T$5:$T$8,F190)=1,COUNTIF(Vocabulary!$U$5:$U$8,G190)=1,COUNTIF(Vocabulary!$J$5:$J$6,H190)=1,COUNTIF(Vocabulary!$J$5:$J$6,I190)=1,COUNTIF(Vocabulary!$J$5:$J$6,J190)=1,COUNTIF(Vocabulary!$W$5:$W$8,R190)=1,COUNTIF(Vocabulary!$X$5:$X$8,S190)=1,COUNTIF(Vocabulary!$Y$5:$Y$9,T190)=1,COUNTIF(Vocabulary!$Z$5:$Z$8,V190)=1,COUNTIF(Vocabulary!$AA$5:$AA$9,W190)=1,COUNTIF(Vocabulary!$AB$5:$AB$7,Y190)=1,COUNTIF(Vocabulary!$AC$5:$AC$8,Z190)=1,COUNTIF(Vocabulary!$AD$5:$AD$7,AA190)=1),"OK","UNRECOGNISED_CONTROL_VALUE"))</f>
        <v/>
      </c>
      <c r="Y190" s="303" t="n"/>
      <c r="Z190" s="303" t="n"/>
      <c r="AA190" s="303" t="n"/>
    </row>
    <row r="191">
      <c r="O191">
        <f>IF(COUNTA(A191:N191)+COUNTA(Q191:W191)+COUNTA(Y191:AA191)=0,"",IF(OR(LEN(TRIM(A191))=0,LEN(TRIM(B191))=0,LEN(TRIM(C191))=0,LEN(TRIM(D191))=0,LEN(TRIM(E191))=0,LEN(TRIM(F191))=0,LEN(TRIM(G191))=0,LEN(TRIM(H191))=0,LEN(TRIM(I191))=0,LEN(TRIM(J191))=0,LEN(TRIM(R191))=0,LEN(TRIM(S191))=0,LEN(TRIM(T191))=0,LEN(TRIM(V191))=0,LEN(TRIM(W191))=0,LEN(TRIM(Y191))=0,LEN(TRIM(Z191))=0,LEN(TRIM(AA191))=0),"Indeterminate",IF(X191&lt;&gt;"OK","Indeterminate",IF(OR(E191="Indeterminate",F191="Indeterminate",G191="Indeterminate",R191="Indeterminate",S191="Indeterminate",T191="Indeterminate",V191="Indeterminate",W191="Indeterminate",Y191="Indeterminate",Z191="Indeterminate",AA191="Indeterminate"),"Indeterminate",IF(OR(E191="Sponsor controlled - invalid",F191="Sponsor veto - invalid",G191="Sponsor/candidate controlled - invalid",H191&lt;&gt;"Yes",I191&lt;&gt;"Yes",J191&lt;&gt;"Yes",R191="Predetermined outcome - invalid",S191="No credible precommitment",T191="Material assistance undisclosed",V191="Missing",V191="Changed after unblinding",W191="Material shared-model generation undisclosed",Y191="No protected reporting channel",Z191="No anonymity/confidentiality protection",AA191="No anti-retaliation safeguard"),"Inadequate",IF(OR(E191="Joint with firewall",F191="Independent with security redaction only",G191="Joint with public rules",K191&lt;&gt;"",AND(L191&lt;&gt;"",LOWER(L191)&lt;&gt;"none"),R191="Declared interest with enforceable firewall",S191="Conditional precommitment with disclosed limits",T191="Material assistance disclosed and separated",W191="Material shared-model generation disclosed",Z191="Not applicable with recorded rationale"),"Adequate with declared controls","Adequate"))))))</f>
        <v/>
      </c>
      <c r="P191">
        <f>IF(AND(O191="",N191=""),"",IF(AND(O191&lt;&gt;"",N191=""),"UNRECORDED",IF(AND(O191="",N191&lt;&gt;""),"ORPHAN_RECORDED",IF(O191=N191,"MATCH","MISMATCH"))))</f>
        <v/>
      </c>
      <c r="X191" s="303">
        <f>IF(COUNTA(E191:J191)+COUNTA(R191:T191)+COUNTA(V191:W191)+COUNTA(Y191:AA191)=0,"",IF(AND(COUNTIF(Vocabulary!$S$5:$S$8,E191)=1,COUNTIF(Vocabulary!$T$5:$T$8,F191)=1,COUNTIF(Vocabulary!$U$5:$U$8,G191)=1,COUNTIF(Vocabulary!$J$5:$J$6,H191)=1,COUNTIF(Vocabulary!$J$5:$J$6,I191)=1,COUNTIF(Vocabulary!$J$5:$J$6,J191)=1,COUNTIF(Vocabulary!$W$5:$W$8,R191)=1,COUNTIF(Vocabulary!$X$5:$X$8,S191)=1,COUNTIF(Vocabulary!$Y$5:$Y$9,T191)=1,COUNTIF(Vocabulary!$Z$5:$Z$8,V191)=1,COUNTIF(Vocabulary!$AA$5:$AA$9,W191)=1,COUNTIF(Vocabulary!$AB$5:$AB$7,Y191)=1,COUNTIF(Vocabulary!$AC$5:$AC$8,Z191)=1,COUNTIF(Vocabulary!$AD$5:$AD$7,AA191)=1),"OK","UNRECOGNISED_CONTROL_VALUE"))</f>
        <v/>
      </c>
      <c r="Y191" s="303" t="n"/>
      <c r="Z191" s="303" t="n"/>
      <c r="AA191" s="303" t="n"/>
    </row>
    <row r="192">
      <c r="O192">
        <f>IF(COUNTA(A192:N192)+COUNTA(Q192:W192)+COUNTA(Y192:AA192)=0,"",IF(OR(LEN(TRIM(A192))=0,LEN(TRIM(B192))=0,LEN(TRIM(C192))=0,LEN(TRIM(D192))=0,LEN(TRIM(E192))=0,LEN(TRIM(F192))=0,LEN(TRIM(G192))=0,LEN(TRIM(H192))=0,LEN(TRIM(I192))=0,LEN(TRIM(J192))=0,LEN(TRIM(R192))=0,LEN(TRIM(S192))=0,LEN(TRIM(T192))=0,LEN(TRIM(V192))=0,LEN(TRIM(W192))=0,LEN(TRIM(Y192))=0,LEN(TRIM(Z192))=0,LEN(TRIM(AA192))=0),"Indeterminate",IF(X192&lt;&gt;"OK","Indeterminate",IF(OR(E192="Indeterminate",F192="Indeterminate",G192="Indeterminate",R192="Indeterminate",S192="Indeterminate",T192="Indeterminate",V192="Indeterminate",W192="Indeterminate",Y192="Indeterminate",Z192="Indeterminate",AA192="Indeterminate"),"Indeterminate",IF(OR(E192="Sponsor controlled - invalid",F192="Sponsor veto - invalid",G192="Sponsor/candidate controlled - invalid",H192&lt;&gt;"Yes",I192&lt;&gt;"Yes",J192&lt;&gt;"Yes",R192="Predetermined outcome - invalid",S192="No credible precommitment",T192="Material assistance undisclosed",V192="Missing",V192="Changed after unblinding",W192="Material shared-model generation undisclosed",Y192="No protected reporting channel",Z192="No anonymity/confidentiality protection",AA192="No anti-retaliation safeguard"),"Inadequate",IF(OR(E192="Joint with firewall",F192="Independent with security redaction only",G192="Joint with public rules",K192&lt;&gt;"",AND(L192&lt;&gt;"",LOWER(L192)&lt;&gt;"none"),R192="Declared interest with enforceable firewall",S192="Conditional precommitment with disclosed limits",T192="Material assistance disclosed and separated",W192="Material shared-model generation disclosed",Z192="Not applicable with recorded rationale"),"Adequate with declared controls","Adequate"))))))</f>
        <v/>
      </c>
      <c r="P192">
        <f>IF(AND(O192="",N192=""),"",IF(AND(O192&lt;&gt;"",N192=""),"UNRECORDED",IF(AND(O192="",N192&lt;&gt;""),"ORPHAN_RECORDED",IF(O192=N192,"MATCH","MISMATCH"))))</f>
        <v/>
      </c>
      <c r="X192" s="303">
        <f>IF(COUNTA(E192:J192)+COUNTA(R192:T192)+COUNTA(V192:W192)+COUNTA(Y192:AA192)=0,"",IF(AND(COUNTIF(Vocabulary!$S$5:$S$8,E192)=1,COUNTIF(Vocabulary!$T$5:$T$8,F192)=1,COUNTIF(Vocabulary!$U$5:$U$8,G192)=1,COUNTIF(Vocabulary!$J$5:$J$6,H192)=1,COUNTIF(Vocabulary!$J$5:$J$6,I192)=1,COUNTIF(Vocabulary!$J$5:$J$6,J192)=1,COUNTIF(Vocabulary!$W$5:$W$8,R192)=1,COUNTIF(Vocabulary!$X$5:$X$8,S192)=1,COUNTIF(Vocabulary!$Y$5:$Y$9,T192)=1,COUNTIF(Vocabulary!$Z$5:$Z$8,V192)=1,COUNTIF(Vocabulary!$AA$5:$AA$9,W192)=1,COUNTIF(Vocabulary!$AB$5:$AB$7,Y192)=1,COUNTIF(Vocabulary!$AC$5:$AC$8,Z192)=1,COUNTIF(Vocabulary!$AD$5:$AD$7,AA192)=1),"OK","UNRECOGNISED_CONTROL_VALUE"))</f>
        <v/>
      </c>
      <c r="Y192" s="303" t="n"/>
      <c r="Z192" s="303" t="n"/>
      <c r="AA192" s="303" t="n"/>
    </row>
    <row r="193">
      <c r="O193">
        <f>IF(COUNTA(A193:N193)+COUNTA(Q193:W193)+COUNTA(Y193:AA193)=0,"",IF(OR(LEN(TRIM(A193))=0,LEN(TRIM(B193))=0,LEN(TRIM(C193))=0,LEN(TRIM(D193))=0,LEN(TRIM(E193))=0,LEN(TRIM(F193))=0,LEN(TRIM(G193))=0,LEN(TRIM(H193))=0,LEN(TRIM(I193))=0,LEN(TRIM(J193))=0,LEN(TRIM(R193))=0,LEN(TRIM(S193))=0,LEN(TRIM(T193))=0,LEN(TRIM(V193))=0,LEN(TRIM(W193))=0,LEN(TRIM(Y193))=0,LEN(TRIM(Z193))=0,LEN(TRIM(AA193))=0),"Indeterminate",IF(X193&lt;&gt;"OK","Indeterminate",IF(OR(E193="Indeterminate",F193="Indeterminate",G193="Indeterminate",R193="Indeterminate",S193="Indeterminate",T193="Indeterminate",V193="Indeterminate",W193="Indeterminate",Y193="Indeterminate",Z193="Indeterminate",AA193="Indeterminate"),"Indeterminate",IF(OR(E193="Sponsor controlled - invalid",F193="Sponsor veto - invalid",G193="Sponsor/candidate controlled - invalid",H193&lt;&gt;"Yes",I193&lt;&gt;"Yes",J193&lt;&gt;"Yes",R193="Predetermined outcome - invalid",S193="No credible precommitment",T193="Material assistance undisclosed",V193="Missing",V193="Changed after unblinding",W193="Material shared-model generation undisclosed",Y193="No protected reporting channel",Z193="No anonymity/confidentiality protection",AA193="No anti-retaliation safeguard"),"Inadequate",IF(OR(E193="Joint with firewall",F193="Independent with security redaction only",G193="Joint with public rules",K193&lt;&gt;"",AND(L193&lt;&gt;"",LOWER(L193)&lt;&gt;"none"),R193="Declared interest with enforceable firewall",S193="Conditional precommitment with disclosed limits",T193="Material assistance disclosed and separated",W193="Material shared-model generation disclosed",Z193="Not applicable with recorded rationale"),"Adequate with declared controls","Adequate"))))))</f>
        <v/>
      </c>
      <c r="P193">
        <f>IF(AND(O193="",N193=""),"",IF(AND(O193&lt;&gt;"",N193=""),"UNRECORDED",IF(AND(O193="",N193&lt;&gt;""),"ORPHAN_RECORDED",IF(O193=N193,"MATCH","MISMATCH"))))</f>
        <v/>
      </c>
      <c r="X193" s="303">
        <f>IF(COUNTA(E193:J193)+COUNTA(R193:T193)+COUNTA(V193:W193)+COUNTA(Y193:AA193)=0,"",IF(AND(COUNTIF(Vocabulary!$S$5:$S$8,E193)=1,COUNTIF(Vocabulary!$T$5:$T$8,F193)=1,COUNTIF(Vocabulary!$U$5:$U$8,G193)=1,COUNTIF(Vocabulary!$J$5:$J$6,H193)=1,COUNTIF(Vocabulary!$J$5:$J$6,I193)=1,COUNTIF(Vocabulary!$J$5:$J$6,J193)=1,COUNTIF(Vocabulary!$W$5:$W$8,R193)=1,COUNTIF(Vocabulary!$X$5:$X$8,S193)=1,COUNTIF(Vocabulary!$Y$5:$Y$9,T193)=1,COUNTIF(Vocabulary!$Z$5:$Z$8,V193)=1,COUNTIF(Vocabulary!$AA$5:$AA$9,W193)=1,COUNTIF(Vocabulary!$AB$5:$AB$7,Y193)=1,COUNTIF(Vocabulary!$AC$5:$AC$8,Z193)=1,COUNTIF(Vocabulary!$AD$5:$AD$7,AA193)=1),"OK","UNRECOGNISED_CONTROL_VALUE"))</f>
        <v/>
      </c>
      <c r="Y193" s="303" t="n"/>
      <c r="Z193" s="303" t="n"/>
      <c r="AA193" s="303" t="n"/>
    </row>
    <row r="194">
      <c r="O194">
        <f>IF(COUNTA(A194:N194)+COUNTA(Q194:W194)+COUNTA(Y194:AA194)=0,"",IF(OR(LEN(TRIM(A194))=0,LEN(TRIM(B194))=0,LEN(TRIM(C194))=0,LEN(TRIM(D194))=0,LEN(TRIM(E194))=0,LEN(TRIM(F194))=0,LEN(TRIM(G194))=0,LEN(TRIM(H194))=0,LEN(TRIM(I194))=0,LEN(TRIM(J194))=0,LEN(TRIM(R194))=0,LEN(TRIM(S194))=0,LEN(TRIM(T194))=0,LEN(TRIM(V194))=0,LEN(TRIM(W194))=0,LEN(TRIM(Y194))=0,LEN(TRIM(Z194))=0,LEN(TRIM(AA194))=0),"Indeterminate",IF(X194&lt;&gt;"OK","Indeterminate",IF(OR(E194="Indeterminate",F194="Indeterminate",G194="Indeterminate",R194="Indeterminate",S194="Indeterminate",T194="Indeterminate",V194="Indeterminate",W194="Indeterminate",Y194="Indeterminate",Z194="Indeterminate",AA194="Indeterminate"),"Indeterminate",IF(OR(E194="Sponsor controlled - invalid",F194="Sponsor veto - invalid",G194="Sponsor/candidate controlled - invalid",H194&lt;&gt;"Yes",I194&lt;&gt;"Yes",J194&lt;&gt;"Yes",R194="Predetermined outcome - invalid",S194="No credible precommitment",T194="Material assistance undisclosed",V194="Missing",V194="Changed after unblinding",W194="Material shared-model generation undisclosed",Y194="No protected reporting channel",Z194="No anonymity/confidentiality protection",AA194="No anti-retaliation safeguard"),"Inadequate",IF(OR(E194="Joint with firewall",F194="Independent with security redaction only",G194="Joint with public rules",K194&lt;&gt;"",AND(L194&lt;&gt;"",LOWER(L194)&lt;&gt;"none"),R194="Declared interest with enforceable firewall",S194="Conditional precommitment with disclosed limits",T194="Material assistance disclosed and separated",W194="Material shared-model generation disclosed",Z194="Not applicable with recorded rationale"),"Adequate with declared controls","Adequate"))))))</f>
        <v/>
      </c>
      <c r="P194">
        <f>IF(AND(O194="",N194=""),"",IF(AND(O194&lt;&gt;"",N194=""),"UNRECORDED",IF(AND(O194="",N194&lt;&gt;""),"ORPHAN_RECORDED",IF(O194=N194,"MATCH","MISMATCH"))))</f>
        <v/>
      </c>
      <c r="X194" s="303">
        <f>IF(COUNTA(E194:J194)+COUNTA(R194:T194)+COUNTA(V194:W194)+COUNTA(Y194:AA194)=0,"",IF(AND(COUNTIF(Vocabulary!$S$5:$S$8,E194)=1,COUNTIF(Vocabulary!$T$5:$T$8,F194)=1,COUNTIF(Vocabulary!$U$5:$U$8,G194)=1,COUNTIF(Vocabulary!$J$5:$J$6,H194)=1,COUNTIF(Vocabulary!$J$5:$J$6,I194)=1,COUNTIF(Vocabulary!$J$5:$J$6,J194)=1,COUNTIF(Vocabulary!$W$5:$W$8,R194)=1,COUNTIF(Vocabulary!$X$5:$X$8,S194)=1,COUNTIF(Vocabulary!$Y$5:$Y$9,T194)=1,COUNTIF(Vocabulary!$Z$5:$Z$8,V194)=1,COUNTIF(Vocabulary!$AA$5:$AA$9,W194)=1,COUNTIF(Vocabulary!$AB$5:$AB$7,Y194)=1,COUNTIF(Vocabulary!$AC$5:$AC$8,Z194)=1,COUNTIF(Vocabulary!$AD$5:$AD$7,AA194)=1),"OK","UNRECOGNISED_CONTROL_VALUE"))</f>
        <v/>
      </c>
      <c r="Y194" s="303" t="n"/>
      <c r="Z194" s="303" t="n"/>
      <c r="AA194" s="303" t="n"/>
    </row>
    <row r="195">
      <c r="O195">
        <f>IF(COUNTA(A195:N195)+COUNTA(Q195:W195)+COUNTA(Y195:AA195)=0,"",IF(OR(LEN(TRIM(A195))=0,LEN(TRIM(B195))=0,LEN(TRIM(C195))=0,LEN(TRIM(D195))=0,LEN(TRIM(E195))=0,LEN(TRIM(F195))=0,LEN(TRIM(G195))=0,LEN(TRIM(H195))=0,LEN(TRIM(I195))=0,LEN(TRIM(J195))=0,LEN(TRIM(R195))=0,LEN(TRIM(S195))=0,LEN(TRIM(T195))=0,LEN(TRIM(V195))=0,LEN(TRIM(W195))=0,LEN(TRIM(Y195))=0,LEN(TRIM(Z195))=0,LEN(TRIM(AA195))=0),"Indeterminate",IF(X195&lt;&gt;"OK","Indeterminate",IF(OR(E195="Indeterminate",F195="Indeterminate",G195="Indeterminate",R195="Indeterminate",S195="Indeterminate",T195="Indeterminate",V195="Indeterminate",W195="Indeterminate",Y195="Indeterminate",Z195="Indeterminate",AA195="Indeterminate"),"Indeterminate",IF(OR(E195="Sponsor controlled - invalid",F195="Sponsor veto - invalid",G195="Sponsor/candidate controlled - invalid",H195&lt;&gt;"Yes",I195&lt;&gt;"Yes",J195&lt;&gt;"Yes",R195="Predetermined outcome - invalid",S195="No credible precommitment",T195="Material assistance undisclosed",V195="Missing",V195="Changed after unblinding",W195="Material shared-model generation undisclosed",Y195="No protected reporting channel",Z195="No anonymity/confidentiality protection",AA195="No anti-retaliation safeguard"),"Inadequate",IF(OR(E195="Joint with firewall",F195="Independent with security redaction only",G195="Joint with public rules",K195&lt;&gt;"",AND(L195&lt;&gt;"",LOWER(L195)&lt;&gt;"none"),R195="Declared interest with enforceable firewall",S195="Conditional precommitment with disclosed limits",T195="Material assistance disclosed and separated",W195="Material shared-model generation disclosed",Z195="Not applicable with recorded rationale"),"Adequate with declared controls","Adequate"))))))</f>
        <v/>
      </c>
      <c r="P195">
        <f>IF(AND(O195="",N195=""),"",IF(AND(O195&lt;&gt;"",N195=""),"UNRECORDED",IF(AND(O195="",N195&lt;&gt;""),"ORPHAN_RECORDED",IF(O195=N195,"MATCH","MISMATCH"))))</f>
        <v/>
      </c>
      <c r="X195" s="303">
        <f>IF(COUNTA(E195:J195)+COUNTA(R195:T195)+COUNTA(V195:W195)+COUNTA(Y195:AA195)=0,"",IF(AND(COUNTIF(Vocabulary!$S$5:$S$8,E195)=1,COUNTIF(Vocabulary!$T$5:$T$8,F195)=1,COUNTIF(Vocabulary!$U$5:$U$8,G195)=1,COUNTIF(Vocabulary!$J$5:$J$6,H195)=1,COUNTIF(Vocabulary!$J$5:$J$6,I195)=1,COUNTIF(Vocabulary!$J$5:$J$6,J195)=1,COUNTIF(Vocabulary!$W$5:$W$8,R195)=1,COUNTIF(Vocabulary!$X$5:$X$8,S195)=1,COUNTIF(Vocabulary!$Y$5:$Y$9,T195)=1,COUNTIF(Vocabulary!$Z$5:$Z$8,V195)=1,COUNTIF(Vocabulary!$AA$5:$AA$9,W195)=1,COUNTIF(Vocabulary!$AB$5:$AB$7,Y195)=1,COUNTIF(Vocabulary!$AC$5:$AC$8,Z195)=1,COUNTIF(Vocabulary!$AD$5:$AD$7,AA195)=1),"OK","UNRECOGNISED_CONTROL_VALUE"))</f>
        <v/>
      </c>
      <c r="Y195" s="303" t="n"/>
      <c r="Z195" s="303" t="n"/>
      <c r="AA195" s="303" t="n"/>
    </row>
    <row r="196">
      <c r="O196">
        <f>IF(COUNTA(A196:N196)+COUNTA(Q196:W196)+COUNTA(Y196:AA196)=0,"",IF(OR(LEN(TRIM(A196))=0,LEN(TRIM(B196))=0,LEN(TRIM(C196))=0,LEN(TRIM(D196))=0,LEN(TRIM(E196))=0,LEN(TRIM(F196))=0,LEN(TRIM(G196))=0,LEN(TRIM(H196))=0,LEN(TRIM(I196))=0,LEN(TRIM(J196))=0,LEN(TRIM(R196))=0,LEN(TRIM(S196))=0,LEN(TRIM(T196))=0,LEN(TRIM(V196))=0,LEN(TRIM(W196))=0,LEN(TRIM(Y196))=0,LEN(TRIM(Z196))=0,LEN(TRIM(AA196))=0),"Indeterminate",IF(X196&lt;&gt;"OK","Indeterminate",IF(OR(E196="Indeterminate",F196="Indeterminate",G196="Indeterminate",R196="Indeterminate",S196="Indeterminate",T196="Indeterminate",V196="Indeterminate",W196="Indeterminate",Y196="Indeterminate",Z196="Indeterminate",AA196="Indeterminate"),"Indeterminate",IF(OR(E196="Sponsor controlled - invalid",F196="Sponsor veto - invalid",G196="Sponsor/candidate controlled - invalid",H196&lt;&gt;"Yes",I196&lt;&gt;"Yes",J196&lt;&gt;"Yes",R196="Predetermined outcome - invalid",S196="No credible precommitment",T196="Material assistance undisclosed",V196="Missing",V196="Changed after unblinding",W196="Material shared-model generation undisclosed",Y196="No protected reporting channel",Z196="No anonymity/confidentiality protection",AA196="No anti-retaliation safeguard"),"Inadequate",IF(OR(E196="Joint with firewall",F196="Independent with security redaction only",G196="Joint with public rules",K196&lt;&gt;"",AND(L196&lt;&gt;"",LOWER(L196)&lt;&gt;"none"),R196="Declared interest with enforceable firewall",S196="Conditional precommitment with disclosed limits",T196="Material assistance disclosed and separated",W196="Material shared-model generation disclosed",Z196="Not applicable with recorded rationale"),"Adequate with declared controls","Adequate"))))))</f>
        <v/>
      </c>
      <c r="P196">
        <f>IF(AND(O196="",N196=""),"",IF(AND(O196&lt;&gt;"",N196=""),"UNRECORDED",IF(AND(O196="",N196&lt;&gt;""),"ORPHAN_RECORDED",IF(O196=N196,"MATCH","MISMATCH"))))</f>
        <v/>
      </c>
      <c r="X196" s="303">
        <f>IF(COUNTA(E196:J196)+COUNTA(R196:T196)+COUNTA(V196:W196)+COUNTA(Y196:AA196)=0,"",IF(AND(COUNTIF(Vocabulary!$S$5:$S$8,E196)=1,COUNTIF(Vocabulary!$T$5:$T$8,F196)=1,COUNTIF(Vocabulary!$U$5:$U$8,G196)=1,COUNTIF(Vocabulary!$J$5:$J$6,H196)=1,COUNTIF(Vocabulary!$J$5:$J$6,I196)=1,COUNTIF(Vocabulary!$J$5:$J$6,J196)=1,COUNTIF(Vocabulary!$W$5:$W$8,R196)=1,COUNTIF(Vocabulary!$X$5:$X$8,S196)=1,COUNTIF(Vocabulary!$Y$5:$Y$9,T196)=1,COUNTIF(Vocabulary!$Z$5:$Z$8,V196)=1,COUNTIF(Vocabulary!$AA$5:$AA$9,W196)=1,COUNTIF(Vocabulary!$AB$5:$AB$7,Y196)=1,COUNTIF(Vocabulary!$AC$5:$AC$8,Z196)=1,COUNTIF(Vocabulary!$AD$5:$AD$7,AA196)=1),"OK","UNRECOGNISED_CONTROL_VALUE"))</f>
        <v/>
      </c>
      <c r="Y196" s="303" t="n"/>
      <c r="Z196" s="303" t="n"/>
      <c r="AA196" s="303" t="n"/>
    </row>
    <row r="197">
      <c r="O197">
        <f>IF(COUNTA(A197:N197)+COUNTA(Q197:W197)+COUNTA(Y197:AA197)=0,"",IF(OR(LEN(TRIM(A197))=0,LEN(TRIM(B197))=0,LEN(TRIM(C197))=0,LEN(TRIM(D197))=0,LEN(TRIM(E197))=0,LEN(TRIM(F197))=0,LEN(TRIM(G197))=0,LEN(TRIM(H197))=0,LEN(TRIM(I197))=0,LEN(TRIM(J197))=0,LEN(TRIM(R197))=0,LEN(TRIM(S197))=0,LEN(TRIM(T197))=0,LEN(TRIM(V197))=0,LEN(TRIM(W197))=0,LEN(TRIM(Y197))=0,LEN(TRIM(Z197))=0,LEN(TRIM(AA197))=0),"Indeterminate",IF(X197&lt;&gt;"OK","Indeterminate",IF(OR(E197="Indeterminate",F197="Indeterminate",G197="Indeterminate",R197="Indeterminate",S197="Indeterminate",T197="Indeterminate",V197="Indeterminate",W197="Indeterminate",Y197="Indeterminate",Z197="Indeterminate",AA197="Indeterminate"),"Indeterminate",IF(OR(E197="Sponsor controlled - invalid",F197="Sponsor veto - invalid",G197="Sponsor/candidate controlled - invalid",H197&lt;&gt;"Yes",I197&lt;&gt;"Yes",J197&lt;&gt;"Yes",R197="Predetermined outcome - invalid",S197="No credible precommitment",T197="Material assistance undisclosed",V197="Missing",V197="Changed after unblinding",W197="Material shared-model generation undisclosed",Y197="No protected reporting channel",Z197="No anonymity/confidentiality protection",AA197="No anti-retaliation safeguard"),"Inadequate",IF(OR(E197="Joint with firewall",F197="Independent with security redaction only",G197="Joint with public rules",K197&lt;&gt;"",AND(L197&lt;&gt;"",LOWER(L197)&lt;&gt;"none"),R197="Declared interest with enforceable firewall",S197="Conditional precommitment with disclosed limits",T197="Material assistance disclosed and separated",W197="Material shared-model generation disclosed",Z197="Not applicable with recorded rationale"),"Adequate with declared controls","Adequate"))))))</f>
        <v/>
      </c>
      <c r="P197">
        <f>IF(AND(O197="",N197=""),"",IF(AND(O197&lt;&gt;"",N197=""),"UNRECORDED",IF(AND(O197="",N197&lt;&gt;""),"ORPHAN_RECORDED",IF(O197=N197,"MATCH","MISMATCH"))))</f>
        <v/>
      </c>
      <c r="X197" s="303">
        <f>IF(COUNTA(E197:J197)+COUNTA(R197:T197)+COUNTA(V197:W197)+COUNTA(Y197:AA197)=0,"",IF(AND(COUNTIF(Vocabulary!$S$5:$S$8,E197)=1,COUNTIF(Vocabulary!$T$5:$T$8,F197)=1,COUNTIF(Vocabulary!$U$5:$U$8,G197)=1,COUNTIF(Vocabulary!$J$5:$J$6,H197)=1,COUNTIF(Vocabulary!$J$5:$J$6,I197)=1,COUNTIF(Vocabulary!$J$5:$J$6,J197)=1,COUNTIF(Vocabulary!$W$5:$W$8,R197)=1,COUNTIF(Vocabulary!$X$5:$X$8,S197)=1,COUNTIF(Vocabulary!$Y$5:$Y$9,T197)=1,COUNTIF(Vocabulary!$Z$5:$Z$8,V197)=1,COUNTIF(Vocabulary!$AA$5:$AA$9,W197)=1,COUNTIF(Vocabulary!$AB$5:$AB$7,Y197)=1,COUNTIF(Vocabulary!$AC$5:$AC$8,Z197)=1,COUNTIF(Vocabulary!$AD$5:$AD$7,AA197)=1),"OK","UNRECOGNISED_CONTROL_VALUE"))</f>
        <v/>
      </c>
      <c r="Y197" s="303" t="n"/>
      <c r="Z197" s="303" t="n"/>
      <c r="AA197" s="303" t="n"/>
    </row>
    <row r="198">
      <c r="O198">
        <f>IF(COUNTA(A198:N198)+COUNTA(Q198:W198)+COUNTA(Y198:AA198)=0,"",IF(OR(LEN(TRIM(A198))=0,LEN(TRIM(B198))=0,LEN(TRIM(C198))=0,LEN(TRIM(D198))=0,LEN(TRIM(E198))=0,LEN(TRIM(F198))=0,LEN(TRIM(G198))=0,LEN(TRIM(H198))=0,LEN(TRIM(I198))=0,LEN(TRIM(J198))=0,LEN(TRIM(R198))=0,LEN(TRIM(S198))=0,LEN(TRIM(T198))=0,LEN(TRIM(V198))=0,LEN(TRIM(W198))=0,LEN(TRIM(Y198))=0,LEN(TRIM(Z198))=0,LEN(TRIM(AA198))=0),"Indeterminate",IF(X198&lt;&gt;"OK","Indeterminate",IF(OR(E198="Indeterminate",F198="Indeterminate",G198="Indeterminate",R198="Indeterminate",S198="Indeterminate",T198="Indeterminate",V198="Indeterminate",W198="Indeterminate",Y198="Indeterminate",Z198="Indeterminate",AA198="Indeterminate"),"Indeterminate",IF(OR(E198="Sponsor controlled - invalid",F198="Sponsor veto - invalid",G198="Sponsor/candidate controlled - invalid",H198&lt;&gt;"Yes",I198&lt;&gt;"Yes",J198&lt;&gt;"Yes",R198="Predetermined outcome - invalid",S198="No credible precommitment",T198="Material assistance undisclosed",V198="Missing",V198="Changed after unblinding",W198="Material shared-model generation undisclosed",Y198="No protected reporting channel",Z198="No anonymity/confidentiality protection",AA198="No anti-retaliation safeguard"),"Inadequate",IF(OR(E198="Joint with firewall",F198="Independent with security redaction only",G198="Joint with public rules",K198&lt;&gt;"",AND(L198&lt;&gt;"",LOWER(L198)&lt;&gt;"none"),R198="Declared interest with enforceable firewall",S198="Conditional precommitment with disclosed limits",T198="Material assistance disclosed and separated",W198="Material shared-model generation disclosed",Z198="Not applicable with recorded rationale"),"Adequate with declared controls","Adequate"))))))</f>
        <v/>
      </c>
      <c r="P198">
        <f>IF(AND(O198="",N198=""),"",IF(AND(O198&lt;&gt;"",N198=""),"UNRECORDED",IF(AND(O198="",N198&lt;&gt;""),"ORPHAN_RECORDED",IF(O198=N198,"MATCH","MISMATCH"))))</f>
        <v/>
      </c>
      <c r="X198" s="303">
        <f>IF(COUNTA(E198:J198)+COUNTA(R198:T198)+COUNTA(V198:W198)+COUNTA(Y198:AA198)=0,"",IF(AND(COUNTIF(Vocabulary!$S$5:$S$8,E198)=1,COUNTIF(Vocabulary!$T$5:$T$8,F198)=1,COUNTIF(Vocabulary!$U$5:$U$8,G198)=1,COUNTIF(Vocabulary!$J$5:$J$6,H198)=1,COUNTIF(Vocabulary!$J$5:$J$6,I198)=1,COUNTIF(Vocabulary!$J$5:$J$6,J198)=1,COUNTIF(Vocabulary!$W$5:$W$8,R198)=1,COUNTIF(Vocabulary!$X$5:$X$8,S198)=1,COUNTIF(Vocabulary!$Y$5:$Y$9,T198)=1,COUNTIF(Vocabulary!$Z$5:$Z$8,V198)=1,COUNTIF(Vocabulary!$AA$5:$AA$9,W198)=1,COUNTIF(Vocabulary!$AB$5:$AB$7,Y198)=1,COUNTIF(Vocabulary!$AC$5:$AC$8,Z198)=1,COUNTIF(Vocabulary!$AD$5:$AD$7,AA198)=1),"OK","UNRECOGNISED_CONTROL_VALUE"))</f>
        <v/>
      </c>
      <c r="Y198" s="303" t="n"/>
      <c r="Z198" s="303" t="n"/>
      <c r="AA198" s="303" t="n"/>
    </row>
    <row r="199">
      <c r="O199">
        <f>IF(COUNTA(A199:N199)+COUNTA(Q199:W199)+COUNTA(Y199:AA199)=0,"",IF(OR(LEN(TRIM(A199))=0,LEN(TRIM(B199))=0,LEN(TRIM(C199))=0,LEN(TRIM(D199))=0,LEN(TRIM(E199))=0,LEN(TRIM(F199))=0,LEN(TRIM(G199))=0,LEN(TRIM(H199))=0,LEN(TRIM(I199))=0,LEN(TRIM(J199))=0,LEN(TRIM(R199))=0,LEN(TRIM(S199))=0,LEN(TRIM(T199))=0,LEN(TRIM(V199))=0,LEN(TRIM(W199))=0,LEN(TRIM(Y199))=0,LEN(TRIM(Z199))=0,LEN(TRIM(AA199))=0),"Indeterminate",IF(X199&lt;&gt;"OK","Indeterminate",IF(OR(E199="Indeterminate",F199="Indeterminate",G199="Indeterminate",R199="Indeterminate",S199="Indeterminate",T199="Indeterminate",V199="Indeterminate",W199="Indeterminate",Y199="Indeterminate",Z199="Indeterminate",AA199="Indeterminate"),"Indeterminate",IF(OR(E199="Sponsor controlled - invalid",F199="Sponsor veto - invalid",G199="Sponsor/candidate controlled - invalid",H199&lt;&gt;"Yes",I199&lt;&gt;"Yes",J199&lt;&gt;"Yes",R199="Predetermined outcome - invalid",S199="No credible precommitment",T199="Material assistance undisclosed",V199="Missing",V199="Changed after unblinding",W199="Material shared-model generation undisclosed",Y199="No protected reporting channel",Z199="No anonymity/confidentiality protection",AA199="No anti-retaliation safeguard"),"Inadequate",IF(OR(E199="Joint with firewall",F199="Independent with security redaction only",G199="Joint with public rules",K199&lt;&gt;"",AND(L199&lt;&gt;"",LOWER(L199)&lt;&gt;"none"),R199="Declared interest with enforceable firewall",S199="Conditional precommitment with disclosed limits",T199="Material assistance disclosed and separated",W199="Material shared-model generation disclosed",Z199="Not applicable with recorded rationale"),"Adequate with declared controls","Adequate"))))))</f>
        <v/>
      </c>
      <c r="P199">
        <f>IF(AND(O199="",N199=""),"",IF(AND(O199&lt;&gt;"",N199=""),"UNRECORDED",IF(AND(O199="",N199&lt;&gt;""),"ORPHAN_RECORDED",IF(O199=N199,"MATCH","MISMATCH"))))</f>
        <v/>
      </c>
      <c r="X199" s="303">
        <f>IF(COUNTA(E199:J199)+COUNTA(R199:T199)+COUNTA(V199:W199)+COUNTA(Y199:AA199)=0,"",IF(AND(COUNTIF(Vocabulary!$S$5:$S$8,E199)=1,COUNTIF(Vocabulary!$T$5:$T$8,F199)=1,COUNTIF(Vocabulary!$U$5:$U$8,G199)=1,COUNTIF(Vocabulary!$J$5:$J$6,H199)=1,COUNTIF(Vocabulary!$J$5:$J$6,I199)=1,COUNTIF(Vocabulary!$J$5:$J$6,J199)=1,COUNTIF(Vocabulary!$W$5:$W$8,R199)=1,COUNTIF(Vocabulary!$X$5:$X$8,S199)=1,COUNTIF(Vocabulary!$Y$5:$Y$9,T199)=1,COUNTIF(Vocabulary!$Z$5:$Z$8,V199)=1,COUNTIF(Vocabulary!$AA$5:$AA$9,W199)=1,COUNTIF(Vocabulary!$AB$5:$AB$7,Y199)=1,COUNTIF(Vocabulary!$AC$5:$AC$8,Z199)=1,COUNTIF(Vocabulary!$AD$5:$AD$7,AA199)=1),"OK","UNRECOGNISED_CONTROL_VALUE"))</f>
        <v/>
      </c>
      <c r="Y199" s="303" t="n"/>
      <c r="Z199" s="303" t="n"/>
      <c r="AA199" s="303" t="n"/>
    </row>
    <row r="200">
      <c r="O200">
        <f>IF(COUNTA(A200:N200)+COUNTA(Q200:W200)+COUNTA(Y200:AA200)=0,"",IF(OR(LEN(TRIM(A200))=0,LEN(TRIM(B200))=0,LEN(TRIM(C200))=0,LEN(TRIM(D200))=0,LEN(TRIM(E200))=0,LEN(TRIM(F200))=0,LEN(TRIM(G200))=0,LEN(TRIM(H200))=0,LEN(TRIM(I200))=0,LEN(TRIM(J200))=0,LEN(TRIM(R200))=0,LEN(TRIM(S200))=0,LEN(TRIM(T200))=0,LEN(TRIM(V200))=0,LEN(TRIM(W200))=0,LEN(TRIM(Y200))=0,LEN(TRIM(Z200))=0,LEN(TRIM(AA200))=0),"Indeterminate",IF(X200&lt;&gt;"OK","Indeterminate",IF(OR(E200="Indeterminate",F200="Indeterminate",G200="Indeterminate",R200="Indeterminate",S200="Indeterminate",T200="Indeterminate",V200="Indeterminate",W200="Indeterminate",Y200="Indeterminate",Z200="Indeterminate",AA200="Indeterminate"),"Indeterminate",IF(OR(E200="Sponsor controlled - invalid",F200="Sponsor veto - invalid",G200="Sponsor/candidate controlled - invalid",H200&lt;&gt;"Yes",I200&lt;&gt;"Yes",J200&lt;&gt;"Yes",R200="Predetermined outcome - invalid",S200="No credible precommitment",T200="Material assistance undisclosed",V200="Missing",V200="Changed after unblinding",W200="Material shared-model generation undisclosed",Y200="No protected reporting channel",Z200="No anonymity/confidentiality protection",AA200="No anti-retaliation safeguard"),"Inadequate",IF(OR(E200="Joint with firewall",F200="Independent with security redaction only",G200="Joint with public rules",K200&lt;&gt;"",AND(L200&lt;&gt;"",LOWER(L200)&lt;&gt;"none"),R200="Declared interest with enforceable firewall",S200="Conditional precommitment with disclosed limits",T200="Material assistance disclosed and separated",W200="Material shared-model generation disclosed",Z200="Not applicable with recorded rationale"),"Adequate with declared controls","Adequate"))))))</f>
        <v/>
      </c>
      <c r="P200">
        <f>IF(AND(O200="",N200=""),"",IF(AND(O200&lt;&gt;"",N200=""),"UNRECORDED",IF(AND(O200="",N200&lt;&gt;""),"ORPHAN_RECORDED",IF(O200=N200,"MATCH","MISMATCH"))))</f>
        <v/>
      </c>
      <c r="X200" s="303">
        <f>IF(COUNTA(E200:J200)+COUNTA(R200:T200)+COUNTA(V200:W200)+COUNTA(Y200:AA200)=0,"",IF(AND(COUNTIF(Vocabulary!$S$5:$S$8,E200)=1,COUNTIF(Vocabulary!$T$5:$T$8,F200)=1,COUNTIF(Vocabulary!$U$5:$U$8,G200)=1,COUNTIF(Vocabulary!$J$5:$J$6,H200)=1,COUNTIF(Vocabulary!$J$5:$J$6,I200)=1,COUNTIF(Vocabulary!$J$5:$J$6,J200)=1,COUNTIF(Vocabulary!$W$5:$W$8,R200)=1,COUNTIF(Vocabulary!$X$5:$X$8,S200)=1,COUNTIF(Vocabulary!$Y$5:$Y$9,T200)=1,COUNTIF(Vocabulary!$Z$5:$Z$8,V200)=1,COUNTIF(Vocabulary!$AA$5:$AA$9,W200)=1,COUNTIF(Vocabulary!$AB$5:$AB$7,Y200)=1,COUNTIF(Vocabulary!$AC$5:$AC$8,Z200)=1,COUNTIF(Vocabulary!$AD$5:$AD$7,AA200)=1),"OK","UNRECOGNISED_CONTROL_VALUE"))</f>
        <v/>
      </c>
      <c r="Y200" s="303" t="n"/>
      <c r="Z200" s="303" t="n"/>
      <c r="AA200" s="303" t="n"/>
    </row>
    <row r="201">
      <c r="O201">
        <f>IF(COUNTA(A201:N201)+COUNTA(Q201:W201)+COUNTA(Y201:AA201)=0,"",IF(OR(LEN(TRIM(A201))=0,LEN(TRIM(B201))=0,LEN(TRIM(C201))=0,LEN(TRIM(D201))=0,LEN(TRIM(E201))=0,LEN(TRIM(F201))=0,LEN(TRIM(G201))=0,LEN(TRIM(H201))=0,LEN(TRIM(I201))=0,LEN(TRIM(J201))=0,LEN(TRIM(R201))=0,LEN(TRIM(S201))=0,LEN(TRIM(T201))=0,LEN(TRIM(V201))=0,LEN(TRIM(W201))=0,LEN(TRIM(Y201))=0,LEN(TRIM(Z201))=0,LEN(TRIM(AA201))=0),"Indeterminate",IF(X201&lt;&gt;"OK","Indeterminate",IF(OR(E201="Indeterminate",F201="Indeterminate",G201="Indeterminate",R201="Indeterminate",S201="Indeterminate",T201="Indeterminate",V201="Indeterminate",W201="Indeterminate",Y201="Indeterminate",Z201="Indeterminate",AA201="Indeterminate"),"Indeterminate",IF(OR(E201="Sponsor controlled - invalid",F201="Sponsor veto - invalid",G201="Sponsor/candidate controlled - invalid",H201&lt;&gt;"Yes",I201&lt;&gt;"Yes",J201&lt;&gt;"Yes",R201="Predetermined outcome - invalid",S201="No credible precommitment",T201="Material assistance undisclosed",V201="Missing",V201="Changed after unblinding",W201="Material shared-model generation undisclosed",Y201="No protected reporting channel",Z201="No anonymity/confidentiality protection",AA201="No anti-retaliation safeguard"),"Inadequate",IF(OR(E201="Joint with firewall",F201="Independent with security redaction only",G201="Joint with public rules",K201&lt;&gt;"",AND(L201&lt;&gt;"",LOWER(L201)&lt;&gt;"none"),R201="Declared interest with enforceable firewall",S201="Conditional precommitment with disclosed limits",T201="Material assistance disclosed and separated",W201="Material shared-model generation disclosed",Z201="Not applicable with recorded rationale"),"Adequate with declared controls","Adequate"))))))</f>
        <v/>
      </c>
      <c r="P201">
        <f>IF(AND(O201="",N201=""),"",IF(AND(O201&lt;&gt;"",N201=""),"UNRECORDED",IF(AND(O201="",N201&lt;&gt;""),"ORPHAN_RECORDED",IF(O201=N201,"MATCH","MISMATCH"))))</f>
        <v/>
      </c>
      <c r="X201" s="303">
        <f>IF(COUNTA(E201:J201)+COUNTA(R201:T201)+COUNTA(V201:W201)+COUNTA(Y201:AA201)=0,"",IF(AND(COUNTIF(Vocabulary!$S$5:$S$8,E201)=1,COUNTIF(Vocabulary!$T$5:$T$8,F201)=1,COUNTIF(Vocabulary!$U$5:$U$8,G201)=1,COUNTIF(Vocabulary!$J$5:$J$6,H201)=1,COUNTIF(Vocabulary!$J$5:$J$6,I201)=1,COUNTIF(Vocabulary!$J$5:$J$6,J201)=1,COUNTIF(Vocabulary!$W$5:$W$8,R201)=1,COUNTIF(Vocabulary!$X$5:$X$8,S201)=1,COUNTIF(Vocabulary!$Y$5:$Y$9,T201)=1,COUNTIF(Vocabulary!$Z$5:$Z$8,V201)=1,COUNTIF(Vocabulary!$AA$5:$AA$9,W201)=1,COUNTIF(Vocabulary!$AB$5:$AB$7,Y201)=1,COUNTIF(Vocabulary!$AC$5:$AC$8,Z201)=1,COUNTIF(Vocabulary!$AD$5:$AD$7,AA201)=1),"OK","UNRECOGNISED_CONTROL_VALUE"))</f>
        <v/>
      </c>
      <c r="Y201" s="303" t="n"/>
      <c r="Z201" s="303" t="n"/>
      <c r="AA201" s="303" t="n"/>
    </row>
    <row r="202">
      <c r="O202">
        <f>IF(COUNTA(A202:N202)+COUNTA(Q202:W202)+COUNTA(Y202:AA202)=0,"",IF(OR(LEN(TRIM(A202))=0,LEN(TRIM(B202))=0,LEN(TRIM(C202))=0,LEN(TRIM(D202))=0,LEN(TRIM(E202))=0,LEN(TRIM(F202))=0,LEN(TRIM(G202))=0,LEN(TRIM(H202))=0,LEN(TRIM(I202))=0,LEN(TRIM(J202))=0,LEN(TRIM(R202))=0,LEN(TRIM(S202))=0,LEN(TRIM(T202))=0,LEN(TRIM(V202))=0,LEN(TRIM(W202))=0,LEN(TRIM(Y202))=0,LEN(TRIM(Z202))=0,LEN(TRIM(AA202))=0),"Indeterminate",IF(X202&lt;&gt;"OK","Indeterminate",IF(OR(E202="Indeterminate",F202="Indeterminate",G202="Indeterminate",R202="Indeterminate",S202="Indeterminate",T202="Indeterminate",V202="Indeterminate",W202="Indeterminate",Y202="Indeterminate",Z202="Indeterminate",AA202="Indeterminate"),"Indeterminate",IF(OR(E202="Sponsor controlled - invalid",F202="Sponsor veto - invalid",G202="Sponsor/candidate controlled - invalid",H202&lt;&gt;"Yes",I202&lt;&gt;"Yes",J202&lt;&gt;"Yes",R202="Predetermined outcome - invalid",S202="No credible precommitment",T202="Material assistance undisclosed",V202="Missing",V202="Changed after unblinding",W202="Material shared-model generation undisclosed",Y202="No protected reporting channel",Z202="No anonymity/confidentiality protection",AA202="No anti-retaliation safeguard"),"Inadequate",IF(OR(E202="Joint with firewall",F202="Independent with security redaction only",G202="Joint with public rules",K202&lt;&gt;"",AND(L202&lt;&gt;"",LOWER(L202)&lt;&gt;"none"),R202="Declared interest with enforceable firewall",S202="Conditional precommitment with disclosed limits",T202="Material assistance disclosed and separated",W202="Material shared-model generation disclosed",Z202="Not applicable with recorded rationale"),"Adequate with declared controls","Adequate"))))))</f>
        <v/>
      </c>
      <c r="P202">
        <f>IF(AND(O202="",N202=""),"",IF(AND(O202&lt;&gt;"",N202=""),"UNRECORDED",IF(AND(O202="",N202&lt;&gt;""),"ORPHAN_RECORDED",IF(O202=N202,"MATCH","MISMATCH"))))</f>
        <v/>
      </c>
      <c r="X202" s="303">
        <f>IF(COUNTA(E202:J202)+COUNTA(R202:T202)+COUNTA(V202:W202)+COUNTA(Y202:AA202)=0,"",IF(AND(COUNTIF(Vocabulary!$S$5:$S$8,E202)=1,COUNTIF(Vocabulary!$T$5:$T$8,F202)=1,COUNTIF(Vocabulary!$U$5:$U$8,G202)=1,COUNTIF(Vocabulary!$J$5:$J$6,H202)=1,COUNTIF(Vocabulary!$J$5:$J$6,I202)=1,COUNTIF(Vocabulary!$J$5:$J$6,J202)=1,COUNTIF(Vocabulary!$W$5:$W$8,R202)=1,COUNTIF(Vocabulary!$X$5:$X$8,S202)=1,COUNTIF(Vocabulary!$Y$5:$Y$9,T202)=1,COUNTIF(Vocabulary!$Z$5:$Z$8,V202)=1,COUNTIF(Vocabulary!$AA$5:$AA$9,W202)=1,COUNTIF(Vocabulary!$AB$5:$AB$7,Y202)=1,COUNTIF(Vocabulary!$AC$5:$AC$8,Z202)=1,COUNTIF(Vocabulary!$AD$5:$AD$7,AA202)=1),"OK","UNRECOGNISED_CONTROL_VALUE"))</f>
        <v/>
      </c>
      <c r="Y202" s="303" t="n"/>
      <c r="Z202" s="303" t="n"/>
      <c r="AA202" s="303" t="n"/>
    </row>
    <row r="203">
      <c r="O203">
        <f>IF(COUNTA(A203:N203)+COUNTA(Q203:W203)+COUNTA(Y203:AA203)=0,"",IF(OR(LEN(TRIM(A203))=0,LEN(TRIM(B203))=0,LEN(TRIM(C203))=0,LEN(TRIM(D203))=0,LEN(TRIM(E203))=0,LEN(TRIM(F203))=0,LEN(TRIM(G203))=0,LEN(TRIM(H203))=0,LEN(TRIM(I203))=0,LEN(TRIM(J203))=0,LEN(TRIM(R203))=0,LEN(TRIM(S203))=0,LEN(TRIM(T203))=0,LEN(TRIM(V203))=0,LEN(TRIM(W203))=0,LEN(TRIM(Y203))=0,LEN(TRIM(Z203))=0,LEN(TRIM(AA203))=0),"Indeterminate",IF(X203&lt;&gt;"OK","Indeterminate",IF(OR(E203="Indeterminate",F203="Indeterminate",G203="Indeterminate",R203="Indeterminate",S203="Indeterminate",T203="Indeterminate",V203="Indeterminate",W203="Indeterminate",Y203="Indeterminate",Z203="Indeterminate",AA203="Indeterminate"),"Indeterminate",IF(OR(E203="Sponsor controlled - invalid",F203="Sponsor veto - invalid",G203="Sponsor/candidate controlled - invalid",H203&lt;&gt;"Yes",I203&lt;&gt;"Yes",J203&lt;&gt;"Yes",R203="Predetermined outcome - invalid",S203="No credible precommitment",T203="Material assistance undisclosed",V203="Missing",V203="Changed after unblinding",W203="Material shared-model generation undisclosed",Y203="No protected reporting channel",Z203="No anonymity/confidentiality protection",AA203="No anti-retaliation safeguard"),"Inadequate",IF(OR(E203="Joint with firewall",F203="Independent with security redaction only",G203="Joint with public rules",K203&lt;&gt;"",AND(L203&lt;&gt;"",LOWER(L203)&lt;&gt;"none"),R203="Declared interest with enforceable firewall",S203="Conditional precommitment with disclosed limits",T203="Material assistance disclosed and separated",W203="Material shared-model generation disclosed",Z203="Not applicable with recorded rationale"),"Adequate with declared controls","Adequate"))))))</f>
        <v/>
      </c>
      <c r="P203">
        <f>IF(AND(O203="",N203=""),"",IF(AND(O203&lt;&gt;"",N203=""),"UNRECORDED",IF(AND(O203="",N203&lt;&gt;""),"ORPHAN_RECORDED",IF(O203=N203,"MATCH","MISMATCH"))))</f>
        <v/>
      </c>
      <c r="X203" s="303">
        <f>IF(COUNTA(E203:J203)+COUNTA(R203:T203)+COUNTA(V203:W203)+COUNTA(Y203:AA203)=0,"",IF(AND(COUNTIF(Vocabulary!$S$5:$S$8,E203)=1,COUNTIF(Vocabulary!$T$5:$T$8,F203)=1,COUNTIF(Vocabulary!$U$5:$U$8,G203)=1,COUNTIF(Vocabulary!$J$5:$J$6,H203)=1,COUNTIF(Vocabulary!$J$5:$J$6,I203)=1,COUNTIF(Vocabulary!$J$5:$J$6,J203)=1,COUNTIF(Vocabulary!$W$5:$W$8,R203)=1,COUNTIF(Vocabulary!$X$5:$X$8,S203)=1,COUNTIF(Vocabulary!$Y$5:$Y$9,T203)=1,COUNTIF(Vocabulary!$Z$5:$Z$8,V203)=1,COUNTIF(Vocabulary!$AA$5:$AA$9,W203)=1,COUNTIF(Vocabulary!$AB$5:$AB$7,Y203)=1,COUNTIF(Vocabulary!$AC$5:$AC$8,Z203)=1,COUNTIF(Vocabulary!$AD$5:$AD$7,AA203)=1),"OK","UNRECOGNISED_CONTROL_VALUE"))</f>
        <v/>
      </c>
      <c r="Y203" s="303" t="n"/>
      <c r="Z203" s="303" t="n"/>
      <c r="AA203" s="303" t="n"/>
    </row>
    <row r="204">
      <c r="O204">
        <f>IF(COUNTA(A204:N204)+COUNTA(Q204:W204)+COUNTA(Y204:AA204)=0,"",IF(OR(LEN(TRIM(A204))=0,LEN(TRIM(B204))=0,LEN(TRIM(C204))=0,LEN(TRIM(D204))=0,LEN(TRIM(E204))=0,LEN(TRIM(F204))=0,LEN(TRIM(G204))=0,LEN(TRIM(H204))=0,LEN(TRIM(I204))=0,LEN(TRIM(J204))=0,LEN(TRIM(R204))=0,LEN(TRIM(S204))=0,LEN(TRIM(T204))=0,LEN(TRIM(V204))=0,LEN(TRIM(W204))=0,LEN(TRIM(Y204))=0,LEN(TRIM(Z204))=0,LEN(TRIM(AA204))=0),"Indeterminate",IF(X204&lt;&gt;"OK","Indeterminate",IF(OR(E204="Indeterminate",F204="Indeterminate",G204="Indeterminate",R204="Indeterminate",S204="Indeterminate",T204="Indeterminate",V204="Indeterminate",W204="Indeterminate",Y204="Indeterminate",Z204="Indeterminate",AA204="Indeterminate"),"Indeterminate",IF(OR(E204="Sponsor controlled - invalid",F204="Sponsor veto - invalid",G204="Sponsor/candidate controlled - invalid",H204&lt;&gt;"Yes",I204&lt;&gt;"Yes",J204&lt;&gt;"Yes",R204="Predetermined outcome - invalid",S204="No credible precommitment",T204="Material assistance undisclosed",V204="Missing",V204="Changed after unblinding",W204="Material shared-model generation undisclosed",Y204="No protected reporting channel",Z204="No anonymity/confidentiality protection",AA204="No anti-retaliation safeguard"),"Inadequate",IF(OR(E204="Joint with firewall",F204="Independent with security redaction only",G204="Joint with public rules",K204&lt;&gt;"",AND(L204&lt;&gt;"",LOWER(L204)&lt;&gt;"none"),R204="Declared interest with enforceable firewall",S204="Conditional precommitment with disclosed limits",T204="Material assistance disclosed and separated",W204="Material shared-model generation disclosed",Z204="Not applicable with recorded rationale"),"Adequate with declared controls","Adequate"))))))</f>
        <v/>
      </c>
      <c r="P204">
        <f>IF(AND(O204="",N204=""),"",IF(AND(O204&lt;&gt;"",N204=""),"UNRECORDED",IF(AND(O204="",N204&lt;&gt;""),"ORPHAN_RECORDED",IF(O204=N204,"MATCH","MISMATCH"))))</f>
        <v/>
      </c>
      <c r="X204" s="303">
        <f>IF(COUNTA(E204:J204)+COUNTA(R204:T204)+COUNTA(V204:W204)+COUNTA(Y204:AA204)=0,"",IF(AND(COUNTIF(Vocabulary!$S$5:$S$8,E204)=1,COUNTIF(Vocabulary!$T$5:$T$8,F204)=1,COUNTIF(Vocabulary!$U$5:$U$8,G204)=1,COUNTIF(Vocabulary!$J$5:$J$6,H204)=1,COUNTIF(Vocabulary!$J$5:$J$6,I204)=1,COUNTIF(Vocabulary!$J$5:$J$6,J204)=1,COUNTIF(Vocabulary!$W$5:$W$8,R204)=1,COUNTIF(Vocabulary!$X$5:$X$8,S204)=1,COUNTIF(Vocabulary!$Y$5:$Y$9,T204)=1,COUNTIF(Vocabulary!$Z$5:$Z$8,V204)=1,COUNTIF(Vocabulary!$AA$5:$AA$9,W204)=1,COUNTIF(Vocabulary!$AB$5:$AB$7,Y204)=1,COUNTIF(Vocabulary!$AC$5:$AC$8,Z204)=1,COUNTIF(Vocabulary!$AD$5:$AD$7,AA204)=1),"OK","UNRECOGNISED_CONTROL_VALUE"))</f>
        <v/>
      </c>
      <c r="Y204" s="303" t="n"/>
      <c r="Z204" s="303" t="n"/>
      <c r="AA204" s="303" t="n"/>
    </row>
    <row r="205">
      <c r="O205">
        <f>IF(COUNTA(A205:N205)+COUNTA(Q205:W205)+COUNTA(Y205:AA205)=0,"",IF(OR(LEN(TRIM(A205))=0,LEN(TRIM(B205))=0,LEN(TRIM(C205))=0,LEN(TRIM(D205))=0,LEN(TRIM(E205))=0,LEN(TRIM(F205))=0,LEN(TRIM(G205))=0,LEN(TRIM(H205))=0,LEN(TRIM(I205))=0,LEN(TRIM(J205))=0,LEN(TRIM(R205))=0,LEN(TRIM(S205))=0,LEN(TRIM(T205))=0,LEN(TRIM(V205))=0,LEN(TRIM(W205))=0,LEN(TRIM(Y205))=0,LEN(TRIM(Z205))=0,LEN(TRIM(AA205))=0),"Indeterminate",IF(X205&lt;&gt;"OK","Indeterminate",IF(OR(E205="Indeterminate",F205="Indeterminate",G205="Indeterminate",R205="Indeterminate",S205="Indeterminate",T205="Indeterminate",V205="Indeterminate",W205="Indeterminate",Y205="Indeterminate",Z205="Indeterminate",AA205="Indeterminate"),"Indeterminate",IF(OR(E205="Sponsor controlled - invalid",F205="Sponsor veto - invalid",G205="Sponsor/candidate controlled - invalid",H205&lt;&gt;"Yes",I205&lt;&gt;"Yes",J205&lt;&gt;"Yes",R205="Predetermined outcome - invalid",S205="No credible precommitment",T205="Material assistance undisclosed",V205="Missing",V205="Changed after unblinding",W205="Material shared-model generation undisclosed",Y205="No protected reporting channel",Z205="No anonymity/confidentiality protection",AA205="No anti-retaliation safeguard"),"Inadequate",IF(OR(E205="Joint with firewall",F205="Independent with security redaction only",G205="Joint with public rules",K205&lt;&gt;"",AND(L205&lt;&gt;"",LOWER(L205)&lt;&gt;"none"),R205="Declared interest with enforceable firewall",S205="Conditional precommitment with disclosed limits",T205="Material assistance disclosed and separated",W205="Material shared-model generation disclosed",Z205="Not applicable with recorded rationale"),"Adequate with declared controls","Adequate"))))))</f>
        <v/>
      </c>
      <c r="P205">
        <f>IF(AND(O205="",N205=""),"",IF(AND(O205&lt;&gt;"",N205=""),"UNRECORDED",IF(AND(O205="",N205&lt;&gt;""),"ORPHAN_RECORDED",IF(O205=N205,"MATCH","MISMATCH"))))</f>
        <v/>
      </c>
      <c r="X205" s="303">
        <f>IF(COUNTA(E205:J205)+COUNTA(R205:T205)+COUNTA(V205:W205)+COUNTA(Y205:AA205)=0,"",IF(AND(COUNTIF(Vocabulary!$S$5:$S$8,E205)=1,COUNTIF(Vocabulary!$T$5:$T$8,F205)=1,COUNTIF(Vocabulary!$U$5:$U$8,G205)=1,COUNTIF(Vocabulary!$J$5:$J$6,H205)=1,COUNTIF(Vocabulary!$J$5:$J$6,I205)=1,COUNTIF(Vocabulary!$J$5:$J$6,J205)=1,COUNTIF(Vocabulary!$W$5:$W$8,R205)=1,COUNTIF(Vocabulary!$X$5:$X$8,S205)=1,COUNTIF(Vocabulary!$Y$5:$Y$9,T205)=1,COUNTIF(Vocabulary!$Z$5:$Z$8,V205)=1,COUNTIF(Vocabulary!$AA$5:$AA$9,W205)=1,COUNTIF(Vocabulary!$AB$5:$AB$7,Y205)=1,COUNTIF(Vocabulary!$AC$5:$AC$8,Z205)=1,COUNTIF(Vocabulary!$AD$5:$AD$7,AA205)=1),"OK","UNRECOGNISED_CONTROL_VALUE"))</f>
        <v/>
      </c>
      <c r="Y205" s="303" t="n"/>
      <c r="Z205" s="303" t="n"/>
      <c r="AA205" s="303" t="n"/>
    </row>
    <row r="206">
      <c r="O206">
        <f>IF(COUNTA(A206:N206)+COUNTA(Q206:W206)+COUNTA(Y206:AA206)=0,"",IF(OR(LEN(TRIM(A206))=0,LEN(TRIM(B206))=0,LEN(TRIM(C206))=0,LEN(TRIM(D206))=0,LEN(TRIM(E206))=0,LEN(TRIM(F206))=0,LEN(TRIM(G206))=0,LEN(TRIM(H206))=0,LEN(TRIM(I206))=0,LEN(TRIM(J206))=0,LEN(TRIM(R206))=0,LEN(TRIM(S206))=0,LEN(TRIM(T206))=0,LEN(TRIM(V206))=0,LEN(TRIM(W206))=0,LEN(TRIM(Y206))=0,LEN(TRIM(Z206))=0,LEN(TRIM(AA206))=0),"Indeterminate",IF(X206&lt;&gt;"OK","Indeterminate",IF(OR(E206="Indeterminate",F206="Indeterminate",G206="Indeterminate",R206="Indeterminate",S206="Indeterminate",T206="Indeterminate",V206="Indeterminate",W206="Indeterminate",Y206="Indeterminate",Z206="Indeterminate",AA206="Indeterminate"),"Indeterminate",IF(OR(E206="Sponsor controlled - invalid",F206="Sponsor veto - invalid",G206="Sponsor/candidate controlled - invalid",H206&lt;&gt;"Yes",I206&lt;&gt;"Yes",J206&lt;&gt;"Yes",R206="Predetermined outcome - invalid",S206="No credible precommitment",T206="Material assistance undisclosed",V206="Missing",V206="Changed after unblinding",W206="Material shared-model generation undisclosed",Y206="No protected reporting channel",Z206="No anonymity/confidentiality protection",AA206="No anti-retaliation safeguard"),"Inadequate",IF(OR(E206="Joint with firewall",F206="Independent with security redaction only",G206="Joint with public rules",K206&lt;&gt;"",AND(L206&lt;&gt;"",LOWER(L206)&lt;&gt;"none"),R206="Declared interest with enforceable firewall",S206="Conditional precommitment with disclosed limits",T206="Material assistance disclosed and separated",W206="Material shared-model generation disclosed",Z206="Not applicable with recorded rationale"),"Adequate with declared controls","Adequate"))))))</f>
        <v/>
      </c>
      <c r="P206">
        <f>IF(AND(O206="",N206=""),"",IF(AND(O206&lt;&gt;"",N206=""),"UNRECORDED",IF(AND(O206="",N206&lt;&gt;""),"ORPHAN_RECORDED",IF(O206=N206,"MATCH","MISMATCH"))))</f>
        <v/>
      </c>
      <c r="X206" s="303">
        <f>IF(COUNTA(E206:J206)+COUNTA(R206:T206)+COUNTA(V206:W206)+COUNTA(Y206:AA206)=0,"",IF(AND(COUNTIF(Vocabulary!$S$5:$S$8,E206)=1,COUNTIF(Vocabulary!$T$5:$T$8,F206)=1,COUNTIF(Vocabulary!$U$5:$U$8,G206)=1,COUNTIF(Vocabulary!$J$5:$J$6,H206)=1,COUNTIF(Vocabulary!$J$5:$J$6,I206)=1,COUNTIF(Vocabulary!$J$5:$J$6,J206)=1,COUNTIF(Vocabulary!$W$5:$W$8,R206)=1,COUNTIF(Vocabulary!$X$5:$X$8,S206)=1,COUNTIF(Vocabulary!$Y$5:$Y$9,T206)=1,COUNTIF(Vocabulary!$Z$5:$Z$8,V206)=1,COUNTIF(Vocabulary!$AA$5:$AA$9,W206)=1,COUNTIF(Vocabulary!$AB$5:$AB$7,Y206)=1,COUNTIF(Vocabulary!$AC$5:$AC$8,Z206)=1,COUNTIF(Vocabulary!$AD$5:$AD$7,AA206)=1),"OK","UNRECOGNISED_CONTROL_VALUE"))</f>
        <v/>
      </c>
      <c r="Y206" s="303" t="n"/>
      <c r="Z206" s="303" t="n"/>
      <c r="AA206" s="303" t="n"/>
    </row>
    <row r="207">
      <c r="O207">
        <f>IF(COUNTA(A207:N207)+COUNTA(Q207:W207)+COUNTA(Y207:AA207)=0,"",IF(OR(LEN(TRIM(A207))=0,LEN(TRIM(B207))=0,LEN(TRIM(C207))=0,LEN(TRIM(D207))=0,LEN(TRIM(E207))=0,LEN(TRIM(F207))=0,LEN(TRIM(G207))=0,LEN(TRIM(H207))=0,LEN(TRIM(I207))=0,LEN(TRIM(J207))=0,LEN(TRIM(R207))=0,LEN(TRIM(S207))=0,LEN(TRIM(T207))=0,LEN(TRIM(V207))=0,LEN(TRIM(W207))=0,LEN(TRIM(Y207))=0,LEN(TRIM(Z207))=0,LEN(TRIM(AA207))=0),"Indeterminate",IF(X207&lt;&gt;"OK","Indeterminate",IF(OR(E207="Indeterminate",F207="Indeterminate",G207="Indeterminate",R207="Indeterminate",S207="Indeterminate",T207="Indeterminate",V207="Indeterminate",W207="Indeterminate",Y207="Indeterminate",Z207="Indeterminate",AA207="Indeterminate"),"Indeterminate",IF(OR(E207="Sponsor controlled - invalid",F207="Sponsor veto - invalid",G207="Sponsor/candidate controlled - invalid",H207&lt;&gt;"Yes",I207&lt;&gt;"Yes",J207&lt;&gt;"Yes",R207="Predetermined outcome - invalid",S207="No credible precommitment",T207="Material assistance undisclosed",V207="Missing",V207="Changed after unblinding",W207="Material shared-model generation undisclosed",Y207="No protected reporting channel",Z207="No anonymity/confidentiality protection",AA207="No anti-retaliation safeguard"),"Inadequate",IF(OR(E207="Joint with firewall",F207="Independent with security redaction only",G207="Joint with public rules",K207&lt;&gt;"",AND(L207&lt;&gt;"",LOWER(L207)&lt;&gt;"none"),R207="Declared interest with enforceable firewall",S207="Conditional precommitment with disclosed limits",T207="Material assistance disclosed and separated",W207="Material shared-model generation disclosed",Z207="Not applicable with recorded rationale"),"Adequate with declared controls","Adequate"))))))</f>
        <v/>
      </c>
      <c r="P207">
        <f>IF(AND(O207="",N207=""),"",IF(AND(O207&lt;&gt;"",N207=""),"UNRECORDED",IF(AND(O207="",N207&lt;&gt;""),"ORPHAN_RECORDED",IF(O207=N207,"MATCH","MISMATCH"))))</f>
        <v/>
      </c>
      <c r="X207" s="303">
        <f>IF(COUNTA(E207:J207)+COUNTA(R207:T207)+COUNTA(V207:W207)+COUNTA(Y207:AA207)=0,"",IF(AND(COUNTIF(Vocabulary!$S$5:$S$8,E207)=1,COUNTIF(Vocabulary!$T$5:$T$8,F207)=1,COUNTIF(Vocabulary!$U$5:$U$8,G207)=1,COUNTIF(Vocabulary!$J$5:$J$6,H207)=1,COUNTIF(Vocabulary!$J$5:$J$6,I207)=1,COUNTIF(Vocabulary!$J$5:$J$6,J207)=1,COUNTIF(Vocabulary!$W$5:$W$8,R207)=1,COUNTIF(Vocabulary!$X$5:$X$8,S207)=1,COUNTIF(Vocabulary!$Y$5:$Y$9,T207)=1,COUNTIF(Vocabulary!$Z$5:$Z$8,V207)=1,COUNTIF(Vocabulary!$AA$5:$AA$9,W207)=1,COUNTIF(Vocabulary!$AB$5:$AB$7,Y207)=1,COUNTIF(Vocabulary!$AC$5:$AC$8,Z207)=1,COUNTIF(Vocabulary!$AD$5:$AD$7,AA207)=1),"OK","UNRECOGNISED_CONTROL_VALUE"))</f>
        <v/>
      </c>
      <c r="Y207" s="303" t="n"/>
      <c r="Z207" s="303" t="n"/>
      <c r="AA207" s="303" t="n"/>
    </row>
    <row r="208">
      <c r="O208">
        <f>IF(COUNTA(A208:N208)+COUNTA(Q208:W208)+COUNTA(Y208:AA208)=0,"",IF(OR(LEN(TRIM(A208))=0,LEN(TRIM(B208))=0,LEN(TRIM(C208))=0,LEN(TRIM(D208))=0,LEN(TRIM(E208))=0,LEN(TRIM(F208))=0,LEN(TRIM(G208))=0,LEN(TRIM(H208))=0,LEN(TRIM(I208))=0,LEN(TRIM(J208))=0,LEN(TRIM(R208))=0,LEN(TRIM(S208))=0,LEN(TRIM(T208))=0,LEN(TRIM(V208))=0,LEN(TRIM(W208))=0,LEN(TRIM(Y208))=0,LEN(TRIM(Z208))=0,LEN(TRIM(AA208))=0),"Indeterminate",IF(X208&lt;&gt;"OK","Indeterminate",IF(OR(E208="Indeterminate",F208="Indeterminate",G208="Indeterminate",R208="Indeterminate",S208="Indeterminate",T208="Indeterminate",V208="Indeterminate",W208="Indeterminate",Y208="Indeterminate",Z208="Indeterminate",AA208="Indeterminate"),"Indeterminate",IF(OR(E208="Sponsor controlled - invalid",F208="Sponsor veto - invalid",G208="Sponsor/candidate controlled - invalid",H208&lt;&gt;"Yes",I208&lt;&gt;"Yes",J208&lt;&gt;"Yes",R208="Predetermined outcome - invalid",S208="No credible precommitment",T208="Material assistance undisclosed",V208="Missing",V208="Changed after unblinding",W208="Material shared-model generation undisclosed",Y208="No protected reporting channel",Z208="No anonymity/confidentiality protection",AA208="No anti-retaliation safeguard"),"Inadequate",IF(OR(E208="Joint with firewall",F208="Independent with security redaction only",G208="Joint with public rules",K208&lt;&gt;"",AND(L208&lt;&gt;"",LOWER(L208)&lt;&gt;"none"),R208="Declared interest with enforceable firewall",S208="Conditional precommitment with disclosed limits",T208="Material assistance disclosed and separated",W208="Material shared-model generation disclosed",Z208="Not applicable with recorded rationale"),"Adequate with declared controls","Adequate"))))))</f>
        <v/>
      </c>
      <c r="P208">
        <f>IF(AND(O208="",N208=""),"",IF(AND(O208&lt;&gt;"",N208=""),"UNRECORDED",IF(AND(O208="",N208&lt;&gt;""),"ORPHAN_RECORDED",IF(O208=N208,"MATCH","MISMATCH"))))</f>
        <v/>
      </c>
      <c r="X208" s="303">
        <f>IF(COUNTA(E208:J208)+COUNTA(R208:T208)+COUNTA(V208:W208)+COUNTA(Y208:AA208)=0,"",IF(AND(COUNTIF(Vocabulary!$S$5:$S$8,E208)=1,COUNTIF(Vocabulary!$T$5:$T$8,F208)=1,COUNTIF(Vocabulary!$U$5:$U$8,G208)=1,COUNTIF(Vocabulary!$J$5:$J$6,H208)=1,COUNTIF(Vocabulary!$J$5:$J$6,I208)=1,COUNTIF(Vocabulary!$J$5:$J$6,J208)=1,COUNTIF(Vocabulary!$W$5:$W$8,R208)=1,COUNTIF(Vocabulary!$X$5:$X$8,S208)=1,COUNTIF(Vocabulary!$Y$5:$Y$9,T208)=1,COUNTIF(Vocabulary!$Z$5:$Z$8,V208)=1,COUNTIF(Vocabulary!$AA$5:$AA$9,W208)=1,COUNTIF(Vocabulary!$AB$5:$AB$7,Y208)=1,COUNTIF(Vocabulary!$AC$5:$AC$8,Z208)=1,COUNTIF(Vocabulary!$AD$5:$AD$7,AA208)=1),"OK","UNRECOGNISED_CONTROL_VALUE"))</f>
        <v/>
      </c>
      <c r="Y208" s="303" t="n"/>
      <c r="Z208" s="303" t="n"/>
      <c r="AA208" s="303" t="n"/>
    </row>
    <row r="209">
      <c r="O209">
        <f>IF(COUNTA(A209:N209)+COUNTA(Q209:W209)+COUNTA(Y209:AA209)=0,"",IF(OR(LEN(TRIM(A209))=0,LEN(TRIM(B209))=0,LEN(TRIM(C209))=0,LEN(TRIM(D209))=0,LEN(TRIM(E209))=0,LEN(TRIM(F209))=0,LEN(TRIM(G209))=0,LEN(TRIM(H209))=0,LEN(TRIM(I209))=0,LEN(TRIM(J209))=0,LEN(TRIM(R209))=0,LEN(TRIM(S209))=0,LEN(TRIM(T209))=0,LEN(TRIM(V209))=0,LEN(TRIM(W209))=0,LEN(TRIM(Y209))=0,LEN(TRIM(Z209))=0,LEN(TRIM(AA209))=0),"Indeterminate",IF(X209&lt;&gt;"OK","Indeterminate",IF(OR(E209="Indeterminate",F209="Indeterminate",G209="Indeterminate",R209="Indeterminate",S209="Indeterminate",T209="Indeterminate",V209="Indeterminate",W209="Indeterminate",Y209="Indeterminate",Z209="Indeterminate",AA209="Indeterminate"),"Indeterminate",IF(OR(E209="Sponsor controlled - invalid",F209="Sponsor veto - invalid",G209="Sponsor/candidate controlled - invalid",H209&lt;&gt;"Yes",I209&lt;&gt;"Yes",J209&lt;&gt;"Yes",R209="Predetermined outcome - invalid",S209="No credible precommitment",T209="Material assistance undisclosed",V209="Missing",V209="Changed after unblinding",W209="Material shared-model generation undisclosed",Y209="No protected reporting channel",Z209="No anonymity/confidentiality protection",AA209="No anti-retaliation safeguard"),"Inadequate",IF(OR(E209="Joint with firewall",F209="Independent with security redaction only",G209="Joint with public rules",K209&lt;&gt;"",AND(L209&lt;&gt;"",LOWER(L209)&lt;&gt;"none"),R209="Declared interest with enforceable firewall",S209="Conditional precommitment with disclosed limits",T209="Material assistance disclosed and separated",W209="Material shared-model generation disclosed",Z209="Not applicable with recorded rationale"),"Adequate with declared controls","Adequate"))))))</f>
        <v/>
      </c>
      <c r="P209">
        <f>IF(AND(O209="",N209=""),"",IF(AND(O209&lt;&gt;"",N209=""),"UNRECORDED",IF(AND(O209="",N209&lt;&gt;""),"ORPHAN_RECORDED",IF(O209=N209,"MATCH","MISMATCH"))))</f>
        <v/>
      </c>
      <c r="X209" s="303">
        <f>IF(COUNTA(E209:J209)+COUNTA(R209:T209)+COUNTA(V209:W209)+COUNTA(Y209:AA209)=0,"",IF(AND(COUNTIF(Vocabulary!$S$5:$S$8,E209)=1,COUNTIF(Vocabulary!$T$5:$T$8,F209)=1,COUNTIF(Vocabulary!$U$5:$U$8,G209)=1,COUNTIF(Vocabulary!$J$5:$J$6,H209)=1,COUNTIF(Vocabulary!$J$5:$J$6,I209)=1,COUNTIF(Vocabulary!$J$5:$J$6,J209)=1,COUNTIF(Vocabulary!$W$5:$W$8,R209)=1,COUNTIF(Vocabulary!$X$5:$X$8,S209)=1,COUNTIF(Vocabulary!$Y$5:$Y$9,T209)=1,COUNTIF(Vocabulary!$Z$5:$Z$8,V209)=1,COUNTIF(Vocabulary!$AA$5:$AA$9,W209)=1,COUNTIF(Vocabulary!$AB$5:$AB$7,Y209)=1,COUNTIF(Vocabulary!$AC$5:$AC$8,Z209)=1,COUNTIF(Vocabulary!$AD$5:$AD$7,AA209)=1),"OK","UNRECOGNISED_CONTROL_VALUE"))</f>
        <v/>
      </c>
      <c r="Y209" s="303" t="n"/>
      <c r="Z209" s="303" t="n"/>
      <c r="AA209" s="303" t="n"/>
    </row>
    <row r="210">
      <c r="O210">
        <f>IF(COUNTA(A210:N210)+COUNTA(Q210:W210)+COUNTA(Y210:AA210)=0,"",IF(OR(LEN(TRIM(A210))=0,LEN(TRIM(B210))=0,LEN(TRIM(C210))=0,LEN(TRIM(D210))=0,LEN(TRIM(E210))=0,LEN(TRIM(F210))=0,LEN(TRIM(G210))=0,LEN(TRIM(H210))=0,LEN(TRIM(I210))=0,LEN(TRIM(J210))=0,LEN(TRIM(R210))=0,LEN(TRIM(S210))=0,LEN(TRIM(T210))=0,LEN(TRIM(V210))=0,LEN(TRIM(W210))=0,LEN(TRIM(Y210))=0,LEN(TRIM(Z210))=0,LEN(TRIM(AA210))=0),"Indeterminate",IF(X210&lt;&gt;"OK","Indeterminate",IF(OR(E210="Indeterminate",F210="Indeterminate",G210="Indeterminate",R210="Indeterminate",S210="Indeterminate",T210="Indeterminate",V210="Indeterminate",W210="Indeterminate",Y210="Indeterminate",Z210="Indeterminate",AA210="Indeterminate"),"Indeterminate",IF(OR(E210="Sponsor controlled - invalid",F210="Sponsor veto - invalid",G210="Sponsor/candidate controlled - invalid",H210&lt;&gt;"Yes",I210&lt;&gt;"Yes",J210&lt;&gt;"Yes",R210="Predetermined outcome - invalid",S210="No credible precommitment",T210="Material assistance undisclosed",V210="Missing",V210="Changed after unblinding",W210="Material shared-model generation undisclosed",Y210="No protected reporting channel",Z210="No anonymity/confidentiality protection",AA210="No anti-retaliation safeguard"),"Inadequate",IF(OR(E210="Joint with firewall",F210="Independent with security redaction only",G210="Joint with public rules",K210&lt;&gt;"",AND(L210&lt;&gt;"",LOWER(L210)&lt;&gt;"none"),R210="Declared interest with enforceable firewall",S210="Conditional precommitment with disclosed limits",T210="Material assistance disclosed and separated",W210="Material shared-model generation disclosed",Z210="Not applicable with recorded rationale"),"Adequate with declared controls","Adequate"))))))</f>
        <v/>
      </c>
      <c r="P210">
        <f>IF(AND(O210="",N210=""),"",IF(AND(O210&lt;&gt;"",N210=""),"UNRECORDED",IF(AND(O210="",N210&lt;&gt;""),"ORPHAN_RECORDED",IF(O210=N210,"MATCH","MISMATCH"))))</f>
        <v/>
      </c>
      <c r="X210" s="303">
        <f>IF(COUNTA(E210:J210)+COUNTA(R210:T210)+COUNTA(V210:W210)+COUNTA(Y210:AA210)=0,"",IF(AND(COUNTIF(Vocabulary!$S$5:$S$8,E210)=1,COUNTIF(Vocabulary!$T$5:$T$8,F210)=1,COUNTIF(Vocabulary!$U$5:$U$8,G210)=1,COUNTIF(Vocabulary!$J$5:$J$6,H210)=1,COUNTIF(Vocabulary!$J$5:$J$6,I210)=1,COUNTIF(Vocabulary!$J$5:$J$6,J210)=1,COUNTIF(Vocabulary!$W$5:$W$8,R210)=1,COUNTIF(Vocabulary!$X$5:$X$8,S210)=1,COUNTIF(Vocabulary!$Y$5:$Y$9,T210)=1,COUNTIF(Vocabulary!$Z$5:$Z$8,V210)=1,COUNTIF(Vocabulary!$AA$5:$AA$9,W210)=1,COUNTIF(Vocabulary!$AB$5:$AB$7,Y210)=1,COUNTIF(Vocabulary!$AC$5:$AC$8,Z210)=1,COUNTIF(Vocabulary!$AD$5:$AD$7,AA210)=1),"OK","UNRECOGNISED_CONTROL_VALUE"))</f>
        <v/>
      </c>
      <c r="Y210" s="303" t="n"/>
      <c r="Z210" s="303" t="n"/>
      <c r="AA210" s="303" t="n"/>
    </row>
    <row r="211">
      <c r="O211">
        <f>IF(COUNTA(A211:N211)+COUNTA(Q211:W211)+COUNTA(Y211:AA211)=0,"",IF(OR(LEN(TRIM(A211))=0,LEN(TRIM(B211))=0,LEN(TRIM(C211))=0,LEN(TRIM(D211))=0,LEN(TRIM(E211))=0,LEN(TRIM(F211))=0,LEN(TRIM(G211))=0,LEN(TRIM(H211))=0,LEN(TRIM(I211))=0,LEN(TRIM(J211))=0,LEN(TRIM(R211))=0,LEN(TRIM(S211))=0,LEN(TRIM(T211))=0,LEN(TRIM(V211))=0,LEN(TRIM(W211))=0,LEN(TRIM(Y211))=0,LEN(TRIM(Z211))=0,LEN(TRIM(AA211))=0),"Indeterminate",IF(X211&lt;&gt;"OK","Indeterminate",IF(OR(E211="Indeterminate",F211="Indeterminate",G211="Indeterminate",R211="Indeterminate",S211="Indeterminate",T211="Indeterminate",V211="Indeterminate",W211="Indeterminate",Y211="Indeterminate",Z211="Indeterminate",AA211="Indeterminate"),"Indeterminate",IF(OR(E211="Sponsor controlled - invalid",F211="Sponsor veto - invalid",G211="Sponsor/candidate controlled - invalid",H211&lt;&gt;"Yes",I211&lt;&gt;"Yes",J211&lt;&gt;"Yes",R211="Predetermined outcome - invalid",S211="No credible precommitment",T211="Material assistance undisclosed",V211="Missing",V211="Changed after unblinding",W211="Material shared-model generation undisclosed",Y211="No protected reporting channel",Z211="No anonymity/confidentiality protection",AA211="No anti-retaliation safeguard"),"Inadequate",IF(OR(E211="Joint with firewall",F211="Independent with security redaction only",G211="Joint with public rules",K211&lt;&gt;"",AND(L211&lt;&gt;"",LOWER(L211)&lt;&gt;"none"),R211="Declared interest with enforceable firewall",S211="Conditional precommitment with disclosed limits",T211="Material assistance disclosed and separated",W211="Material shared-model generation disclosed",Z211="Not applicable with recorded rationale"),"Adequate with declared controls","Adequate"))))))</f>
        <v/>
      </c>
      <c r="P211">
        <f>IF(AND(O211="",N211=""),"",IF(AND(O211&lt;&gt;"",N211=""),"UNRECORDED",IF(AND(O211="",N211&lt;&gt;""),"ORPHAN_RECORDED",IF(O211=N211,"MATCH","MISMATCH"))))</f>
        <v/>
      </c>
      <c r="X211" s="303">
        <f>IF(COUNTA(E211:J211)+COUNTA(R211:T211)+COUNTA(V211:W211)+COUNTA(Y211:AA211)=0,"",IF(AND(COUNTIF(Vocabulary!$S$5:$S$8,E211)=1,COUNTIF(Vocabulary!$T$5:$T$8,F211)=1,COUNTIF(Vocabulary!$U$5:$U$8,G211)=1,COUNTIF(Vocabulary!$J$5:$J$6,H211)=1,COUNTIF(Vocabulary!$J$5:$J$6,I211)=1,COUNTIF(Vocabulary!$J$5:$J$6,J211)=1,COUNTIF(Vocabulary!$W$5:$W$8,R211)=1,COUNTIF(Vocabulary!$X$5:$X$8,S211)=1,COUNTIF(Vocabulary!$Y$5:$Y$9,T211)=1,COUNTIF(Vocabulary!$Z$5:$Z$8,V211)=1,COUNTIF(Vocabulary!$AA$5:$AA$9,W211)=1,COUNTIF(Vocabulary!$AB$5:$AB$7,Y211)=1,COUNTIF(Vocabulary!$AC$5:$AC$8,Z211)=1,COUNTIF(Vocabulary!$AD$5:$AD$7,AA211)=1),"OK","UNRECOGNISED_CONTROL_VALUE"))</f>
        <v/>
      </c>
      <c r="Y211" s="303" t="n"/>
      <c r="Z211" s="303" t="n"/>
      <c r="AA211" s="303" t="n"/>
    </row>
    <row r="212">
      <c r="O212">
        <f>IF(COUNTA(A212:N212)+COUNTA(Q212:W212)+COUNTA(Y212:AA212)=0,"",IF(OR(LEN(TRIM(A212))=0,LEN(TRIM(B212))=0,LEN(TRIM(C212))=0,LEN(TRIM(D212))=0,LEN(TRIM(E212))=0,LEN(TRIM(F212))=0,LEN(TRIM(G212))=0,LEN(TRIM(H212))=0,LEN(TRIM(I212))=0,LEN(TRIM(J212))=0,LEN(TRIM(R212))=0,LEN(TRIM(S212))=0,LEN(TRIM(T212))=0,LEN(TRIM(V212))=0,LEN(TRIM(W212))=0,LEN(TRIM(Y212))=0,LEN(TRIM(Z212))=0,LEN(TRIM(AA212))=0),"Indeterminate",IF(X212&lt;&gt;"OK","Indeterminate",IF(OR(E212="Indeterminate",F212="Indeterminate",G212="Indeterminate",R212="Indeterminate",S212="Indeterminate",T212="Indeterminate",V212="Indeterminate",W212="Indeterminate",Y212="Indeterminate",Z212="Indeterminate",AA212="Indeterminate"),"Indeterminate",IF(OR(E212="Sponsor controlled - invalid",F212="Sponsor veto - invalid",G212="Sponsor/candidate controlled - invalid",H212&lt;&gt;"Yes",I212&lt;&gt;"Yes",J212&lt;&gt;"Yes",R212="Predetermined outcome - invalid",S212="No credible precommitment",T212="Material assistance undisclosed",V212="Missing",V212="Changed after unblinding",W212="Material shared-model generation undisclosed",Y212="No protected reporting channel",Z212="No anonymity/confidentiality protection",AA212="No anti-retaliation safeguard"),"Inadequate",IF(OR(E212="Joint with firewall",F212="Independent with security redaction only",G212="Joint with public rules",K212&lt;&gt;"",AND(L212&lt;&gt;"",LOWER(L212)&lt;&gt;"none"),R212="Declared interest with enforceable firewall",S212="Conditional precommitment with disclosed limits",T212="Material assistance disclosed and separated",W212="Material shared-model generation disclosed",Z212="Not applicable with recorded rationale"),"Adequate with declared controls","Adequate"))))))</f>
        <v/>
      </c>
      <c r="P212">
        <f>IF(AND(O212="",N212=""),"",IF(AND(O212&lt;&gt;"",N212=""),"UNRECORDED",IF(AND(O212="",N212&lt;&gt;""),"ORPHAN_RECORDED",IF(O212=N212,"MATCH","MISMATCH"))))</f>
        <v/>
      </c>
      <c r="X212" s="303">
        <f>IF(COUNTA(E212:J212)+COUNTA(R212:T212)+COUNTA(V212:W212)+COUNTA(Y212:AA212)=0,"",IF(AND(COUNTIF(Vocabulary!$S$5:$S$8,E212)=1,COUNTIF(Vocabulary!$T$5:$T$8,F212)=1,COUNTIF(Vocabulary!$U$5:$U$8,G212)=1,COUNTIF(Vocabulary!$J$5:$J$6,H212)=1,COUNTIF(Vocabulary!$J$5:$J$6,I212)=1,COUNTIF(Vocabulary!$J$5:$J$6,J212)=1,COUNTIF(Vocabulary!$W$5:$W$8,R212)=1,COUNTIF(Vocabulary!$X$5:$X$8,S212)=1,COUNTIF(Vocabulary!$Y$5:$Y$9,T212)=1,COUNTIF(Vocabulary!$Z$5:$Z$8,V212)=1,COUNTIF(Vocabulary!$AA$5:$AA$9,W212)=1,COUNTIF(Vocabulary!$AB$5:$AB$7,Y212)=1,COUNTIF(Vocabulary!$AC$5:$AC$8,Z212)=1,COUNTIF(Vocabulary!$AD$5:$AD$7,AA212)=1),"OK","UNRECOGNISED_CONTROL_VALUE"))</f>
        <v/>
      </c>
      <c r="Y212" s="303" t="n"/>
      <c r="Z212" s="303" t="n"/>
      <c r="AA212" s="303" t="n"/>
    </row>
    <row r="213">
      <c r="O213">
        <f>IF(COUNTA(A213:N213)+COUNTA(Q213:W213)+COUNTA(Y213:AA213)=0,"",IF(OR(LEN(TRIM(A213))=0,LEN(TRIM(B213))=0,LEN(TRIM(C213))=0,LEN(TRIM(D213))=0,LEN(TRIM(E213))=0,LEN(TRIM(F213))=0,LEN(TRIM(G213))=0,LEN(TRIM(H213))=0,LEN(TRIM(I213))=0,LEN(TRIM(J213))=0,LEN(TRIM(R213))=0,LEN(TRIM(S213))=0,LEN(TRIM(T213))=0,LEN(TRIM(V213))=0,LEN(TRIM(W213))=0,LEN(TRIM(Y213))=0,LEN(TRIM(Z213))=0,LEN(TRIM(AA213))=0),"Indeterminate",IF(X213&lt;&gt;"OK","Indeterminate",IF(OR(E213="Indeterminate",F213="Indeterminate",G213="Indeterminate",R213="Indeterminate",S213="Indeterminate",T213="Indeterminate",V213="Indeterminate",W213="Indeterminate",Y213="Indeterminate",Z213="Indeterminate",AA213="Indeterminate"),"Indeterminate",IF(OR(E213="Sponsor controlled - invalid",F213="Sponsor veto - invalid",G213="Sponsor/candidate controlled - invalid",H213&lt;&gt;"Yes",I213&lt;&gt;"Yes",J213&lt;&gt;"Yes",R213="Predetermined outcome - invalid",S213="No credible precommitment",T213="Material assistance undisclosed",V213="Missing",V213="Changed after unblinding",W213="Material shared-model generation undisclosed",Y213="No protected reporting channel",Z213="No anonymity/confidentiality protection",AA213="No anti-retaliation safeguard"),"Inadequate",IF(OR(E213="Joint with firewall",F213="Independent with security redaction only",G213="Joint with public rules",K213&lt;&gt;"",AND(L213&lt;&gt;"",LOWER(L213)&lt;&gt;"none"),R213="Declared interest with enforceable firewall",S213="Conditional precommitment with disclosed limits",T213="Material assistance disclosed and separated",W213="Material shared-model generation disclosed",Z213="Not applicable with recorded rationale"),"Adequate with declared controls","Adequate"))))))</f>
        <v/>
      </c>
      <c r="P213">
        <f>IF(AND(O213="",N213=""),"",IF(AND(O213&lt;&gt;"",N213=""),"UNRECORDED",IF(AND(O213="",N213&lt;&gt;""),"ORPHAN_RECORDED",IF(O213=N213,"MATCH","MISMATCH"))))</f>
        <v/>
      </c>
      <c r="X213" s="303">
        <f>IF(COUNTA(E213:J213)+COUNTA(R213:T213)+COUNTA(V213:W213)+COUNTA(Y213:AA213)=0,"",IF(AND(COUNTIF(Vocabulary!$S$5:$S$8,E213)=1,COUNTIF(Vocabulary!$T$5:$T$8,F213)=1,COUNTIF(Vocabulary!$U$5:$U$8,G213)=1,COUNTIF(Vocabulary!$J$5:$J$6,H213)=1,COUNTIF(Vocabulary!$J$5:$J$6,I213)=1,COUNTIF(Vocabulary!$J$5:$J$6,J213)=1,COUNTIF(Vocabulary!$W$5:$W$8,R213)=1,COUNTIF(Vocabulary!$X$5:$X$8,S213)=1,COUNTIF(Vocabulary!$Y$5:$Y$9,T213)=1,COUNTIF(Vocabulary!$Z$5:$Z$8,V213)=1,COUNTIF(Vocabulary!$AA$5:$AA$9,W213)=1,COUNTIF(Vocabulary!$AB$5:$AB$7,Y213)=1,COUNTIF(Vocabulary!$AC$5:$AC$8,Z213)=1,COUNTIF(Vocabulary!$AD$5:$AD$7,AA213)=1),"OK","UNRECOGNISED_CONTROL_VALUE"))</f>
        <v/>
      </c>
      <c r="Y213" s="303" t="n"/>
      <c r="Z213" s="303" t="n"/>
      <c r="AA213" s="303" t="n"/>
    </row>
    <row r="214">
      <c r="O214">
        <f>IF(COUNTA(A214:N214)+COUNTA(Q214:W214)+COUNTA(Y214:AA214)=0,"",IF(OR(LEN(TRIM(A214))=0,LEN(TRIM(B214))=0,LEN(TRIM(C214))=0,LEN(TRIM(D214))=0,LEN(TRIM(E214))=0,LEN(TRIM(F214))=0,LEN(TRIM(G214))=0,LEN(TRIM(H214))=0,LEN(TRIM(I214))=0,LEN(TRIM(J214))=0,LEN(TRIM(R214))=0,LEN(TRIM(S214))=0,LEN(TRIM(T214))=0,LEN(TRIM(V214))=0,LEN(TRIM(W214))=0,LEN(TRIM(Y214))=0,LEN(TRIM(Z214))=0,LEN(TRIM(AA214))=0),"Indeterminate",IF(X214&lt;&gt;"OK","Indeterminate",IF(OR(E214="Indeterminate",F214="Indeterminate",G214="Indeterminate",R214="Indeterminate",S214="Indeterminate",T214="Indeterminate",V214="Indeterminate",W214="Indeterminate",Y214="Indeterminate",Z214="Indeterminate",AA214="Indeterminate"),"Indeterminate",IF(OR(E214="Sponsor controlled - invalid",F214="Sponsor veto - invalid",G214="Sponsor/candidate controlled - invalid",H214&lt;&gt;"Yes",I214&lt;&gt;"Yes",J214&lt;&gt;"Yes",R214="Predetermined outcome - invalid",S214="No credible precommitment",T214="Material assistance undisclosed",V214="Missing",V214="Changed after unblinding",W214="Material shared-model generation undisclosed",Y214="No protected reporting channel",Z214="No anonymity/confidentiality protection",AA214="No anti-retaliation safeguard"),"Inadequate",IF(OR(E214="Joint with firewall",F214="Independent with security redaction only",G214="Joint with public rules",K214&lt;&gt;"",AND(L214&lt;&gt;"",LOWER(L214)&lt;&gt;"none"),R214="Declared interest with enforceable firewall",S214="Conditional precommitment with disclosed limits",T214="Material assistance disclosed and separated",W214="Material shared-model generation disclosed",Z214="Not applicable with recorded rationale"),"Adequate with declared controls","Adequate"))))))</f>
        <v/>
      </c>
      <c r="P214">
        <f>IF(AND(O214="",N214=""),"",IF(AND(O214&lt;&gt;"",N214=""),"UNRECORDED",IF(AND(O214="",N214&lt;&gt;""),"ORPHAN_RECORDED",IF(O214=N214,"MATCH","MISMATCH"))))</f>
        <v/>
      </c>
      <c r="X214" s="303">
        <f>IF(COUNTA(E214:J214)+COUNTA(R214:T214)+COUNTA(V214:W214)+COUNTA(Y214:AA214)=0,"",IF(AND(COUNTIF(Vocabulary!$S$5:$S$8,E214)=1,COUNTIF(Vocabulary!$T$5:$T$8,F214)=1,COUNTIF(Vocabulary!$U$5:$U$8,G214)=1,COUNTIF(Vocabulary!$J$5:$J$6,H214)=1,COUNTIF(Vocabulary!$J$5:$J$6,I214)=1,COUNTIF(Vocabulary!$J$5:$J$6,J214)=1,COUNTIF(Vocabulary!$W$5:$W$8,R214)=1,COUNTIF(Vocabulary!$X$5:$X$8,S214)=1,COUNTIF(Vocabulary!$Y$5:$Y$9,T214)=1,COUNTIF(Vocabulary!$Z$5:$Z$8,V214)=1,COUNTIF(Vocabulary!$AA$5:$AA$9,W214)=1,COUNTIF(Vocabulary!$AB$5:$AB$7,Y214)=1,COUNTIF(Vocabulary!$AC$5:$AC$8,Z214)=1,COUNTIF(Vocabulary!$AD$5:$AD$7,AA214)=1),"OK","UNRECOGNISED_CONTROL_VALUE"))</f>
        <v/>
      </c>
      <c r="Y214" s="303" t="n"/>
      <c r="Z214" s="303" t="n"/>
      <c r="AA214" s="303" t="n"/>
    </row>
    <row r="215">
      <c r="O215">
        <f>IF(COUNTA(A215:N215)+COUNTA(Q215:W215)+COUNTA(Y215:AA215)=0,"",IF(OR(LEN(TRIM(A215))=0,LEN(TRIM(B215))=0,LEN(TRIM(C215))=0,LEN(TRIM(D215))=0,LEN(TRIM(E215))=0,LEN(TRIM(F215))=0,LEN(TRIM(G215))=0,LEN(TRIM(H215))=0,LEN(TRIM(I215))=0,LEN(TRIM(J215))=0,LEN(TRIM(R215))=0,LEN(TRIM(S215))=0,LEN(TRIM(T215))=0,LEN(TRIM(V215))=0,LEN(TRIM(W215))=0,LEN(TRIM(Y215))=0,LEN(TRIM(Z215))=0,LEN(TRIM(AA215))=0),"Indeterminate",IF(X215&lt;&gt;"OK","Indeterminate",IF(OR(E215="Indeterminate",F215="Indeterminate",G215="Indeterminate",R215="Indeterminate",S215="Indeterminate",T215="Indeterminate",V215="Indeterminate",W215="Indeterminate",Y215="Indeterminate",Z215="Indeterminate",AA215="Indeterminate"),"Indeterminate",IF(OR(E215="Sponsor controlled - invalid",F215="Sponsor veto - invalid",G215="Sponsor/candidate controlled - invalid",H215&lt;&gt;"Yes",I215&lt;&gt;"Yes",J215&lt;&gt;"Yes",R215="Predetermined outcome - invalid",S215="No credible precommitment",T215="Material assistance undisclosed",V215="Missing",V215="Changed after unblinding",W215="Material shared-model generation undisclosed",Y215="No protected reporting channel",Z215="No anonymity/confidentiality protection",AA215="No anti-retaliation safeguard"),"Inadequate",IF(OR(E215="Joint with firewall",F215="Independent with security redaction only",G215="Joint with public rules",K215&lt;&gt;"",AND(L215&lt;&gt;"",LOWER(L215)&lt;&gt;"none"),R215="Declared interest with enforceable firewall",S215="Conditional precommitment with disclosed limits",T215="Material assistance disclosed and separated",W215="Material shared-model generation disclosed",Z215="Not applicable with recorded rationale"),"Adequate with declared controls","Adequate"))))))</f>
        <v/>
      </c>
      <c r="P215">
        <f>IF(AND(O215="",N215=""),"",IF(AND(O215&lt;&gt;"",N215=""),"UNRECORDED",IF(AND(O215="",N215&lt;&gt;""),"ORPHAN_RECORDED",IF(O215=N215,"MATCH","MISMATCH"))))</f>
        <v/>
      </c>
      <c r="X215" s="303">
        <f>IF(COUNTA(E215:J215)+COUNTA(R215:T215)+COUNTA(V215:W215)+COUNTA(Y215:AA215)=0,"",IF(AND(COUNTIF(Vocabulary!$S$5:$S$8,E215)=1,COUNTIF(Vocabulary!$T$5:$T$8,F215)=1,COUNTIF(Vocabulary!$U$5:$U$8,G215)=1,COUNTIF(Vocabulary!$J$5:$J$6,H215)=1,COUNTIF(Vocabulary!$J$5:$J$6,I215)=1,COUNTIF(Vocabulary!$J$5:$J$6,J215)=1,COUNTIF(Vocabulary!$W$5:$W$8,R215)=1,COUNTIF(Vocabulary!$X$5:$X$8,S215)=1,COUNTIF(Vocabulary!$Y$5:$Y$9,T215)=1,COUNTIF(Vocabulary!$Z$5:$Z$8,V215)=1,COUNTIF(Vocabulary!$AA$5:$AA$9,W215)=1,COUNTIF(Vocabulary!$AB$5:$AB$7,Y215)=1,COUNTIF(Vocabulary!$AC$5:$AC$8,Z215)=1,COUNTIF(Vocabulary!$AD$5:$AD$7,AA215)=1),"OK","UNRECOGNISED_CONTROL_VALUE"))</f>
        <v/>
      </c>
      <c r="Y215" s="303" t="n"/>
      <c r="Z215" s="303" t="n"/>
      <c r="AA215" s="303" t="n"/>
    </row>
    <row r="216">
      <c r="O216">
        <f>IF(COUNTA(A216:N216)+COUNTA(Q216:W216)+COUNTA(Y216:AA216)=0,"",IF(OR(LEN(TRIM(A216))=0,LEN(TRIM(B216))=0,LEN(TRIM(C216))=0,LEN(TRIM(D216))=0,LEN(TRIM(E216))=0,LEN(TRIM(F216))=0,LEN(TRIM(G216))=0,LEN(TRIM(H216))=0,LEN(TRIM(I216))=0,LEN(TRIM(J216))=0,LEN(TRIM(R216))=0,LEN(TRIM(S216))=0,LEN(TRIM(T216))=0,LEN(TRIM(V216))=0,LEN(TRIM(W216))=0,LEN(TRIM(Y216))=0,LEN(TRIM(Z216))=0,LEN(TRIM(AA216))=0),"Indeterminate",IF(X216&lt;&gt;"OK","Indeterminate",IF(OR(E216="Indeterminate",F216="Indeterminate",G216="Indeterminate",R216="Indeterminate",S216="Indeterminate",T216="Indeterminate",V216="Indeterminate",W216="Indeterminate",Y216="Indeterminate",Z216="Indeterminate",AA216="Indeterminate"),"Indeterminate",IF(OR(E216="Sponsor controlled - invalid",F216="Sponsor veto - invalid",G216="Sponsor/candidate controlled - invalid",H216&lt;&gt;"Yes",I216&lt;&gt;"Yes",J216&lt;&gt;"Yes",R216="Predetermined outcome - invalid",S216="No credible precommitment",T216="Material assistance undisclosed",V216="Missing",V216="Changed after unblinding",W216="Material shared-model generation undisclosed",Y216="No protected reporting channel",Z216="No anonymity/confidentiality protection",AA216="No anti-retaliation safeguard"),"Inadequate",IF(OR(E216="Joint with firewall",F216="Independent with security redaction only",G216="Joint with public rules",K216&lt;&gt;"",AND(L216&lt;&gt;"",LOWER(L216)&lt;&gt;"none"),R216="Declared interest with enforceable firewall",S216="Conditional precommitment with disclosed limits",T216="Material assistance disclosed and separated",W216="Material shared-model generation disclosed",Z216="Not applicable with recorded rationale"),"Adequate with declared controls","Adequate"))))))</f>
        <v/>
      </c>
      <c r="P216">
        <f>IF(AND(O216="",N216=""),"",IF(AND(O216&lt;&gt;"",N216=""),"UNRECORDED",IF(AND(O216="",N216&lt;&gt;""),"ORPHAN_RECORDED",IF(O216=N216,"MATCH","MISMATCH"))))</f>
        <v/>
      </c>
      <c r="X216" s="303">
        <f>IF(COUNTA(E216:J216)+COUNTA(R216:T216)+COUNTA(V216:W216)+COUNTA(Y216:AA216)=0,"",IF(AND(COUNTIF(Vocabulary!$S$5:$S$8,E216)=1,COUNTIF(Vocabulary!$T$5:$T$8,F216)=1,COUNTIF(Vocabulary!$U$5:$U$8,G216)=1,COUNTIF(Vocabulary!$J$5:$J$6,H216)=1,COUNTIF(Vocabulary!$J$5:$J$6,I216)=1,COUNTIF(Vocabulary!$J$5:$J$6,J216)=1,COUNTIF(Vocabulary!$W$5:$W$8,R216)=1,COUNTIF(Vocabulary!$X$5:$X$8,S216)=1,COUNTIF(Vocabulary!$Y$5:$Y$9,T216)=1,COUNTIF(Vocabulary!$Z$5:$Z$8,V216)=1,COUNTIF(Vocabulary!$AA$5:$AA$9,W216)=1,COUNTIF(Vocabulary!$AB$5:$AB$7,Y216)=1,COUNTIF(Vocabulary!$AC$5:$AC$8,Z216)=1,COUNTIF(Vocabulary!$AD$5:$AD$7,AA216)=1),"OK","UNRECOGNISED_CONTROL_VALUE"))</f>
        <v/>
      </c>
      <c r="Y216" s="303" t="n"/>
      <c r="Z216" s="303" t="n"/>
      <c r="AA216" s="303" t="n"/>
    </row>
    <row r="217">
      <c r="O217">
        <f>IF(COUNTA(A217:N217)+COUNTA(Q217:W217)+COUNTA(Y217:AA217)=0,"",IF(OR(LEN(TRIM(A217))=0,LEN(TRIM(B217))=0,LEN(TRIM(C217))=0,LEN(TRIM(D217))=0,LEN(TRIM(E217))=0,LEN(TRIM(F217))=0,LEN(TRIM(G217))=0,LEN(TRIM(H217))=0,LEN(TRIM(I217))=0,LEN(TRIM(J217))=0,LEN(TRIM(R217))=0,LEN(TRIM(S217))=0,LEN(TRIM(T217))=0,LEN(TRIM(V217))=0,LEN(TRIM(W217))=0,LEN(TRIM(Y217))=0,LEN(TRIM(Z217))=0,LEN(TRIM(AA217))=0),"Indeterminate",IF(X217&lt;&gt;"OK","Indeterminate",IF(OR(E217="Indeterminate",F217="Indeterminate",G217="Indeterminate",R217="Indeterminate",S217="Indeterminate",T217="Indeterminate",V217="Indeterminate",W217="Indeterminate",Y217="Indeterminate",Z217="Indeterminate",AA217="Indeterminate"),"Indeterminate",IF(OR(E217="Sponsor controlled - invalid",F217="Sponsor veto - invalid",G217="Sponsor/candidate controlled - invalid",H217&lt;&gt;"Yes",I217&lt;&gt;"Yes",J217&lt;&gt;"Yes",R217="Predetermined outcome - invalid",S217="No credible precommitment",T217="Material assistance undisclosed",V217="Missing",V217="Changed after unblinding",W217="Material shared-model generation undisclosed",Y217="No protected reporting channel",Z217="No anonymity/confidentiality protection",AA217="No anti-retaliation safeguard"),"Inadequate",IF(OR(E217="Joint with firewall",F217="Independent with security redaction only",G217="Joint with public rules",K217&lt;&gt;"",AND(L217&lt;&gt;"",LOWER(L217)&lt;&gt;"none"),R217="Declared interest with enforceable firewall",S217="Conditional precommitment with disclosed limits",T217="Material assistance disclosed and separated",W217="Material shared-model generation disclosed",Z217="Not applicable with recorded rationale"),"Adequate with declared controls","Adequate"))))))</f>
        <v/>
      </c>
      <c r="P217">
        <f>IF(AND(O217="",N217=""),"",IF(AND(O217&lt;&gt;"",N217=""),"UNRECORDED",IF(AND(O217="",N217&lt;&gt;""),"ORPHAN_RECORDED",IF(O217=N217,"MATCH","MISMATCH"))))</f>
        <v/>
      </c>
      <c r="X217" s="303">
        <f>IF(COUNTA(E217:J217)+COUNTA(R217:T217)+COUNTA(V217:W217)+COUNTA(Y217:AA217)=0,"",IF(AND(COUNTIF(Vocabulary!$S$5:$S$8,E217)=1,COUNTIF(Vocabulary!$T$5:$T$8,F217)=1,COUNTIF(Vocabulary!$U$5:$U$8,G217)=1,COUNTIF(Vocabulary!$J$5:$J$6,H217)=1,COUNTIF(Vocabulary!$J$5:$J$6,I217)=1,COUNTIF(Vocabulary!$J$5:$J$6,J217)=1,COUNTIF(Vocabulary!$W$5:$W$8,R217)=1,COUNTIF(Vocabulary!$X$5:$X$8,S217)=1,COUNTIF(Vocabulary!$Y$5:$Y$9,T217)=1,COUNTIF(Vocabulary!$Z$5:$Z$8,V217)=1,COUNTIF(Vocabulary!$AA$5:$AA$9,W217)=1,COUNTIF(Vocabulary!$AB$5:$AB$7,Y217)=1,COUNTIF(Vocabulary!$AC$5:$AC$8,Z217)=1,COUNTIF(Vocabulary!$AD$5:$AD$7,AA217)=1),"OK","UNRECOGNISED_CONTROL_VALUE"))</f>
        <v/>
      </c>
      <c r="Y217" s="303" t="n"/>
      <c r="Z217" s="303" t="n"/>
      <c r="AA217" s="303" t="n"/>
    </row>
    <row r="218">
      <c r="O218">
        <f>IF(COUNTA(A218:N218)+COUNTA(Q218:W218)+COUNTA(Y218:AA218)=0,"",IF(OR(LEN(TRIM(A218))=0,LEN(TRIM(B218))=0,LEN(TRIM(C218))=0,LEN(TRIM(D218))=0,LEN(TRIM(E218))=0,LEN(TRIM(F218))=0,LEN(TRIM(G218))=0,LEN(TRIM(H218))=0,LEN(TRIM(I218))=0,LEN(TRIM(J218))=0,LEN(TRIM(R218))=0,LEN(TRIM(S218))=0,LEN(TRIM(T218))=0,LEN(TRIM(V218))=0,LEN(TRIM(W218))=0,LEN(TRIM(Y218))=0,LEN(TRIM(Z218))=0,LEN(TRIM(AA218))=0),"Indeterminate",IF(X218&lt;&gt;"OK","Indeterminate",IF(OR(E218="Indeterminate",F218="Indeterminate",G218="Indeterminate",R218="Indeterminate",S218="Indeterminate",T218="Indeterminate",V218="Indeterminate",W218="Indeterminate",Y218="Indeterminate",Z218="Indeterminate",AA218="Indeterminate"),"Indeterminate",IF(OR(E218="Sponsor controlled - invalid",F218="Sponsor veto - invalid",G218="Sponsor/candidate controlled - invalid",H218&lt;&gt;"Yes",I218&lt;&gt;"Yes",J218&lt;&gt;"Yes",R218="Predetermined outcome - invalid",S218="No credible precommitment",T218="Material assistance undisclosed",V218="Missing",V218="Changed after unblinding",W218="Material shared-model generation undisclosed",Y218="No protected reporting channel",Z218="No anonymity/confidentiality protection",AA218="No anti-retaliation safeguard"),"Inadequate",IF(OR(E218="Joint with firewall",F218="Independent with security redaction only",G218="Joint with public rules",K218&lt;&gt;"",AND(L218&lt;&gt;"",LOWER(L218)&lt;&gt;"none"),R218="Declared interest with enforceable firewall",S218="Conditional precommitment with disclosed limits",T218="Material assistance disclosed and separated",W218="Material shared-model generation disclosed",Z218="Not applicable with recorded rationale"),"Adequate with declared controls","Adequate"))))))</f>
        <v/>
      </c>
      <c r="P218">
        <f>IF(AND(O218="",N218=""),"",IF(AND(O218&lt;&gt;"",N218=""),"UNRECORDED",IF(AND(O218="",N218&lt;&gt;""),"ORPHAN_RECORDED",IF(O218=N218,"MATCH","MISMATCH"))))</f>
        <v/>
      </c>
      <c r="X218" s="303">
        <f>IF(COUNTA(E218:J218)+COUNTA(R218:T218)+COUNTA(V218:W218)+COUNTA(Y218:AA218)=0,"",IF(AND(COUNTIF(Vocabulary!$S$5:$S$8,E218)=1,COUNTIF(Vocabulary!$T$5:$T$8,F218)=1,COUNTIF(Vocabulary!$U$5:$U$8,G218)=1,COUNTIF(Vocabulary!$J$5:$J$6,H218)=1,COUNTIF(Vocabulary!$J$5:$J$6,I218)=1,COUNTIF(Vocabulary!$J$5:$J$6,J218)=1,COUNTIF(Vocabulary!$W$5:$W$8,R218)=1,COUNTIF(Vocabulary!$X$5:$X$8,S218)=1,COUNTIF(Vocabulary!$Y$5:$Y$9,T218)=1,COUNTIF(Vocabulary!$Z$5:$Z$8,V218)=1,COUNTIF(Vocabulary!$AA$5:$AA$9,W218)=1,COUNTIF(Vocabulary!$AB$5:$AB$7,Y218)=1,COUNTIF(Vocabulary!$AC$5:$AC$8,Z218)=1,COUNTIF(Vocabulary!$AD$5:$AD$7,AA218)=1),"OK","UNRECOGNISED_CONTROL_VALUE"))</f>
        <v/>
      </c>
      <c r="Y218" s="303" t="n"/>
      <c r="Z218" s="303" t="n"/>
      <c r="AA218" s="303" t="n"/>
    </row>
    <row r="219">
      <c r="O219">
        <f>IF(COUNTA(A219:N219)+COUNTA(Q219:W219)+COUNTA(Y219:AA219)=0,"",IF(OR(LEN(TRIM(A219))=0,LEN(TRIM(B219))=0,LEN(TRIM(C219))=0,LEN(TRIM(D219))=0,LEN(TRIM(E219))=0,LEN(TRIM(F219))=0,LEN(TRIM(G219))=0,LEN(TRIM(H219))=0,LEN(TRIM(I219))=0,LEN(TRIM(J219))=0,LEN(TRIM(R219))=0,LEN(TRIM(S219))=0,LEN(TRIM(T219))=0,LEN(TRIM(V219))=0,LEN(TRIM(W219))=0,LEN(TRIM(Y219))=0,LEN(TRIM(Z219))=0,LEN(TRIM(AA219))=0),"Indeterminate",IF(X219&lt;&gt;"OK","Indeterminate",IF(OR(E219="Indeterminate",F219="Indeterminate",G219="Indeterminate",R219="Indeterminate",S219="Indeterminate",T219="Indeterminate",V219="Indeterminate",W219="Indeterminate",Y219="Indeterminate",Z219="Indeterminate",AA219="Indeterminate"),"Indeterminate",IF(OR(E219="Sponsor controlled - invalid",F219="Sponsor veto - invalid",G219="Sponsor/candidate controlled - invalid",H219&lt;&gt;"Yes",I219&lt;&gt;"Yes",J219&lt;&gt;"Yes",R219="Predetermined outcome - invalid",S219="No credible precommitment",T219="Material assistance undisclosed",V219="Missing",V219="Changed after unblinding",W219="Material shared-model generation undisclosed",Y219="No protected reporting channel",Z219="No anonymity/confidentiality protection",AA219="No anti-retaliation safeguard"),"Inadequate",IF(OR(E219="Joint with firewall",F219="Independent with security redaction only",G219="Joint with public rules",K219&lt;&gt;"",AND(L219&lt;&gt;"",LOWER(L219)&lt;&gt;"none"),R219="Declared interest with enforceable firewall",S219="Conditional precommitment with disclosed limits",T219="Material assistance disclosed and separated",W219="Material shared-model generation disclosed",Z219="Not applicable with recorded rationale"),"Adequate with declared controls","Adequate"))))))</f>
        <v/>
      </c>
      <c r="P219">
        <f>IF(AND(O219="",N219=""),"",IF(AND(O219&lt;&gt;"",N219=""),"UNRECORDED",IF(AND(O219="",N219&lt;&gt;""),"ORPHAN_RECORDED",IF(O219=N219,"MATCH","MISMATCH"))))</f>
        <v/>
      </c>
      <c r="X219" s="303">
        <f>IF(COUNTA(E219:J219)+COUNTA(R219:T219)+COUNTA(V219:W219)+COUNTA(Y219:AA219)=0,"",IF(AND(COUNTIF(Vocabulary!$S$5:$S$8,E219)=1,COUNTIF(Vocabulary!$T$5:$T$8,F219)=1,COUNTIF(Vocabulary!$U$5:$U$8,G219)=1,COUNTIF(Vocabulary!$J$5:$J$6,H219)=1,COUNTIF(Vocabulary!$J$5:$J$6,I219)=1,COUNTIF(Vocabulary!$J$5:$J$6,J219)=1,COUNTIF(Vocabulary!$W$5:$W$8,R219)=1,COUNTIF(Vocabulary!$X$5:$X$8,S219)=1,COUNTIF(Vocabulary!$Y$5:$Y$9,T219)=1,COUNTIF(Vocabulary!$Z$5:$Z$8,V219)=1,COUNTIF(Vocabulary!$AA$5:$AA$9,W219)=1,COUNTIF(Vocabulary!$AB$5:$AB$7,Y219)=1,COUNTIF(Vocabulary!$AC$5:$AC$8,Z219)=1,COUNTIF(Vocabulary!$AD$5:$AD$7,AA219)=1),"OK","UNRECOGNISED_CONTROL_VALUE"))</f>
        <v/>
      </c>
      <c r="Y219" s="303" t="n"/>
      <c r="Z219" s="303" t="n"/>
      <c r="AA219" s="303" t="n"/>
    </row>
    <row r="220">
      <c r="O220">
        <f>IF(COUNTA(A220:N220)+COUNTA(Q220:W220)+COUNTA(Y220:AA220)=0,"",IF(OR(LEN(TRIM(A220))=0,LEN(TRIM(B220))=0,LEN(TRIM(C220))=0,LEN(TRIM(D220))=0,LEN(TRIM(E220))=0,LEN(TRIM(F220))=0,LEN(TRIM(G220))=0,LEN(TRIM(H220))=0,LEN(TRIM(I220))=0,LEN(TRIM(J220))=0,LEN(TRIM(R220))=0,LEN(TRIM(S220))=0,LEN(TRIM(T220))=0,LEN(TRIM(V220))=0,LEN(TRIM(W220))=0,LEN(TRIM(Y220))=0,LEN(TRIM(Z220))=0,LEN(TRIM(AA220))=0),"Indeterminate",IF(X220&lt;&gt;"OK","Indeterminate",IF(OR(E220="Indeterminate",F220="Indeterminate",G220="Indeterminate",R220="Indeterminate",S220="Indeterminate",T220="Indeterminate",V220="Indeterminate",W220="Indeterminate",Y220="Indeterminate",Z220="Indeterminate",AA220="Indeterminate"),"Indeterminate",IF(OR(E220="Sponsor controlled - invalid",F220="Sponsor veto - invalid",G220="Sponsor/candidate controlled - invalid",H220&lt;&gt;"Yes",I220&lt;&gt;"Yes",J220&lt;&gt;"Yes",R220="Predetermined outcome - invalid",S220="No credible precommitment",T220="Material assistance undisclosed",V220="Missing",V220="Changed after unblinding",W220="Material shared-model generation undisclosed",Y220="No protected reporting channel",Z220="No anonymity/confidentiality protection",AA220="No anti-retaliation safeguard"),"Inadequate",IF(OR(E220="Joint with firewall",F220="Independent with security redaction only",G220="Joint with public rules",K220&lt;&gt;"",AND(L220&lt;&gt;"",LOWER(L220)&lt;&gt;"none"),R220="Declared interest with enforceable firewall",S220="Conditional precommitment with disclosed limits",T220="Material assistance disclosed and separated",W220="Material shared-model generation disclosed",Z220="Not applicable with recorded rationale"),"Adequate with declared controls","Adequate"))))))</f>
        <v/>
      </c>
      <c r="P220">
        <f>IF(AND(O220="",N220=""),"",IF(AND(O220&lt;&gt;"",N220=""),"UNRECORDED",IF(AND(O220="",N220&lt;&gt;""),"ORPHAN_RECORDED",IF(O220=N220,"MATCH","MISMATCH"))))</f>
        <v/>
      </c>
      <c r="X220" s="303">
        <f>IF(COUNTA(E220:J220)+COUNTA(R220:T220)+COUNTA(V220:W220)+COUNTA(Y220:AA220)=0,"",IF(AND(COUNTIF(Vocabulary!$S$5:$S$8,E220)=1,COUNTIF(Vocabulary!$T$5:$T$8,F220)=1,COUNTIF(Vocabulary!$U$5:$U$8,G220)=1,COUNTIF(Vocabulary!$J$5:$J$6,H220)=1,COUNTIF(Vocabulary!$J$5:$J$6,I220)=1,COUNTIF(Vocabulary!$J$5:$J$6,J220)=1,COUNTIF(Vocabulary!$W$5:$W$8,R220)=1,COUNTIF(Vocabulary!$X$5:$X$8,S220)=1,COUNTIF(Vocabulary!$Y$5:$Y$9,T220)=1,COUNTIF(Vocabulary!$Z$5:$Z$8,V220)=1,COUNTIF(Vocabulary!$AA$5:$AA$9,W220)=1,COUNTIF(Vocabulary!$AB$5:$AB$7,Y220)=1,COUNTIF(Vocabulary!$AC$5:$AC$8,Z220)=1,COUNTIF(Vocabulary!$AD$5:$AD$7,AA220)=1),"OK","UNRECOGNISED_CONTROL_VALUE"))</f>
        <v/>
      </c>
      <c r="Y220" s="303" t="n"/>
      <c r="Z220" s="303" t="n"/>
      <c r="AA220" s="303" t="n"/>
    </row>
    <row r="221">
      <c r="O221">
        <f>IF(COUNTA(A221:N221)+COUNTA(Q221:W221)+COUNTA(Y221:AA221)=0,"",IF(OR(LEN(TRIM(A221))=0,LEN(TRIM(B221))=0,LEN(TRIM(C221))=0,LEN(TRIM(D221))=0,LEN(TRIM(E221))=0,LEN(TRIM(F221))=0,LEN(TRIM(G221))=0,LEN(TRIM(H221))=0,LEN(TRIM(I221))=0,LEN(TRIM(J221))=0,LEN(TRIM(R221))=0,LEN(TRIM(S221))=0,LEN(TRIM(T221))=0,LEN(TRIM(V221))=0,LEN(TRIM(W221))=0,LEN(TRIM(Y221))=0,LEN(TRIM(Z221))=0,LEN(TRIM(AA221))=0),"Indeterminate",IF(X221&lt;&gt;"OK","Indeterminate",IF(OR(E221="Indeterminate",F221="Indeterminate",G221="Indeterminate",R221="Indeterminate",S221="Indeterminate",T221="Indeterminate",V221="Indeterminate",W221="Indeterminate",Y221="Indeterminate",Z221="Indeterminate",AA221="Indeterminate"),"Indeterminate",IF(OR(E221="Sponsor controlled - invalid",F221="Sponsor veto - invalid",G221="Sponsor/candidate controlled - invalid",H221&lt;&gt;"Yes",I221&lt;&gt;"Yes",J221&lt;&gt;"Yes",R221="Predetermined outcome - invalid",S221="No credible precommitment",T221="Material assistance undisclosed",V221="Missing",V221="Changed after unblinding",W221="Material shared-model generation undisclosed",Y221="No protected reporting channel",Z221="No anonymity/confidentiality protection",AA221="No anti-retaliation safeguard"),"Inadequate",IF(OR(E221="Joint with firewall",F221="Independent with security redaction only",G221="Joint with public rules",K221&lt;&gt;"",AND(L221&lt;&gt;"",LOWER(L221)&lt;&gt;"none"),R221="Declared interest with enforceable firewall",S221="Conditional precommitment with disclosed limits",T221="Material assistance disclosed and separated",W221="Material shared-model generation disclosed",Z221="Not applicable with recorded rationale"),"Adequate with declared controls","Adequate"))))))</f>
        <v/>
      </c>
      <c r="P221">
        <f>IF(AND(O221="",N221=""),"",IF(AND(O221&lt;&gt;"",N221=""),"UNRECORDED",IF(AND(O221="",N221&lt;&gt;""),"ORPHAN_RECORDED",IF(O221=N221,"MATCH","MISMATCH"))))</f>
        <v/>
      </c>
      <c r="X221" s="303">
        <f>IF(COUNTA(E221:J221)+COUNTA(R221:T221)+COUNTA(V221:W221)+COUNTA(Y221:AA221)=0,"",IF(AND(COUNTIF(Vocabulary!$S$5:$S$8,E221)=1,COUNTIF(Vocabulary!$T$5:$T$8,F221)=1,COUNTIF(Vocabulary!$U$5:$U$8,G221)=1,COUNTIF(Vocabulary!$J$5:$J$6,H221)=1,COUNTIF(Vocabulary!$J$5:$J$6,I221)=1,COUNTIF(Vocabulary!$J$5:$J$6,J221)=1,COUNTIF(Vocabulary!$W$5:$W$8,R221)=1,COUNTIF(Vocabulary!$X$5:$X$8,S221)=1,COUNTIF(Vocabulary!$Y$5:$Y$9,T221)=1,COUNTIF(Vocabulary!$Z$5:$Z$8,V221)=1,COUNTIF(Vocabulary!$AA$5:$AA$9,W221)=1,COUNTIF(Vocabulary!$AB$5:$AB$7,Y221)=1,COUNTIF(Vocabulary!$AC$5:$AC$8,Z221)=1,COUNTIF(Vocabulary!$AD$5:$AD$7,AA221)=1),"OK","UNRECOGNISED_CONTROL_VALUE"))</f>
        <v/>
      </c>
      <c r="Y221" s="303" t="n"/>
      <c r="Z221" s="303" t="n"/>
      <c r="AA221" s="303" t="n"/>
    </row>
    <row r="222">
      <c r="O222">
        <f>IF(COUNTA(A222:N222)+COUNTA(Q222:W222)+COUNTA(Y222:AA222)=0,"",IF(OR(LEN(TRIM(A222))=0,LEN(TRIM(B222))=0,LEN(TRIM(C222))=0,LEN(TRIM(D222))=0,LEN(TRIM(E222))=0,LEN(TRIM(F222))=0,LEN(TRIM(G222))=0,LEN(TRIM(H222))=0,LEN(TRIM(I222))=0,LEN(TRIM(J222))=0,LEN(TRIM(R222))=0,LEN(TRIM(S222))=0,LEN(TRIM(T222))=0,LEN(TRIM(V222))=0,LEN(TRIM(W222))=0,LEN(TRIM(Y222))=0,LEN(TRIM(Z222))=0,LEN(TRIM(AA222))=0),"Indeterminate",IF(X222&lt;&gt;"OK","Indeterminate",IF(OR(E222="Indeterminate",F222="Indeterminate",G222="Indeterminate",R222="Indeterminate",S222="Indeterminate",T222="Indeterminate",V222="Indeterminate",W222="Indeterminate",Y222="Indeterminate",Z222="Indeterminate",AA222="Indeterminate"),"Indeterminate",IF(OR(E222="Sponsor controlled - invalid",F222="Sponsor veto - invalid",G222="Sponsor/candidate controlled - invalid",H222&lt;&gt;"Yes",I222&lt;&gt;"Yes",J222&lt;&gt;"Yes",R222="Predetermined outcome - invalid",S222="No credible precommitment",T222="Material assistance undisclosed",V222="Missing",V222="Changed after unblinding",W222="Material shared-model generation undisclosed",Y222="No protected reporting channel",Z222="No anonymity/confidentiality protection",AA222="No anti-retaliation safeguard"),"Inadequate",IF(OR(E222="Joint with firewall",F222="Independent with security redaction only",G222="Joint with public rules",K222&lt;&gt;"",AND(L222&lt;&gt;"",LOWER(L222)&lt;&gt;"none"),R222="Declared interest with enforceable firewall",S222="Conditional precommitment with disclosed limits",T222="Material assistance disclosed and separated",W222="Material shared-model generation disclosed",Z222="Not applicable with recorded rationale"),"Adequate with declared controls","Adequate"))))))</f>
        <v/>
      </c>
      <c r="P222">
        <f>IF(AND(O222="",N222=""),"",IF(AND(O222&lt;&gt;"",N222=""),"UNRECORDED",IF(AND(O222="",N222&lt;&gt;""),"ORPHAN_RECORDED",IF(O222=N222,"MATCH","MISMATCH"))))</f>
        <v/>
      </c>
      <c r="X222" s="303">
        <f>IF(COUNTA(E222:J222)+COUNTA(R222:T222)+COUNTA(V222:W222)+COUNTA(Y222:AA222)=0,"",IF(AND(COUNTIF(Vocabulary!$S$5:$S$8,E222)=1,COUNTIF(Vocabulary!$T$5:$T$8,F222)=1,COUNTIF(Vocabulary!$U$5:$U$8,G222)=1,COUNTIF(Vocabulary!$J$5:$J$6,H222)=1,COUNTIF(Vocabulary!$J$5:$J$6,I222)=1,COUNTIF(Vocabulary!$J$5:$J$6,J222)=1,COUNTIF(Vocabulary!$W$5:$W$8,R222)=1,COUNTIF(Vocabulary!$X$5:$X$8,S222)=1,COUNTIF(Vocabulary!$Y$5:$Y$9,T222)=1,COUNTIF(Vocabulary!$Z$5:$Z$8,V222)=1,COUNTIF(Vocabulary!$AA$5:$AA$9,W222)=1,COUNTIF(Vocabulary!$AB$5:$AB$7,Y222)=1,COUNTIF(Vocabulary!$AC$5:$AC$8,Z222)=1,COUNTIF(Vocabulary!$AD$5:$AD$7,AA222)=1),"OK","UNRECOGNISED_CONTROL_VALUE"))</f>
        <v/>
      </c>
      <c r="Y222" s="303" t="n"/>
      <c r="Z222" s="303" t="n"/>
      <c r="AA222" s="303" t="n"/>
    </row>
    <row r="223">
      <c r="O223">
        <f>IF(COUNTA(A223:N223)+COUNTA(Q223:W223)+COUNTA(Y223:AA223)=0,"",IF(OR(LEN(TRIM(A223))=0,LEN(TRIM(B223))=0,LEN(TRIM(C223))=0,LEN(TRIM(D223))=0,LEN(TRIM(E223))=0,LEN(TRIM(F223))=0,LEN(TRIM(G223))=0,LEN(TRIM(H223))=0,LEN(TRIM(I223))=0,LEN(TRIM(J223))=0,LEN(TRIM(R223))=0,LEN(TRIM(S223))=0,LEN(TRIM(T223))=0,LEN(TRIM(V223))=0,LEN(TRIM(W223))=0,LEN(TRIM(Y223))=0,LEN(TRIM(Z223))=0,LEN(TRIM(AA223))=0),"Indeterminate",IF(X223&lt;&gt;"OK","Indeterminate",IF(OR(E223="Indeterminate",F223="Indeterminate",G223="Indeterminate",R223="Indeterminate",S223="Indeterminate",T223="Indeterminate",V223="Indeterminate",W223="Indeterminate",Y223="Indeterminate",Z223="Indeterminate",AA223="Indeterminate"),"Indeterminate",IF(OR(E223="Sponsor controlled - invalid",F223="Sponsor veto - invalid",G223="Sponsor/candidate controlled - invalid",H223&lt;&gt;"Yes",I223&lt;&gt;"Yes",J223&lt;&gt;"Yes",R223="Predetermined outcome - invalid",S223="No credible precommitment",T223="Material assistance undisclosed",V223="Missing",V223="Changed after unblinding",W223="Material shared-model generation undisclosed",Y223="No protected reporting channel",Z223="No anonymity/confidentiality protection",AA223="No anti-retaliation safeguard"),"Inadequate",IF(OR(E223="Joint with firewall",F223="Independent with security redaction only",G223="Joint with public rules",K223&lt;&gt;"",AND(L223&lt;&gt;"",LOWER(L223)&lt;&gt;"none"),R223="Declared interest with enforceable firewall",S223="Conditional precommitment with disclosed limits",T223="Material assistance disclosed and separated",W223="Material shared-model generation disclosed",Z223="Not applicable with recorded rationale"),"Adequate with declared controls","Adequate"))))))</f>
        <v/>
      </c>
      <c r="P223">
        <f>IF(AND(O223="",N223=""),"",IF(AND(O223&lt;&gt;"",N223=""),"UNRECORDED",IF(AND(O223="",N223&lt;&gt;""),"ORPHAN_RECORDED",IF(O223=N223,"MATCH","MISMATCH"))))</f>
        <v/>
      </c>
      <c r="X223" s="303">
        <f>IF(COUNTA(E223:J223)+COUNTA(R223:T223)+COUNTA(V223:W223)+COUNTA(Y223:AA223)=0,"",IF(AND(COUNTIF(Vocabulary!$S$5:$S$8,E223)=1,COUNTIF(Vocabulary!$T$5:$T$8,F223)=1,COUNTIF(Vocabulary!$U$5:$U$8,G223)=1,COUNTIF(Vocabulary!$J$5:$J$6,H223)=1,COUNTIF(Vocabulary!$J$5:$J$6,I223)=1,COUNTIF(Vocabulary!$J$5:$J$6,J223)=1,COUNTIF(Vocabulary!$W$5:$W$8,R223)=1,COUNTIF(Vocabulary!$X$5:$X$8,S223)=1,COUNTIF(Vocabulary!$Y$5:$Y$9,T223)=1,COUNTIF(Vocabulary!$Z$5:$Z$8,V223)=1,COUNTIF(Vocabulary!$AA$5:$AA$9,W223)=1,COUNTIF(Vocabulary!$AB$5:$AB$7,Y223)=1,COUNTIF(Vocabulary!$AC$5:$AC$8,Z223)=1,COUNTIF(Vocabulary!$AD$5:$AD$7,AA223)=1),"OK","UNRECOGNISED_CONTROL_VALUE"))</f>
        <v/>
      </c>
      <c r="Y223" s="303" t="n"/>
      <c r="Z223" s="303" t="n"/>
      <c r="AA223" s="303" t="n"/>
    </row>
    <row r="224">
      <c r="O224">
        <f>IF(COUNTA(A224:N224)+COUNTA(Q224:W224)+COUNTA(Y224:AA224)=0,"",IF(OR(LEN(TRIM(A224))=0,LEN(TRIM(B224))=0,LEN(TRIM(C224))=0,LEN(TRIM(D224))=0,LEN(TRIM(E224))=0,LEN(TRIM(F224))=0,LEN(TRIM(G224))=0,LEN(TRIM(H224))=0,LEN(TRIM(I224))=0,LEN(TRIM(J224))=0,LEN(TRIM(R224))=0,LEN(TRIM(S224))=0,LEN(TRIM(T224))=0,LEN(TRIM(V224))=0,LEN(TRIM(W224))=0,LEN(TRIM(Y224))=0,LEN(TRIM(Z224))=0,LEN(TRIM(AA224))=0),"Indeterminate",IF(X224&lt;&gt;"OK","Indeterminate",IF(OR(E224="Indeterminate",F224="Indeterminate",G224="Indeterminate",R224="Indeterminate",S224="Indeterminate",T224="Indeterminate",V224="Indeterminate",W224="Indeterminate",Y224="Indeterminate",Z224="Indeterminate",AA224="Indeterminate"),"Indeterminate",IF(OR(E224="Sponsor controlled - invalid",F224="Sponsor veto - invalid",G224="Sponsor/candidate controlled - invalid",H224&lt;&gt;"Yes",I224&lt;&gt;"Yes",J224&lt;&gt;"Yes",R224="Predetermined outcome - invalid",S224="No credible precommitment",T224="Material assistance undisclosed",V224="Missing",V224="Changed after unblinding",W224="Material shared-model generation undisclosed",Y224="No protected reporting channel",Z224="No anonymity/confidentiality protection",AA224="No anti-retaliation safeguard"),"Inadequate",IF(OR(E224="Joint with firewall",F224="Independent with security redaction only",G224="Joint with public rules",K224&lt;&gt;"",AND(L224&lt;&gt;"",LOWER(L224)&lt;&gt;"none"),R224="Declared interest with enforceable firewall",S224="Conditional precommitment with disclosed limits",T224="Material assistance disclosed and separated",W224="Material shared-model generation disclosed",Z224="Not applicable with recorded rationale"),"Adequate with declared controls","Adequate"))))))</f>
        <v/>
      </c>
      <c r="P224">
        <f>IF(AND(O224="",N224=""),"",IF(AND(O224&lt;&gt;"",N224=""),"UNRECORDED",IF(AND(O224="",N224&lt;&gt;""),"ORPHAN_RECORDED",IF(O224=N224,"MATCH","MISMATCH"))))</f>
        <v/>
      </c>
      <c r="X224" s="303">
        <f>IF(COUNTA(E224:J224)+COUNTA(R224:T224)+COUNTA(V224:W224)+COUNTA(Y224:AA224)=0,"",IF(AND(COUNTIF(Vocabulary!$S$5:$S$8,E224)=1,COUNTIF(Vocabulary!$T$5:$T$8,F224)=1,COUNTIF(Vocabulary!$U$5:$U$8,G224)=1,COUNTIF(Vocabulary!$J$5:$J$6,H224)=1,COUNTIF(Vocabulary!$J$5:$J$6,I224)=1,COUNTIF(Vocabulary!$J$5:$J$6,J224)=1,COUNTIF(Vocabulary!$W$5:$W$8,R224)=1,COUNTIF(Vocabulary!$X$5:$X$8,S224)=1,COUNTIF(Vocabulary!$Y$5:$Y$9,T224)=1,COUNTIF(Vocabulary!$Z$5:$Z$8,V224)=1,COUNTIF(Vocabulary!$AA$5:$AA$9,W224)=1,COUNTIF(Vocabulary!$AB$5:$AB$7,Y224)=1,COUNTIF(Vocabulary!$AC$5:$AC$8,Z224)=1,COUNTIF(Vocabulary!$AD$5:$AD$7,AA224)=1),"OK","UNRECOGNISED_CONTROL_VALUE"))</f>
        <v/>
      </c>
      <c r="Y224" s="303" t="n"/>
      <c r="Z224" s="303" t="n"/>
      <c r="AA224" s="303" t="n"/>
    </row>
    <row r="225">
      <c r="O225">
        <f>IF(COUNTA(A225:N225)+COUNTA(Q225:W225)+COUNTA(Y225:AA225)=0,"",IF(OR(LEN(TRIM(A225))=0,LEN(TRIM(B225))=0,LEN(TRIM(C225))=0,LEN(TRIM(D225))=0,LEN(TRIM(E225))=0,LEN(TRIM(F225))=0,LEN(TRIM(G225))=0,LEN(TRIM(H225))=0,LEN(TRIM(I225))=0,LEN(TRIM(J225))=0,LEN(TRIM(R225))=0,LEN(TRIM(S225))=0,LEN(TRIM(T225))=0,LEN(TRIM(V225))=0,LEN(TRIM(W225))=0,LEN(TRIM(Y225))=0,LEN(TRIM(Z225))=0,LEN(TRIM(AA225))=0),"Indeterminate",IF(X225&lt;&gt;"OK","Indeterminate",IF(OR(E225="Indeterminate",F225="Indeterminate",G225="Indeterminate",R225="Indeterminate",S225="Indeterminate",T225="Indeterminate",V225="Indeterminate",W225="Indeterminate",Y225="Indeterminate",Z225="Indeterminate",AA225="Indeterminate"),"Indeterminate",IF(OR(E225="Sponsor controlled - invalid",F225="Sponsor veto - invalid",G225="Sponsor/candidate controlled - invalid",H225&lt;&gt;"Yes",I225&lt;&gt;"Yes",J225&lt;&gt;"Yes",R225="Predetermined outcome - invalid",S225="No credible precommitment",T225="Material assistance undisclosed",V225="Missing",V225="Changed after unblinding",W225="Material shared-model generation undisclosed",Y225="No protected reporting channel",Z225="No anonymity/confidentiality protection",AA225="No anti-retaliation safeguard"),"Inadequate",IF(OR(E225="Joint with firewall",F225="Independent with security redaction only",G225="Joint with public rules",K225&lt;&gt;"",AND(L225&lt;&gt;"",LOWER(L225)&lt;&gt;"none"),R225="Declared interest with enforceable firewall",S225="Conditional precommitment with disclosed limits",T225="Material assistance disclosed and separated",W225="Material shared-model generation disclosed",Z225="Not applicable with recorded rationale"),"Adequate with declared controls","Adequate"))))))</f>
        <v/>
      </c>
      <c r="P225">
        <f>IF(AND(O225="",N225=""),"",IF(AND(O225&lt;&gt;"",N225=""),"UNRECORDED",IF(AND(O225="",N225&lt;&gt;""),"ORPHAN_RECORDED",IF(O225=N225,"MATCH","MISMATCH"))))</f>
        <v/>
      </c>
      <c r="X225" s="303">
        <f>IF(COUNTA(E225:J225)+COUNTA(R225:T225)+COUNTA(V225:W225)+COUNTA(Y225:AA225)=0,"",IF(AND(COUNTIF(Vocabulary!$S$5:$S$8,E225)=1,COUNTIF(Vocabulary!$T$5:$T$8,F225)=1,COUNTIF(Vocabulary!$U$5:$U$8,G225)=1,COUNTIF(Vocabulary!$J$5:$J$6,H225)=1,COUNTIF(Vocabulary!$J$5:$J$6,I225)=1,COUNTIF(Vocabulary!$J$5:$J$6,J225)=1,COUNTIF(Vocabulary!$W$5:$W$8,R225)=1,COUNTIF(Vocabulary!$X$5:$X$8,S225)=1,COUNTIF(Vocabulary!$Y$5:$Y$9,T225)=1,COUNTIF(Vocabulary!$Z$5:$Z$8,V225)=1,COUNTIF(Vocabulary!$AA$5:$AA$9,W225)=1,COUNTIF(Vocabulary!$AB$5:$AB$7,Y225)=1,COUNTIF(Vocabulary!$AC$5:$AC$8,Z225)=1,COUNTIF(Vocabulary!$AD$5:$AD$7,AA225)=1),"OK","UNRECOGNISED_CONTROL_VALUE"))</f>
        <v/>
      </c>
      <c r="Y225" s="303" t="n"/>
      <c r="Z225" s="303" t="n"/>
      <c r="AA225" s="303" t="n"/>
    </row>
    <row r="226">
      <c r="O226">
        <f>IF(COUNTA(A226:N226)+COUNTA(Q226:W226)+COUNTA(Y226:AA226)=0,"",IF(OR(LEN(TRIM(A226))=0,LEN(TRIM(B226))=0,LEN(TRIM(C226))=0,LEN(TRIM(D226))=0,LEN(TRIM(E226))=0,LEN(TRIM(F226))=0,LEN(TRIM(G226))=0,LEN(TRIM(H226))=0,LEN(TRIM(I226))=0,LEN(TRIM(J226))=0,LEN(TRIM(R226))=0,LEN(TRIM(S226))=0,LEN(TRIM(T226))=0,LEN(TRIM(V226))=0,LEN(TRIM(W226))=0,LEN(TRIM(Y226))=0,LEN(TRIM(Z226))=0,LEN(TRIM(AA226))=0),"Indeterminate",IF(X226&lt;&gt;"OK","Indeterminate",IF(OR(E226="Indeterminate",F226="Indeterminate",G226="Indeterminate",R226="Indeterminate",S226="Indeterminate",T226="Indeterminate",V226="Indeterminate",W226="Indeterminate",Y226="Indeterminate",Z226="Indeterminate",AA226="Indeterminate"),"Indeterminate",IF(OR(E226="Sponsor controlled - invalid",F226="Sponsor veto - invalid",G226="Sponsor/candidate controlled - invalid",H226&lt;&gt;"Yes",I226&lt;&gt;"Yes",J226&lt;&gt;"Yes",R226="Predetermined outcome - invalid",S226="No credible precommitment",T226="Material assistance undisclosed",V226="Missing",V226="Changed after unblinding",W226="Material shared-model generation undisclosed",Y226="No protected reporting channel",Z226="No anonymity/confidentiality protection",AA226="No anti-retaliation safeguard"),"Inadequate",IF(OR(E226="Joint with firewall",F226="Independent with security redaction only",G226="Joint with public rules",K226&lt;&gt;"",AND(L226&lt;&gt;"",LOWER(L226)&lt;&gt;"none"),R226="Declared interest with enforceable firewall",S226="Conditional precommitment with disclosed limits",T226="Material assistance disclosed and separated",W226="Material shared-model generation disclosed",Z226="Not applicable with recorded rationale"),"Adequate with declared controls","Adequate"))))))</f>
        <v/>
      </c>
      <c r="P226">
        <f>IF(AND(O226="",N226=""),"",IF(AND(O226&lt;&gt;"",N226=""),"UNRECORDED",IF(AND(O226="",N226&lt;&gt;""),"ORPHAN_RECORDED",IF(O226=N226,"MATCH","MISMATCH"))))</f>
        <v/>
      </c>
      <c r="X226" s="303">
        <f>IF(COUNTA(E226:J226)+COUNTA(R226:T226)+COUNTA(V226:W226)+COUNTA(Y226:AA226)=0,"",IF(AND(COUNTIF(Vocabulary!$S$5:$S$8,E226)=1,COUNTIF(Vocabulary!$T$5:$T$8,F226)=1,COUNTIF(Vocabulary!$U$5:$U$8,G226)=1,COUNTIF(Vocabulary!$J$5:$J$6,H226)=1,COUNTIF(Vocabulary!$J$5:$J$6,I226)=1,COUNTIF(Vocabulary!$J$5:$J$6,J226)=1,COUNTIF(Vocabulary!$W$5:$W$8,R226)=1,COUNTIF(Vocabulary!$X$5:$X$8,S226)=1,COUNTIF(Vocabulary!$Y$5:$Y$9,T226)=1,COUNTIF(Vocabulary!$Z$5:$Z$8,V226)=1,COUNTIF(Vocabulary!$AA$5:$AA$9,W226)=1,COUNTIF(Vocabulary!$AB$5:$AB$7,Y226)=1,COUNTIF(Vocabulary!$AC$5:$AC$8,Z226)=1,COUNTIF(Vocabulary!$AD$5:$AD$7,AA226)=1),"OK","UNRECOGNISED_CONTROL_VALUE"))</f>
        <v/>
      </c>
      <c r="Y226" s="303" t="n"/>
      <c r="Z226" s="303" t="n"/>
      <c r="AA226" s="303" t="n"/>
    </row>
    <row r="227">
      <c r="O227">
        <f>IF(COUNTA(A227:N227)+COUNTA(Q227:W227)+COUNTA(Y227:AA227)=0,"",IF(OR(LEN(TRIM(A227))=0,LEN(TRIM(B227))=0,LEN(TRIM(C227))=0,LEN(TRIM(D227))=0,LEN(TRIM(E227))=0,LEN(TRIM(F227))=0,LEN(TRIM(G227))=0,LEN(TRIM(H227))=0,LEN(TRIM(I227))=0,LEN(TRIM(J227))=0,LEN(TRIM(R227))=0,LEN(TRIM(S227))=0,LEN(TRIM(T227))=0,LEN(TRIM(V227))=0,LEN(TRIM(W227))=0,LEN(TRIM(Y227))=0,LEN(TRIM(Z227))=0,LEN(TRIM(AA227))=0),"Indeterminate",IF(X227&lt;&gt;"OK","Indeterminate",IF(OR(E227="Indeterminate",F227="Indeterminate",G227="Indeterminate",R227="Indeterminate",S227="Indeterminate",T227="Indeterminate",V227="Indeterminate",W227="Indeterminate",Y227="Indeterminate",Z227="Indeterminate",AA227="Indeterminate"),"Indeterminate",IF(OR(E227="Sponsor controlled - invalid",F227="Sponsor veto - invalid",G227="Sponsor/candidate controlled - invalid",H227&lt;&gt;"Yes",I227&lt;&gt;"Yes",J227&lt;&gt;"Yes",R227="Predetermined outcome - invalid",S227="No credible precommitment",T227="Material assistance undisclosed",V227="Missing",V227="Changed after unblinding",W227="Material shared-model generation undisclosed",Y227="No protected reporting channel",Z227="No anonymity/confidentiality protection",AA227="No anti-retaliation safeguard"),"Inadequate",IF(OR(E227="Joint with firewall",F227="Independent with security redaction only",G227="Joint with public rules",K227&lt;&gt;"",AND(L227&lt;&gt;"",LOWER(L227)&lt;&gt;"none"),R227="Declared interest with enforceable firewall",S227="Conditional precommitment with disclosed limits",T227="Material assistance disclosed and separated",W227="Material shared-model generation disclosed",Z227="Not applicable with recorded rationale"),"Adequate with declared controls","Adequate"))))))</f>
        <v/>
      </c>
      <c r="P227">
        <f>IF(AND(O227="",N227=""),"",IF(AND(O227&lt;&gt;"",N227=""),"UNRECORDED",IF(AND(O227="",N227&lt;&gt;""),"ORPHAN_RECORDED",IF(O227=N227,"MATCH","MISMATCH"))))</f>
        <v/>
      </c>
      <c r="X227" s="303">
        <f>IF(COUNTA(E227:J227)+COUNTA(R227:T227)+COUNTA(V227:W227)+COUNTA(Y227:AA227)=0,"",IF(AND(COUNTIF(Vocabulary!$S$5:$S$8,E227)=1,COUNTIF(Vocabulary!$T$5:$T$8,F227)=1,COUNTIF(Vocabulary!$U$5:$U$8,G227)=1,COUNTIF(Vocabulary!$J$5:$J$6,H227)=1,COUNTIF(Vocabulary!$J$5:$J$6,I227)=1,COUNTIF(Vocabulary!$J$5:$J$6,J227)=1,COUNTIF(Vocabulary!$W$5:$W$8,R227)=1,COUNTIF(Vocabulary!$X$5:$X$8,S227)=1,COUNTIF(Vocabulary!$Y$5:$Y$9,T227)=1,COUNTIF(Vocabulary!$Z$5:$Z$8,V227)=1,COUNTIF(Vocabulary!$AA$5:$AA$9,W227)=1,COUNTIF(Vocabulary!$AB$5:$AB$7,Y227)=1,COUNTIF(Vocabulary!$AC$5:$AC$8,Z227)=1,COUNTIF(Vocabulary!$AD$5:$AD$7,AA227)=1),"OK","UNRECOGNISED_CONTROL_VALUE"))</f>
        <v/>
      </c>
      <c r="Y227" s="303" t="n"/>
      <c r="Z227" s="303" t="n"/>
      <c r="AA227" s="303" t="n"/>
    </row>
    <row r="228">
      <c r="O228">
        <f>IF(COUNTA(A228:N228)+COUNTA(Q228:W228)+COUNTA(Y228:AA228)=0,"",IF(OR(LEN(TRIM(A228))=0,LEN(TRIM(B228))=0,LEN(TRIM(C228))=0,LEN(TRIM(D228))=0,LEN(TRIM(E228))=0,LEN(TRIM(F228))=0,LEN(TRIM(G228))=0,LEN(TRIM(H228))=0,LEN(TRIM(I228))=0,LEN(TRIM(J228))=0,LEN(TRIM(R228))=0,LEN(TRIM(S228))=0,LEN(TRIM(T228))=0,LEN(TRIM(V228))=0,LEN(TRIM(W228))=0,LEN(TRIM(Y228))=0,LEN(TRIM(Z228))=0,LEN(TRIM(AA228))=0),"Indeterminate",IF(X228&lt;&gt;"OK","Indeterminate",IF(OR(E228="Indeterminate",F228="Indeterminate",G228="Indeterminate",R228="Indeterminate",S228="Indeterminate",T228="Indeterminate",V228="Indeterminate",W228="Indeterminate",Y228="Indeterminate",Z228="Indeterminate",AA228="Indeterminate"),"Indeterminate",IF(OR(E228="Sponsor controlled - invalid",F228="Sponsor veto - invalid",G228="Sponsor/candidate controlled - invalid",H228&lt;&gt;"Yes",I228&lt;&gt;"Yes",J228&lt;&gt;"Yes",R228="Predetermined outcome - invalid",S228="No credible precommitment",T228="Material assistance undisclosed",V228="Missing",V228="Changed after unblinding",W228="Material shared-model generation undisclosed",Y228="No protected reporting channel",Z228="No anonymity/confidentiality protection",AA228="No anti-retaliation safeguard"),"Inadequate",IF(OR(E228="Joint with firewall",F228="Independent with security redaction only",G228="Joint with public rules",K228&lt;&gt;"",AND(L228&lt;&gt;"",LOWER(L228)&lt;&gt;"none"),R228="Declared interest with enforceable firewall",S228="Conditional precommitment with disclosed limits",T228="Material assistance disclosed and separated",W228="Material shared-model generation disclosed",Z228="Not applicable with recorded rationale"),"Adequate with declared controls","Adequate"))))))</f>
        <v/>
      </c>
      <c r="P228">
        <f>IF(AND(O228="",N228=""),"",IF(AND(O228&lt;&gt;"",N228=""),"UNRECORDED",IF(AND(O228="",N228&lt;&gt;""),"ORPHAN_RECORDED",IF(O228=N228,"MATCH","MISMATCH"))))</f>
        <v/>
      </c>
      <c r="X228" s="303">
        <f>IF(COUNTA(E228:J228)+COUNTA(R228:T228)+COUNTA(V228:W228)+COUNTA(Y228:AA228)=0,"",IF(AND(COUNTIF(Vocabulary!$S$5:$S$8,E228)=1,COUNTIF(Vocabulary!$T$5:$T$8,F228)=1,COUNTIF(Vocabulary!$U$5:$U$8,G228)=1,COUNTIF(Vocabulary!$J$5:$J$6,H228)=1,COUNTIF(Vocabulary!$J$5:$J$6,I228)=1,COUNTIF(Vocabulary!$J$5:$J$6,J228)=1,COUNTIF(Vocabulary!$W$5:$W$8,R228)=1,COUNTIF(Vocabulary!$X$5:$X$8,S228)=1,COUNTIF(Vocabulary!$Y$5:$Y$9,T228)=1,COUNTIF(Vocabulary!$Z$5:$Z$8,V228)=1,COUNTIF(Vocabulary!$AA$5:$AA$9,W228)=1,COUNTIF(Vocabulary!$AB$5:$AB$7,Y228)=1,COUNTIF(Vocabulary!$AC$5:$AC$8,Z228)=1,COUNTIF(Vocabulary!$AD$5:$AD$7,AA228)=1),"OK","UNRECOGNISED_CONTROL_VALUE"))</f>
        <v/>
      </c>
      <c r="Y228" s="303" t="n"/>
      <c r="Z228" s="303" t="n"/>
      <c r="AA228" s="303" t="n"/>
    </row>
    <row r="229">
      <c r="O229">
        <f>IF(COUNTA(A229:N229)+COUNTA(Q229:W229)+COUNTA(Y229:AA229)=0,"",IF(OR(LEN(TRIM(A229))=0,LEN(TRIM(B229))=0,LEN(TRIM(C229))=0,LEN(TRIM(D229))=0,LEN(TRIM(E229))=0,LEN(TRIM(F229))=0,LEN(TRIM(G229))=0,LEN(TRIM(H229))=0,LEN(TRIM(I229))=0,LEN(TRIM(J229))=0,LEN(TRIM(R229))=0,LEN(TRIM(S229))=0,LEN(TRIM(T229))=0,LEN(TRIM(V229))=0,LEN(TRIM(W229))=0,LEN(TRIM(Y229))=0,LEN(TRIM(Z229))=0,LEN(TRIM(AA229))=0),"Indeterminate",IF(X229&lt;&gt;"OK","Indeterminate",IF(OR(E229="Indeterminate",F229="Indeterminate",G229="Indeterminate",R229="Indeterminate",S229="Indeterminate",T229="Indeterminate",V229="Indeterminate",W229="Indeterminate",Y229="Indeterminate",Z229="Indeterminate",AA229="Indeterminate"),"Indeterminate",IF(OR(E229="Sponsor controlled - invalid",F229="Sponsor veto - invalid",G229="Sponsor/candidate controlled - invalid",H229&lt;&gt;"Yes",I229&lt;&gt;"Yes",J229&lt;&gt;"Yes",R229="Predetermined outcome - invalid",S229="No credible precommitment",T229="Material assistance undisclosed",V229="Missing",V229="Changed after unblinding",W229="Material shared-model generation undisclosed",Y229="No protected reporting channel",Z229="No anonymity/confidentiality protection",AA229="No anti-retaliation safeguard"),"Inadequate",IF(OR(E229="Joint with firewall",F229="Independent with security redaction only",G229="Joint with public rules",K229&lt;&gt;"",AND(L229&lt;&gt;"",LOWER(L229)&lt;&gt;"none"),R229="Declared interest with enforceable firewall",S229="Conditional precommitment with disclosed limits",T229="Material assistance disclosed and separated",W229="Material shared-model generation disclosed",Z229="Not applicable with recorded rationale"),"Adequate with declared controls","Adequate"))))))</f>
        <v/>
      </c>
      <c r="P229">
        <f>IF(AND(O229="",N229=""),"",IF(AND(O229&lt;&gt;"",N229=""),"UNRECORDED",IF(AND(O229="",N229&lt;&gt;""),"ORPHAN_RECORDED",IF(O229=N229,"MATCH","MISMATCH"))))</f>
        <v/>
      </c>
      <c r="X229" s="303">
        <f>IF(COUNTA(E229:J229)+COUNTA(R229:T229)+COUNTA(V229:W229)+COUNTA(Y229:AA229)=0,"",IF(AND(COUNTIF(Vocabulary!$S$5:$S$8,E229)=1,COUNTIF(Vocabulary!$T$5:$T$8,F229)=1,COUNTIF(Vocabulary!$U$5:$U$8,G229)=1,COUNTIF(Vocabulary!$J$5:$J$6,H229)=1,COUNTIF(Vocabulary!$J$5:$J$6,I229)=1,COUNTIF(Vocabulary!$J$5:$J$6,J229)=1,COUNTIF(Vocabulary!$W$5:$W$8,R229)=1,COUNTIF(Vocabulary!$X$5:$X$8,S229)=1,COUNTIF(Vocabulary!$Y$5:$Y$9,T229)=1,COUNTIF(Vocabulary!$Z$5:$Z$8,V229)=1,COUNTIF(Vocabulary!$AA$5:$AA$9,W229)=1,COUNTIF(Vocabulary!$AB$5:$AB$7,Y229)=1,COUNTIF(Vocabulary!$AC$5:$AC$8,Z229)=1,COUNTIF(Vocabulary!$AD$5:$AD$7,AA229)=1),"OK","UNRECOGNISED_CONTROL_VALUE"))</f>
        <v/>
      </c>
      <c r="Y229" s="303" t="n"/>
      <c r="Z229" s="303" t="n"/>
      <c r="AA229" s="303" t="n"/>
    </row>
    <row r="230">
      <c r="O230">
        <f>IF(COUNTA(A230:N230)+COUNTA(Q230:W230)+COUNTA(Y230:AA230)=0,"",IF(OR(LEN(TRIM(A230))=0,LEN(TRIM(B230))=0,LEN(TRIM(C230))=0,LEN(TRIM(D230))=0,LEN(TRIM(E230))=0,LEN(TRIM(F230))=0,LEN(TRIM(G230))=0,LEN(TRIM(H230))=0,LEN(TRIM(I230))=0,LEN(TRIM(J230))=0,LEN(TRIM(R230))=0,LEN(TRIM(S230))=0,LEN(TRIM(T230))=0,LEN(TRIM(V230))=0,LEN(TRIM(W230))=0,LEN(TRIM(Y230))=0,LEN(TRIM(Z230))=0,LEN(TRIM(AA230))=0),"Indeterminate",IF(X230&lt;&gt;"OK","Indeterminate",IF(OR(E230="Indeterminate",F230="Indeterminate",G230="Indeterminate",R230="Indeterminate",S230="Indeterminate",T230="Indeterminate",V230="Indeterminate",W230="Indeterminate",Y230="Indeterminate",Z230="Indeterminate",AA230="Indeterminate"),"Indeterminate",IF(OR(E230="Sponsor controlled - invalid",F230="Sponsor veto - invalid",G230="Sponsor/candidate controlled - invalid",H230&lt;&gt;"Yes",I230&lt;&gt;"Yes",J230&lt;&gt;"Yes",R230="Predetermined outcome - invalid",S230="No credible precommitment",T230="Material assistance undisclosed",V230="Missing",V230="Changed after unblinding",W230="Material shared-model generation undisclosed",Y230="No protected reporting channel",Z230="No anonymity/confidentiality protection",AA230="No anti-retaliation safeguard"),"Inadequate",IF(OR(E230="Joint with firewall",F230="Independent with security redaction only",G230="Joint with public rules",K230&lt;&gt;"",AND(L230&lt;&gt;"",LOWER(L230)&lt;&gt;"none"),R230="Declared interest with enforceable firewall",S230="Conditional precommitment with disclosed limits",T230="Material assistance disclosed and separated",W230="Material shared-model generation disclosed",Z230="Not applicable with recorded rationale"),"Adequate with declared controls","Adequate"))))))</f>
        <v/>
      </c>
      <c r="P230">
        <f>IF(AND(O230="",N230=""),"",IF(AND(O230&lt;&gt;"",N230=""),"UNRECORDED",IF(AND(O230="",N230&lt;&gt;""),"ORPHAN_RECORDED",IF(O230=N230,"MATCH","MISMATCH"))))</f>
        <v/>
      </c>
      <c r="X230" s="303">
        <f>IF(COUNTA(E230:J230)+COUNTA(R230:T230)+COUNTA(V230:W230)+COUNTA(Y230:AA230)=0,"",IF(AND(COUNTIF(Vocabulary!$S$5:$S$8,E230)=1,COUNTIF(Vocabulary!$T$5:$T$8,F230)=1,COUNTIF(Vocabulary!$U$5:$U$8,G230)=1,COUNTIF(Vocabulary!$J$5:$J$6,H230)=1,COUNTIF(Vocabulary!$J$5:$J$6,I230)=1,COUNTIF(Vocabulary!$J$5:$J$6,J230)=1,COUNTIF(Vocabulary!$W$5:$W$8,R230)=1,COUNTIF(Vocabulary!$X$5:$X$8,S230)=1,COUNTIF(Vocabulary!$Y$5:$Y$9,T230)=1,COUNTIF(Vocabulary!$Z$5:$Z$8,V230)=1,COUNTIF(Vocabulary!$AA$5:$AA$9,W230)=1,COUNTIF(Vocabulary!$AB$5:$AB$7,Y230)=1,COUNTIF(Vocabulary!$AC$5:$AC$8,Z230)=1,COUNTIF(Vocabulary!$AD$5:$AD$7,AA230)=1),"OK","UNRECOGNISED_CONTROL_VALUE"))</f>
        <v/>
      </c>
      <c r="Y230" s="303" t="n"/>
      <c r="Z230" s="303" t="n"/>
      <c r="AA230" s="303" t="n"/>
    </row>
    <row r="231">
      <c r="O231">
        <f>IF(COUNTA(A231:N231)+COUNTA(Q231:W231)+COUNTA(Y231:AA231)=0,"",IF(OR(LEN(TRIM(A231))=0,LEN(TRIM(B231))=0,LEN(TRIM(C231))=0,LEN(TRIM(D231))=0,LEN(TRIM(E231))=0,LEN(TRIM(F231))=0,LEN(TRIM(G231))=0,LEN(TRIM(H231))=0,LEN(TRIM(I231))=0,LEN(TRIM(J231))=0,LEN(TRIM(R231))=0,LEN(TRIM(S231))=0,LEN(TRIM(T231))=0,LEN(TRIM(V231))=0,LEN(TRIM(W231))=0,LEN(TRIM(Y231))=0,LEN(TRIM(Z231))=0,LEN(TRIM(AA231))=0),"Indeterminate",IF(X231&lt;&gt;"OK","Indeterminate",IF(OR(E231="Indeterminate",F231="Indeterminate",G231="Indeterminate",R231="Indeterminate",S231="Indeterminate",T231="Indeterminate",V231="Indeterminate",W231="Indeterminate",Y231="Indeterminate",Z231="Indeterminate",AA231="Indeterminate"),"Indeterminate",IF(OR(E231="Sponsor controlled - invalid",F231="Sponsor veto - invalid",G231="Sponsor/candidate controlled - invalid",H231&lt;&gt;"Yes",I231&lt;&gt;"Yes",J231&lt;&gt;"Yes",R231="Predetermined outcome - invalid",S231="No credible precommitment",T231="Material assistance undisclosed",V231="Missing",V231="Changed after unblinding",W231="Material shared-model generation undisclosed",Y231="No protected reporting channel",Z231="No anonymity/confidentiality protection",AA231="No anti-retaliation safeguard"),"Inadequate",IF(OR(E231="Joint with firewall",F231="Independent with security redaction only",G231="Joint with public rules",K231&lt;&gt;"",AND(L231&lt;&gt;"",LOWER(L231)&lt;&gt;"none"),R231="Declared interest with enforceable firewall",S231="Conditional precommitment with disclosed limits",T231="Material assistance disclosed and separated",W231="Material shared-model generation disclosed",Z231="Not applicable with recorded rationale"),"Adequate with declared controls","Adequate"))))))</f>
        <v/>
      </c>
      <c r="P231">
        <f>IF(AND(O231="",N231=""),"",IF(AND(O231&lt;&gt;"",N231=""),"UNRECORDED",IF(AND(O231="",N231&lt;&gt;""),"ORPHAN_RECORDED",IF(O231=N231,"MATCH","MISMATCH"))))</f>
        <v/>
      </c>
      <c r="X231" s="303">
        <f>IF(COUNTA(E231:J231)+COUNTA(R231:T231)+COUNTA(V231:W231)+COUNTA(Y231:AA231)=0,"",IF(AND(COUNTIF(Vocabulary!$S$5:$S$8,E231)=1,COUNTIF(Vocabulary!$T$5:$T$8,F231)=1,COUNTIF(Vocabulary!$U$5:$U$8,G231)=1,COUNTIF(Vocabulary!$J$5:$J$6,H231)=1,COUNTIF(Vocabulary!$J$5:$J$6,I231)=1,COUNTIF(Vocabulary!$J$5:$J$6,J231)=1,COUNTIF(Vocabulary!$W$5:$W$8,R231)=1,COUNTIF(Vocabulary!$X$5:$X$8,S231)=1,COUNTIF(Vocabulary!$Y$5:$Y$9,T231)=1,COUNTIF(Vocabulary!$Z$5:$Z$8,V231)=1,COUNTIF(Vocabulary!$AA$5:$AA$9,W231)=1,COUNTIF(Vocabulary!$AB$5:$AB$7,Y231)=1,COUNTIF(Vocabulary!$AC$5:$AC$8,Z231)=1,COUNTIF(Vocabulary!$AD$5:$AD$7,AA231)=1),"OK","UNRECOGNISED_CONTROL_VALUE"))</f>
        <v/>
      </c>
      <c r="Y231" s="303" t="n"/>
      <c r="Z231" s="303" t="n"/>
      <c r="AA231" s="303" t="n"/>
    </row>
    <row r="232">
      <c r="O232">
        <f>IF(COUNTA(A232:N232)+COUNTA(Q232:W232)+COUNTA(Y232:AA232)=0,"",IF(OR(LEN(TRIM(A232))=0,LEN(TRIM(B232))=0,LEN(TRIM(C232))=0,LEN(TRIM(D232))=0,LEN(TRIM(E232))=0,LEN(TRIM(F232))=0,LEN(TRIM(G232))=0,LEN(TRIM(H232))=0,LEN(TRIM(I232))=0,LEN(TRIM(J232))=0,LEN(TRIM(R232))=0,LEN(TRIM(S232))=0,LEN(TRIM(T232))=0,LEN(TRIM(V232))=0,LEN(TRIM(W232))=0,LEN(TRIM(Y232))=0,LEN(TRIM(Z232))=0,LEN(TRIM(AA232))=0),"Indeterminate",IF(X232&lt;&gt;"OK","Indeterminate",IF(OR(E232="Indeterminate",F232="Indeterminate",G232="Indeterminate",R232="Indeterminate",S232="Indeterminate",T232="Indeterminate",V232="Indeterminate",W232="Indeterminate",Y232="Indeterminate",Z232="Indeterminate",AA232="Indeterminate"),"Indeterminate",IF(OR(E232="Sponsor controlled - invalid",F232="Sponsor veto - invalid",G232="Sponsor/candidate controlled - invalid",H232&lt;&gt;"Yes",I232&lt;&gt;"Yes",J232&lt;&gt;"Yes",R232="Predetermined outcome - invalid",S232="No credible precommitment",T232="Material assistance undisclosed",V232="Missing",V232="Changed after unblinding",W232="Material shared-model generation undisclosed",Y232="No protected reporting channel",Z232="No anonymity/confidentiality protection",AA232="No anti-retaliation safeguard"),"Inadequate",IF(OR(E232="Joint with firewall",F232="Independent with security redaction only",G232="Joint with public rules",K232&lt;&gt;"",AND(L232&lt;&gt;"",LOWER(L232)&lt;&gt;"none"),R232="Declared interest with enforceable firewall",S232="Conditional precommitment with disclosed limits",T232="Material assistance disclosed and separated",W232="Material shared-model generation disclosed",Z232="Not applicable with recorded rationale"),"Adequate with declared controls","Adequate"))))))</f>
        <v/>
      </c>
      <c r="P232">
        <f>IF(AND(O232="",N232=""),"",IF(AND(O232&lt;&gt;"",N232=""),"UNRECORDED",IF(AND(O232="",N232&lt;&gt;""),"ORPHAN_RECORDED",IF(O232=N232,"MATCH","MISMATCH"))))</f>
        <v/>
      </c>
      <c r="X232" s="303">
        <f>IF(COUNTA(E232:J232)+COUNTA(R232:T232)+COUNTA(V232:W232)+COUNTA(Y232:AA232)=0,"",IF(AND(COUNTIF(Vocabulary!$S$5:$S$8,E232)=1,COUNTIF(Vocabulary!$T$5:$T$8,F232)=1,COUNTIF(Vocabulary!$U$5:$U$8,G232)=1,COUNTIF(Vocabulary!$J$5:$J$6,H232)=1,COUNTIF(Vocabulary!$J$5:$J$6,I232)=1,COUNTIF(Vocabulary!$J$5:$J$6,J232)=1,COUNTIF(Vocabulary!$W$5:$W$8,R232)=1,COUNTIF(Vocabulary!$X$5:$X$8,S232)=1,COUNTIF(Vocabulary!$Y$5:$Y$9,T232)=1,COUNTIF(Vocabulary!$Z$5:$Z$8,V232)=1,COUNTIF(Vocabulary!$AA$5:$AA$9,W232)=1,COUNTIF(Vocabulary!$AB$5:$AB$7,Y232)=1,COUNTIF(Vocabulary!$AC$5:$AC$8,Z232)=1,COUNTIF(Vocabulary!$AD$5:$AD$7,AA232)=1),"OK","UNRECOGNISED_CONTROL_VALUE"))</f>
        <v/>
      </c>
      <c r="Y232" s="303" t="n"/>
      <c r="Z232" s="303" t="n"/>
      <c r="AA232" s="303" t="n"/>
    </row>
    <row r="233">
      <c r="O233">
        <f>IF(COUNTA(A233:N233)+COUNTA(Q233:W233)+COUNTA(Y233:AA233)=0,"",IF(OR(LEN(TRIM(A233))=0,LEN(TRIM(B233))=0,LEN(TRIM(C233))=0,LEN(TRIM(D233))=0,LEN(TRIM(E233))=0,LEN(TRIM(F233))=0,LEN(TRIM(G233))=0,LEN(TRIM(H233))=0,LEN(TRIM(I233))=0,LEN(TRIM(J233))=0,LEN(TRIM(R233))=0,LEN(TRIM(S233))=0,LEN(TRIM(T233))=0,LEN(TRIM(V233))=0,LEN(TRIM(W233))=0,LEN(TRIM(Y233))=0,LEN(TRIM(Z233))=0,LEN(TRIM(AA233))=0),"Indeterminate",IF(X233&lt;&gt;"OK","Indeterminate",IF(OR(E233="Indeterminate",F233="Indeterminate",G233="Indeterminate",R233="Indeterminate",S233="Indeterminate",T233="Indeterminate",V233="Indeterminate",W233="Indeterminate",Y233="Indeterminate",Z233="Indeterminate",AA233="Indeterminate"),"Indeterminate",IF(OR(E233="Sponsor controlled - invalid",F233="Sponsor veto - invalid",G233="Sponsor/candidate controlled - invalid",H233&lt;&gt;"Yes",I233&lt;&gt;"Yes",J233&lt;&gt;"Yes",R233="Predetermined outcome - invalid",S233="No credible precommitment",T233="Material assistance undisclosed",V233="Missing",V233="Changed after unblinding",W233="Material shared-model generation undisclosed",Y233="No protected reporting channel",Z233="No anonymity/confidentiality protection",AA233="No anti-retaliation safeguard"),"Inadequate",IF(OR(E233="Joint with firewall",F233="Independent with security redaction only",G233="Joint with public rules",K233&lt;&gt;"",AND(L233&lt;&gt;"",LOWER(L233)&lt;&gt;"none"),R233="Declared interest with enforceable firewall",S233="Conditional precommitment with disclosed limits",T233="Material assistance disclosed and separated",W233="Material shared-model generation disclosed",Z233="Not applicable with recorded rationale"),"Adequate with declared controls","Adequate"))))))</f>
        <v/>
      </c>
      <c r="P233">
        <f>IF(AND(O233="",N233=""),"",IF(AND(O233&lt;&gt;"",N233=""),"UNRECORDED",IF(AND(O233="",N233&lt;&gt;""),"ORPHAN_RECORDED",IF(O233=N233,"MATCH","MISMATCH"))))</f>
        <v/>
      </c>
      <c r="X233" s="303">
        <f>IF(COUNTA(E233:J233)+COUNTA(R233:T233)+COUNTA(V233:W233)+COUNTA(Y233:AA233)=0,"",IF(AND(COUNTIF(Vocabulary!$S$5:$S$8,E233)=1,COUNTIF(Vocabulary!$T$5:$T$8,F233)=1,COUNTIF(Vocabulary!$U$5:$U$8,G233)=1,COUNTIF(Vocabulary!$J$5:$J$6,H233)=1,COUNTIF(Vocabulary!$J$5:$J$6,I233)=1,COUNTIF(Vocabulary!$J$5:$J$6,J233)=1,COUNTIF(Vocabulary!$W$5:$W$8,R233)=1,COUNTIF(Vocabulary!$X$5:$X$8,S233)=1,COUNTIF(Vocabulary!$Y$5:$Y$9,T233)=1,COUNTIF(Vocabulary!$Z$5:$Z$8,V233)=1,COUNTIF(Vocabulary!$AA$5:$AA$9,W233)=1,COUNTIF(Vocabulary!$AB$5:$AB$7,Y233)=1,COUNTIF(Vocabulary!$AC$5:$AC$8,Z233)=1,COUNTIF(Vocabulary!$AD$5:$AD$7,AA233)=1),"OK","UNRECOGNISED_CONTROL_VALUE"))</f>
        <v/>
      </c>
      <c r="Y233" s="303" t="n"/>
      <c r="Z233" s="303" t="n"/>
      <c r="AA233" s="303" t="n"/>
    </row>
    <row r="234">
      <c r="O234">
        <f>IF(COUNTA(A234:N234)+COUNTA(Q234:W234)+COUNTA(Y234:AA234)=0,"",IF(OR(LEN(TRIM(A234))=0,LEN(TRIM(B234))=0,LEN(TRIM(C234))=0,LEN(TRIM(D234))=0,LEN(TRIM(E234))=0,LEN(TRIM(F234))=0,LEN(TRIM(G234))=0,LEN(TRIM(H234))=0,LEN(TRIM(I234))=0,LEN(TRIM(J234))=0,LEN(TRIM(R234))=0,LEN(TRIM(S234))=0,LEN(TRIM(T234))=0,LEN(TRIM(V234))=0,LEN(TRIM(W234))=0,LEN(TRIM(Y234))=0,LEN(TRIM(Z234))=0,LEN(TRIM(AA234))=0),"Indeterminate",IF(X234&lt;&gt;"OK","Indeterminate",IF(OR(E234="Indeterminate",F234="Indeterminate",G234="Indeterminate",R234="Indeterminate",S234="Indeterminate",T234="Indeterminate",V234="Indeterminate",W234="Indeterminate",Y234="Indeterminate",Z234="Indeterminate",AA234="Indeterminate"),"Indeterminate",IF(OR(E234="Sponsor controlled - invalid",F234="Sponsor veto - invalid",G234="Sponsor/candidate controlled - invalid",H234&lt;&gt;"Yes",I234&lt;&gt;"Yes",J234&lt;&gt;"Yes",R234="Predetermined outcome - invalid",S234="No credible precommitment",T234="Material assistance undisclosed",V234="Missing",V234="Changed after unblinding",W234="Material shared-model generation undisclosed",Y234="No protected reporting channel",Z234="No anonymity/confidentiality protection",AA234="No anti-retaliation safeguard"),"Inadequate",IF(OR(E234="Joint with firewall",F234="Independent with security redaction only",G234="Joint with public rules",K234&lt;&gt;"",AND(L234&lt;&gt;"",LOWER(L234)&lt;&gt;"none"),R234="Declared interest with enforceable firewall",S234="Conditional precommitment with disclosed limits",T234="Material assistance disclosed and separated",W234="Material shared-model generation disclosed",Z234="Not applicable with recorded rationale"),"Adequate with declared controls","Adequate"))))))</f>
        <v/>
      </c>
      <c r="P234">
        <f>IF(AND(O234="",N234=""),"",IF(AND(O234&lt;&gt;"",N234=""),"UNRECORDED",IF(AND(O234="",N234&lt;&gt;""),"ORPHAN_RECORDED",IF(O234=N234,"MATCH","MISMATCH"))))</f>
        <v/>
      </c>
      <c r="X234" s="303">
        <f>IF(COUNTA(E234:J234)+COUNTA(R234:T234)+COUNTA(V234:W234)+COUNTA(Y234:AA234)=0,"",IF(AND(COUNTIF(Vocabulary!$S$5:$S$8,E234)=1,COUNTIF(Vocabulary!$T$5:$T$8,F234)=1,COUNTIF(Vocabulary!$U$5:$U$8,G234)=1,COUNTIF(Vocabulary!$J$5:$J$6,H234)=1,COUNTIF(Vocabulary!$J$5:$J$6,I234)=1,COUNTIF(Vocabulary!$J$5:$J$6,J234)=1,COUNTIF(Vocabulary!$W$5:$W$8,R234)=1,COUNTIF(Vocabulary!$X$5:$X$8,S234)=1,COUNTIF(Vocabulary!$Y$5:$Y$9,T234)=1,COUNTIF(Vocabulary!$Z$5:$Z$8,V234)=1,COUNTIF(Vocabulary!$AA$5:$AA$9,W234)=1,COUNTIF(Vocabulary!$AB$5:$AB$7,Y234)=1,COUNTIF(Vocabulary!$AC$5:$AC$8,Z234)=1,COUNTIF(Vocabulary!$AD$5:$AD$7,AA234)=1),"OK","UNRECOGNISED_CONTROL_VALUE"))</f>
        <v/>
      </c>
      <c r="Y234" s="303" t="n"/>
      <c r="Z234" s="303" t="n"/>
      <c r="AA234" s="303" t="n"/>
    </row>
    <row r="235">
      <c r="O235">
        <f>IF(COUNTA(A235:N235)+COUNTA(Q235:W235)+COUNTA(Y235:AA235)=0,"",IF(OR(LEN(TRIM(A235))=0,LEN(TRIM(B235))=0,LEN(TRIM(C235))=0,LEN(TRIM(D235))=0,LEN(TRIM(E235))=0,LEN(TRIM(F235))=0,LEN(TRIM(G235))=0,LEN(TRIM(H235))=0,LEN(TRIM(I235))=0,LEN(TRIM(J235))=0,LEN(TRIM(R235))=0,LEN(TRIM(S235))=0,LEN(TRIM(T235))=0,LEN(TRIM(V235))=0,LEN(TRIM(W235))=0,LEN(TRIM(Y235))=0,LEN(TRIM(Z235))=0,LEN(TRIM(AA235))=0),"Indeterminate",IF(X235&lt;&gt;"OK","Indeterminate",IF(OR(E235="Indeterminate",F235="Indeterminate",G235="Indeterminate",R235="Indeterminate",S235="Indeterminate",T235="Indeterminate",V235="Indeterminate",W235="Indeterminate",Y235="Indeterminate",Z235="Indeterminate",AA235="Indeterminate"),"Indeterminate",IF(OR(E235="Sponsor controlled - invalid",F235="Sponsor veto - invalid",G235="Sponsor/candidate controlled - invalid",H235&lt;&gt;"Yes",I235&lt;&gt;"Yes",J235&lt;&gt;"Yes",R235="Predetermined outcome - invalid",S235="No credible precommitment",T235="Material assistance undisclosed",V235="Missing",V235="Changed after unblinding",W235="Material shared-model generation undisclosed",Y235="No protected reporting channel",Z235="No anonymity/confidentiality protection",AA235="No anti-retaliation safeguard"),"Inadequate",IF(OR(E235="Joint with firewall",F235="Independent with security redaction only",G235="Joint with public rules",K235&lt;&gt;"",AND(L235&lt;&gt;"",LOWER(L235)&lt;&gt;"none"),R235="Declared interest with enforceable firewall",S235="Conditional precommitment with disclosed limits",T235="Material assistance disclosed and separated",W235="Material shared-model generation disclosed",Z235="Not applicable with recorded rationale"),"Adequate with declared controls","Adequate"))))))</f>
        <v/>
      </c>
      <c r="P235">
        <f>IF(AND(O235="",N235=""),"",IF(AND(O235&lt;&gt;"",N235=""),"UNRECORDED",IF(AND(O235="",N235&lt;&gt;""),"ORPHAN_RECORDED",IF(O235=N235,"MATCH","MISMATCH"))))</f>
        <v/>
      </c>
      <c r="X235" s="303">
        <f>IF(COUNTA(E235:J235)+COUNTA(R235:T235)+COUNTA(V235:W235)+COUNTA(Y235:AA235)=0,"",IF(AND(COUNTIF(Vocabulary!$S$5:$S$8,E235)=1,COUNTIF(Vocabulary!$T$5:$T$8,F235)=1,COUNTIF(Vocabulary!$U$5:$U$8,G235)=1,COUNTIF(Vocabulary!$J$5:$J$6,H235)=1,COUNTIF(Vocabulary!$J$5:$J$6,I235)=1,COUNTIF(Vocabulary!$J$5:$J$6,J235)=1,COUNTIF(Vocabulary!$W$5:$W$8,R235)=1,COUNTIF(Vocabulary!$X$5:$X$8,S235)=1,COUNTIF(Vocabulary!$Y$5:$Y$9,T235)=1,COUNTIF(Vocabulary!$Z$5:$Z$8,V235)=1,COUNTIF(Vocabulary!$AA$5:$AA$9,W235)=1,COUNTIF(Vocabulary!$AB$5:$AB$7,Y235)=1,COUNTIF(Vocabulary!$AC$5:$AC$8,Z235)=1,COUNTIF(Vocabulary!$AD$5:$AD$7,AA235)=1),"OK","UNRECOGNISED_CONTROL_VALUE"))</f>
        <v/>
      </c>
      <c r="Y235" s="303" t="n"/>
      <c r="Z235" s="303" t="n"/>
      <c r="AA235" s="303" t="n"/>
    </row>
    <row r="236">
      <c r="O236">
        <f>IF(COUNTA(A236:N236)+COUNTA(Q236:W236)+COUNTA(Y236:AA236)=0,"",IF(OR(LEN(TRIM(A236))=0,LEN(TRIM(B236))=0,LEN(TRIM(C236))=0,LEN(TRIM(D236))=0,LEN(TRIM(E236))=0,LEN(TRIM(F236))=0,LEN(TRIM(G236))=0,LEN(TRIM(H236))=0,LEN(TRIM(I236))=0,LEN(TRIM(J236))=0,LEN(TRIM(R236))=0,LEN(TRIM(S236))=0,LEN(TRIM(T236))=0,LEN(TRIM(V236))=0,LEN(TRIM(W236))=0,LEN(TRIM(Y236))=0,LEN(TRIM(Z236))=0,LEN(TRIM(AA236))=0),"Indeterminate",IF(X236&lt;&gt;"OK","Indeterminate",IF(OR(E236="Indeterminate",F236="Indeterminate",G236="Indeterminate",R236="Indeterminate",S236="Indeterminate",T236="Indeterminate",V236="Indeterminate",W236="Indeterminate",Y236="Indeterminate",Z236="Indeterminate",AA236="Indeterminate"),"Indeterminate",IF(OR(E236="Sponsor controlled - invalid",F236="Sponsor veto - invalid",G236="Sponsor/candidate controlled - invalid",H236&lt;&gt;"Yes",I236&lt;&gt;"Yes",J236&lt;&gt;"Yes",R236="Predetermined outcome - invalid",S236="No credible precommitment",T236="Material assistance undisclosed",V236="Missing",V236="Changed after unblinding",W236="Material shared-model generation undisclosed",Y236="No protected reporting channel",Z236="No anonymity/confidentiality protection",AA236="No anti-retaliation safeguard"),"Inadequate",IF(OR(E236="Joint with firewall",F236="Independent with security redaction only",G236="Joint with public rules",K236&lt;&gt;"",AND(L236&lt;&gt;"",LOWER(L236)&lt;&gt;"none"),R236="Declared interest with enforceable firewall",S236="Conditional precommitment with disclosed limits",T236="Material assistance disclosed and separated",W236="Material shared-model generation disclosed",Z236="Not applicable with recorded rationale"),"Adequate with declared controls","Adequate"))))))</f>
        <v/>
      </c>
      <c r="P236">
        <f>IF(AND(O236="",N236=""),"",IF(AND(O236&lt;&gt;"",N236=""),"UNRECORDED",IF(AND(O236="",N236&lt;&gt;""),"ORPHAN_RECORDED",IF(O236=N236,"MATCH","MISMATCH"))))</f>
        <v/>
      </c>
      <c r="X236" s="303">
        <f>IF(COUNTA(E236:J236)+COUNTA(R236:T236)+COUNTA(V236:W236)+COUNTA(Y236:AA236)=0,"",IF(AND(COUNTIF(Vocabulary!$S$5:$S$8,E236)=1,COUNTIF(Vocabulary!$T$5:$T$8,F236)=1,COUNTIF(Vocabulary!$U$5:$U$8,G236)=1,COUNTIF(Vocabulary!$J$5:$J$6,H236)=1,COUNTIF(Vocabulary!$J$5:$J$6,I236)=1,COUNTIF(Vocabulary!$J$5:$J$6,J236)=1,COUNTIF(Vocabulary!$W$5:$W$8,R236)=1,COUNTIF(Vocabulary!$X$5:$X$8,S236)=1,COUNTIF(Vocabulary!$Y$5:$Y$9,T236)=1,COUNTIF(Vocabulary!$Z$5:$Z$8,V236)=1,COUNTIF(Vocabulary!$AA$5:$AA$9,W236)=1,COUNTIF(Vocabulary!$AB$5:$AB$7,Y236)=1,COUNTIF(Vocabulary!$AC$5:$AC$8,Z236)=1,COUNTIF(Vocabulary!$AD$5:$AD$7,AA236)=1),"OK","UNRECOGNISED_CONTROL_VALUE"))</f>
        <v/>
      </c>
      <c r="Y236" s="303" t="n"/>
      <c r="Z236" s="303" t="n"/>
      <c r="AA236" s="303" t="n"/>
    </row>
    <row r="237">
      <c r="O237">
        <f>IF(COUNTA(A237:N237)+COUNTA(Q237:W237)+COUNTA(Y237:AA237)=0,"",IF(OR(LEN(TRIM(A237))=0,LEN(TRIM(B237))=0,LEN(TRIM(C237))=0,LEN(TRIM(D237))=0,LEN(TRIM(E237))=0,LEN(TRIM(F237))=0,LEN(TRIM(G237))=0,LEN(TRIM(H237))=0,LEN(TRIM(I237))=0,LEN(TRIM(J237))=0,LEN(TRIM(R237))=0,LEN(TRIM(S237))=0,LEN(TRIM(T237))=0,LEN(TRIM(V237))=0,LEN(TRIM(W237))=0,LEN(TRIM(Y237))=0,LEN(TRIM(Z237))=0,LEN(TRIM(AA237))=0),"Indeterminate",IF(X237&lt;&gt;"OK","Indeterminate",IF(OR(E237="Indeterminate",F237="Indeterminate",G237="Indeterminate",R237="Indeterminate",S237="Indeterminate",T237="Indeterminate",V237="Indeterminate",W237="Indeterminate",Y237="Indeterminate",Z237="Indeterminate",AA237="Indeterminate"),"Indeterminate",IF(OR(E237="Sponsor controlled - invalid",F237="Sponsor veto - invalid",G237="Sponsor/candidate controlled - invalid",H237&lt;&gt;"Yes",I237&lt;&gt;"Yes",J237&lt;&gt;"Yes",R237="Predetermined outcome - invalid",S237="No credible precommitment",T237="Material assistance undisclosed",V237="Missing",V237="Changed after unblinding",W237="Material shared-model generation undisclosed",Y237="No protected reporting channel",Z237="No anonymity/confidentiality protection",AA237="No anti-retaliation safeguard"),"Inadequate",IF(OR(E237="Joint with firewall",F237="Independent with security redaction only",G237="Joint with public rules",K237&lt;&gt;"",AND(L237&lt;&gt;"",LOWER(L237)&lt;&gt;"none"),R237="Declared interest with enforceable firewall",S237="Conditional precommitment with disclosed limits",T237="Material assistance disclosed and separated",W237="Material shared-model generation disclosed",Z237="Not applicable with recorded rationale"),"Adequate with declared controls","Adequate"))))))</f>
        <v/>
      </c>
      <c r="P237">
        <f>IF(AND(O237="",N237=""),"",IF(AND(O237&lt;&gt;"",N237=""),"UNRECORDED",IF(AND(O237="",N237&lt;&gt;""),"ORPHAN_RECORDED",IF(O237=N237,"MATCH","MISMATCH"))))</f>
        <v/>
      </c>
      <c r="X237" s="303">
        <f>IF(COUNTA(E237:J237)+COUNTA(R237:T237)+COUNTA(V237:W237)+COUNTA(Y237:AA237)=0,"",IF(AND(COUNTIF(Vocabulary!$S$5:$S$8,E237)=1,COUNTIF(Vocabulary!$T$5:$T$8,F237)=1,COUNTIF(Vocabulary!$U$5:$U$8,G237)=1,COUNTIF(Vocabulary!$J$5:$J$6,H237)=1,COUNTIF(Vocabulary!$J$5:$J$6,I237)=1,COUNTIF(Vocabulary!$J$5:$J$6,J237)=1,COUNTIF(Vocabulary!$W$5:$W$8,R237)=1,COUNTIF(Vocabulary!$X$5:$X$8,S237)=1,COUNTIF(Vocabulary!$Y$5:$Y$9,T237)=1,COUNTIF(Vocabulary!$Z$5:$Z$8,V237)=1,COUNTIF(Vocabulary!$AA$5:$AA$9,W237)=1,COUNTIF(Vocabulary!$AB$5:$AB$7,Y237)=1,COUNTIF(Vocabulary!$AC$5:$AC$8,Z237)=1,COUNTIF(Vocabulary!$AD$5:$AD$7,AA237)=1),"OK","UNRECOGNISED_CONTROL_VALUE"))</f>
        <v/>
      </c>
      <c r="Y237" s="303" t="n"/>
      <c r="Z237" s="303" t="n"/>
      <c r="AA237" s="303" t="n"/>
    </row>
    <row r="238">
      <c r="O238">
        <f>IF(COUNTA(A238:N238)+COUNTA(Q238:W238)+COUNTA(Y238:AA238)=0,"",IF(OR(LEN(TRIM(A238))=0,LEN(TRIM(B238))=0,LEN(TRIM(C238))=0,LEN(TRIM(D238))=0,LEN(TRIM(E238))=0,LEN(TRIM(F238))=0,LEN(TRIM(G238))=0,LEN(TRIM(H238))=0,LEN(TRIM(I238))=0,LEN(TRIM(J238))=0,LEN(TRIM(R238))=0,LEN(TRIM(S238))=0,LEN(TRIM(T238))=0,LEN(TRIM(V238))=0,LEN(TRIM(W238))=0,LEN(TRIM(Y238))=0,LEN(TRIM(Z238))=0,LEN(TRIM(AA238))=0),"Indeterminate",IF(X238&lt;&gt;"OK","Indeterminate",IF(OR(E238="Indeterminate",F238="Indeterminate",G238="Indeterminate",R238="Indeterminate",S238="Indeterminate",T238="Indeterminate",V238="Indeterminate",W238="Indeterminate",Y238="Indeterminate",Z238="Indeterminate",AA238="Indeterminate"),"Indeterminate",IF(OR(E238="Sponsor controlled - invalid",F238="Sponsor veto - invalid",G238="Sponsor/candidate controlled - invalid",H238&lt;&gt;"Yes",I238&lt;&gt;"Yes",J238&lt;&gt;"Yes",R238="Predetermined outcome - invalid",S238="No credible precommitment",T238="Material assistance undisclosed",V238="Missing",V238="Changed after unblinding",W238="Material shared-model generation undisclosed",Y238="No protected reporting channel",Z238="No anonymity/confidentiality protection",AA238="No anti-retaliation safeguard"),"Inadequate",IF(OR(E238="Joint with firewall",F238="Independent with security redaction only",G238="Joint with public rules",K238&lt;&gt;"",AND(L238&lt;&gt;"",LOWER(L238)&lt;&gt;"none"),R238="Declared interest with enforceable firewall",S238="Conditional precommitment with disclosed limits",T238="Material assistance disclosed and separated",W238="Material shared-model generation disclosed",Z238="Not applicable with recorded rationale"),"Adequate with declared controls","Adequate"))))))</f>
        <v/>
      </c>
      <c r="P238">
        <f>IF(AND(O238="",N238=""),"",IF(AND(O238&lt;&gt;"",N238=""),"UNRECORDED",IF(AND(O238="",N238&lt;&gt;""),"ORPHAN_RECORDED",IF(O238=N238,"MATCH","MISMATCH"))))</f>
        <v/>
      </c>
      <c r="X238" s="303">
        <f>IF(COUNTA(E238:J238)+COUNTA(R238:T238)+COUNTA(V238:W238)+COUNTA(Y238:AA238)=0,"",IF(AND(COUNTIF(Vocabulary!$S$5:$S$8,E238)=1,COUNTIF(Vocabulary!$T$5:$T$8,F238)=1,COUNTIF(Vocabulary!$U$5:$U$8,G238)=1,COUNTIF(Vocabulary!$J$5:$J$6,H238)=1,COUNTIF(Vocabulary!$J$5:$J$6,I238)=1,COUNTIF(Vocabulary!$J$5:$J$6,J238)=1,COUNTIF(Vocabulary!$W$5:$W$8,R238)=1,COUNTIF(Vocabulary!$X$5:$X$8,S238)=1,COUNTIF(Vocabulary!$Y$5:$Y$9,T238)=1,COUNTIF(Vocabulary!$Z$5:$Z$8,V238)=1,COUNTIF(Vocabulary!$AA$5:$AA$9,W238)=1,COUNTIF(Vocabulary!$AB$5:$AB$7,Y238)=1,COUNTIF(Vocabulary!$AC$5:$AC$8,Z238)=1,COUNTIF(Vocabulary!$AD$5:$AD$7,AA238)=1),"OK","UNRECOGNISED_CONTROL_VALUE"))</f>
        <v/>
      </c>
      <c r="Y238" s="303" t="n"/>
      <c r="Z238" s="303" t="n"/>
      <c r="AA238" s="303" t="n"/>
    </row>
    <row r="239">
      <c r="O239">
        <f>IF(COUNTA(A239:N239)+COUNTA(Q239:W239)+COUNTA(Y239:AA239)=0,"",IF(OR(LEN(TRIM(A239))=0,LEN(TRIM(B239))=0,LEN(TRIM(C239))=0,LEN(TRIM(D239))=0,LEN(TRIM(E239))=0,LEN(TRIM(F239))=0,LEN(TRIM(G239))=0,LEN(TRIM(H239))=0,LEN(TRIM(I239))=0,LEN(TRIM(J239))=0,LEN(TRIM(R239))=0,LEN(TRIM(S239))=0,LEN(TRIM(T239))=0,LEN(TRIM(V239))=0,LEN(TRIM(W239))=0,LEN(TRIM(Y239))=0,LEN(TRIM(Z239))=0,LEN(TRIM(AA239))=0),"Indeterminate",IF(X239&lt;&gt;"OK","Indeterminate",IF(OR(E239="Indeterminate",F239="Indeterminate",G239="Indeterminate",R239="Indeterminate",S239="Indeterminate",T239="Indeterminate",V239="Indeterminate",W239="Indeterminate",Y239="Indeterminate",Z239="Indeterminate",AA239="Indeterminate"),"Indeterminate",IF(OR(E239="Sponsor controlled - invalid",F239="Sponsor veto - invalid",G239="Sponsor/candidate controlled - invalid",H239&lt;&gt;"Yes",I239&lt;&gt;"Yes",J239&lt;&gt;"Yes",R239="Predetermined outcome - invalid",S239="No credible precommitment",T239="Material assistance undisclosed",V239="Missing",V239="Changed after unblinding",W239="Material shared-model generation undisclosed",Y239="No protected reporting channel",Z239="No anonymity/confidentiality protection",AA239="No anti-retaliation safeguard"),"Inadequate",IF(OR(E239="Joint with firewall",F239="Independent with security redaction only",G239="Joint with public rules",K239&lt;&gt;"",AND(L239&lt;&gt;"",LOWER(L239)&lt;&gt;"none"),R239="Declared interest with enforceable firewall",S239="Conditional precommitment with disclosed limits",T239="Material assistance disclosed and separated",W239="Material shared-model generation disclosed",Z239="Not applicable with recorded rationale"),"Adequate with declared controls","Adequate"))))))</f>
        <v/>
      </c>
      <c r="P239">
        <f>IF(AND(O239="",N239=""),"",IF(AND(O239&lt;&gt;"",N239=""),"UNRECORDED",IF(AND(O239="",N239&lt;&gt;""),"ORPHAN_RECORDED",IF(O239=N239,"MATCH","MISMATCH"))))</f>
        <v/>
      </c>
      <c r="X239" s="303">
        <f>IF(COUNTA(E239:J239)+COUNTA(R239:T239)+COUNTA(V239:W239)+COUNTA(Y239:AA239)=0,"",IF(AND(COUNTIF(Vocabulary!$S$5:$S$8,E239)=1,COUNTIF(Vocabulary!$T$5:$T$8,F239)=1,COUNTIF(Vocabulary!$U$5:$U$8,G239)=1,COUNTIF(Vocabulary!$J$5:$J$6,H239)=1,COUNTIF(Vocabulary!$J$5:$J$6,I239)=1,COUNTIF(Vocabulary!$J$5:$J$6,J239)=1,COUNTIF(Vocabulary!$W$5:$W$8,R239)=1,COUNTIF(Vocabulary!$X$5:$X$8,S239)=1,COUNTIF(Vocabulary!$Y$5:$Y$9,T239)=1,COUNTIF(Vocabulary!$Z$5:$Z$8,V239)=1,COUNTIF(Vocabulary!$AA$5:$AA$9,W239)=1,COUNTIF(Vocabulary!$AB$5:$AB$7,Y239)=1,COUNTIF(Vocabulary!$AC$5:$AC$8,Z239)=1,COUNTIF(Vocabulary!$AD$5:$AD$7,AA239)=1),"OK","UNRECOGNISED_CONTROL_VALUE"))</f>
        <v/>
      </c>
      <c r="Y239" s="303" t="n"/>
      <c r="Z239" s="303" t="n"/>
      <c r="AA239" s="303" t="n"/>
    </row>
    <row r="240">
      <c r="O240">
        <f>IF(COUNTA(A240:N240)+COUNTA(Q240:W240)+COUNTA(Y240:AA240)=0,"",IF(OR(LEN(TRIM(A240))=0,LEN(TRIM(B240))=0,LEN(TRIM(C240))=0,LEN(TRIM(D240))=0,LEN(TRIM(E240))=0,LEN(TRIM(F240))=0,LEN(TRIM(G240))=0,LEN(TRIM(H240))=0,LEN(TRIM(I240))=0,LEN(TRIM(J240))=0,LEN(TRIM(R240))=0,LEN(TRIM(S240))=0,LEN(TRIM(T240))=0,LEN(TRIM(V240))=0,LEN(TRIM(W240))=0,LEN(TRIM(Y240))=0,LEN(TRIM(Z240))=0,LEN(TRIM(AA240))=0),"Indeterminate",IF(X240&lt;&gt;"OK","Indeterminate",IF(OR(E240="Indeterminate",F240="Indeterminate",G240="Indeterminate",R240="Indeterminate",S240="Indeterminate",T240="Indeterminate",V240="Indeterminate",W240="Indeterminate",Y240="Indeterminate",Z240="Indeterminate",AA240="Indeterminate"),"Indeterminate",IF(OR(E240="Sponsor controlled - invalid",F240="Sponsor veto - invalid",G240="Sponsor/candidate controlled - invalid",H240&lt;&gt;"Yes",I240&lt;&gt;"Yes",J240&lt;&gt;"Yes",R240="Predetermined outcome - invalid",S240="No credible precommitment",T240="Material assistance undisclosed",V240="Missing",V240="Changed after unblinding",W240="Material shared-model generation undisclosed",Y240="No protected reporting channel",Z240="No anonymity/confidentiality protection",AA240="No anti-retaliation safeguard"),"Inadequate",IF(OR(E240="Joint with firewall",F240="Independent with security redaction only",G240="Joint with public rules",K240&lt;&gt;"",AND(L240&lt;&gt;"",LOWER(L240)&lt;&gt;"none"),R240="Declared interest with enforceable firewall",S240="Conditional precommitment with disclosed limits",T240="Material assistance disclosed and separated",W240="Material shared-model generation disclosed",Z240="Not applicable with recorded rationale"),"Adequate with declared controls","Adequate"))))))</f>
        <v/>
      </c>
      <c r="P240">
        <f>IF(AND(O240="",N240=""),"",IF(AND(O240&lt;&gt;"",N240=""),"UNRECORDED",IF(AND(O240="",N240&lt;&gt;""),"ORPHAN_RECORDED",IF(O240=N240,"MATCH","MISMATCH"))))</f>
        <v/>
      </c>
      <c r="X240" s="303">
        <f>IF(COUNTA(E240:J240)+COUNTA(R240:T240)+COUNTA(V240:W240)+COUNTA(Y240:AA240)=0,"",IF(AND(COUNTIF(Vocabulary!$S$5:$S$8,E240)=1,COUNTIF(Vocabulary!$T$5:$T$8,F240)=1,COUNTIF(Vocabulary!$U$5:$U$8,G240)=1,COUNTIF(Vocabulary!$J$5:$J$6,H240)=1,COUNTIF(Vocabulary!$J$5:$J$6,I240)=1,COUNTIF(Vocabulary!$J$5:$J$6,J240)=1,COUNTIF(Vocabulary!$W$5:$W$8,R240)=1,COUNTIF(Vocabulary!$X$5:$X$8,S240)=1,COUNTIF(Vocabulary!$Y$5:$Y$9,T240)=1,COUNTIF(Vocabulary!$Z$5:$Z$8,V240)=1,COUNTIF(Vocabulary!$AA$5:$AA$9,W240)=1,COUNTIF(Vocabulary!$AB$5:$AB$7,Y240)=1,COUNTIF(Vocabulary!$AC$5:$AC$8,Z240)=1,COUNTIF(Vocabulary!$AD$5:$AD$7,AA240)=1),"OK","UNRECOGNISED_CONTROL_VALUE"))</f>
        <v/>
      </c>
      <c r="Y240" s="303" t="n"/>
      <c r="Z240" s="303" t="n"/>
      <c r="AA240" s="303" t="n"/>
    </row>
    <row r="241">
      <c r="O241">
        <f>IF(COUNTA(A241:N241)+COUNTA(Q241:W241)+COUNTA(Y241:AA241)=0,"",IF(OR(LEN(TRIM(A241))=0,LEN(TRIM(B241))=0,LEN(TRIM(C241))=0,LEN(TRIM(D241))=0,LEN(TRIM(E241))=0,LEN(TRIM(F241))=0,LEN(TRIM(G241))=0,LEN(TRIM(H241))=0,LEN(TRIM(I241))=0,LEN(TRIM(J241))=0,LEN(TRIM(R241))=0,LEN(TRIM(S241))=0,LEN(TRIM(T241))=0,LEN(TRIM(V241))=0,LEN(TRIM(W241))=0,LEN(TRIM(Y241))=0,LEN(TRIM(Z241))=0,LEN(TRIM(AA241))=0),"Indeterminate",IF(X241&lt;&gt;"OK","Indeterminate",IF(OR(E241="Indeterminate",F241="Indeterminate",G241="Indeterminate",R241="Indeterminate",S241="Indeterminate",T241="Indeterminate",V241="Indeterminate",W241="Indeterminate",Y241="Indeterminate",Z241="Indeterminate",AA241="Indeterminate"),"Indeterminate",IF(OR(E241="Sponsor controlled - invalid",F241="Sponsor veto - invalid",G241="Sponsor/candidate controlled - invalid",H241&lt;&gt;"Yes",I241&lt;&gt;"Yes",J241&lt;&gt;"Yes",R241="Predetermined outcome - invalid",S241="No credible precommitment",T241="Material assistance undisclosed",V241="Missing",V241="Changed after unblinding",W241="Material shared-model generation undisclosed",Y241="No protected reporting channel",Z241="No anonymity/confidentiality protection",AA241="No anti-retaliation safeguard"),"Inadequate",IF(OR(E241="Joint with firewall",F241="Independent with security redaction only",G241="Joint with public rules",K241&lt;&gt;"",AND(L241&lt;&gt;"",LOWER(L241)&lt;&gt;"none"),R241="Declared interest with enforceable firewall",S241="Conditional precommitment with disclosed limits",T241="Material assistance disclosed and separated",W241="Material shared-model generation disclosed",Z241="Not applicable with recorded rationale"),"Adequate with declared controls","Adequate"))))))</f>
        <v/>
      </c>
      <c r="P241">
        <f>IF(AND(O241="",N241=""),"",IF(AND(O241&lt;&gt;"",N241=""),"UNRECORDED",IF(AND(O241="",N241&lt;&gt;""),"ORPHAN_RECORDED",IF(O241=N241,"MATCH","MISMATCH"))))</f>
        <v/>
      </c>
      <c r="X241" s="303">
        <f>IF(COUNTA(E241:J241)+COUNTA(R241:T241)+COUNTA(V241:W241)+COUNTA(Y241:AA241)=0,"",IF(AND(COUNTIF(Vocabulary!$S$5:$S$8,E241)=1,COUNTIF(Vocabulary!$T$5:$T$8,F241)=1,COUNTIF(Vocabulary!$U$5:$U$8,G241)=1,COUNTIF(Vocabulary!$J$5:$J$6,H241)=1,COUNTIF(Vocabulary!$J$5:$J$6,I241)=1,COUNTIF(Vocabulary!$J$5:$J$6,J241)=1,COUNTIF(Vocabulary!$W$5:$W$8,R241)=1,COUNTIF(Vocabulary!$X$5:$X$8,S241)=1,COUNTIF(Vocabulary!$Y$5:$Y$9,T241)=1,COUNTIF(Vocabulary!$Z$5:$Z$8,V241)=1,COUNTIF(Vocabulary!$AA$5:$AA$9,W241)=1,COUNTIF(Vocabulary!$AB$5:$AB$7,Y241)=1,COUNTIF(Vocabulary!$AC$5:$AC$8,Z241)=1,COUNTIF(Vocabulary!$AD$5:$AD$7,AA241)=1),"OK","UNRECOGNISED_CONTROL_VALUE"))</f>
        <v/>
      </c>
      <c r="Y241" s="303" t="n"/>
      <c r="Z241" s="303" t="n"/>
      <c r="AA241" s="303" t="n"/>
    </row>
    <row r="242">
      <c r="O242">
        <f>IF(COUNTA(A242:N242)+COUNTA(Q242:W242)+COUNTA(Y242:AA242)=0,"",IF(OR(LEN(TRIM(A242))=0,LEN(TRIM(B242))=0,LEN(TRIM(C242))=0,LEN(TRIM(D242))=0,LEN(TRIM(E242))=0,LEN(TRIM(F242))=0,LEN(TRIM(G242))=0,LEN(TRIM(H242))=0,LEN(TRIM(I242))=0,LEN(TRIM(J242))=0,LEN(TRIM(R242))=0,LEN(TRIM(S242))=0,LEN(TRIM(T242))=0,LEN(TRIM(V242))=0,LEN(TRIM(W242))=0,LEN(TRIM(Y242))=0,LEN(TRIM(Z242))=0,LEN(TRIM(AA242))=0),"Indeterminate",IF(X242&lt;&gt;"OK","Indeterminate",IF(OR(E242="Indeterminate",F242="Indeterminate",G242="Indeterminate",R242="Indeterminate",S242="Indeterminate",T242="Indeterminate",V242="Indeterminate",W242="Indeterminate",Y242="Indeterminate",Z242="Indeterminate",AA242="Indeterminate"),"Indeterminate",IF(OR(E242="Sponsor controlled - invalid",F242="Sponsor veto - invalid",G242="Sponsor/candidate controlled - invalid",H242&lt;&gt;"Yes",I242&lt;&gt;"Yes",J242&lt;&gt;"Yes",R242="Predetermined outcome - invalid",S242="No credible precommitment",T242="Material assistance undisclosed",V242="Missing",V242="Changed after unblinding",W242="Material shared-model generation undisclosed",Y242="No protected reporting channel",Z242="No anonymity/confidentiality protection",AA242="No anti-retaliation safeguard"),"Inadequate",IF(OR(E242="Joint with firewall",F242="Independent with security redaction only",G242="Joint with public rules",K242&lt;&gt;"",AND(L242&lt;&gt;"",LOWER(L242)&lt;&gt;"none"),R242="Declared interest with enforceable firewall",S242="Conditional precommitment with disclosed limits",T242="Material assistance disclosed and separated",W242="Material shared-model generation disclosed",Z242="Not applicable with recorded rationale"),"Adequate with declared controls","Adequate"))))))</f>
        <v/>
      </c>
      <c r="P242">
        <f>IF(AND(O242="",N242=""),"",IF(AND(O242&lt;&gt;"",N242=""),"UNRECORDED",IF(AND(O242="",N242&lt;&gt;""),"ORPHAN_RECORDED",IF(O242=N242,"MATCH","MISMATCH"))))</f>
        <v/>
      </c>
      <c r="X242" s="303">
        <f>IF(COUNTA(E242:J242)+COUNTA(R242:T242)+COUNTA(V242:W242)+COUNTA(Y242:AA242)=0,"",IF(AND(COUNTIF(Vocabulary!$S$5:$S$8,E242)=1,COUNTIF(Vocabulary!$T$5:$T$8,F242)=1,COUNTIF(Vocabulary!$U$5:$U$8,G242)=1,COUNTIF(Vocabulary!$J$5:$J$6,H242)=1,COUNTIF(Vocabulary!$J$5:$J$6,I242)=1,COUNTIF(Vocabulary!$J$5:$J$6,J242)=1,COUNTIF(Vocabulary!$W$5:$W$8,R242)=1,COUNTIF(Vocabulary!$X$5:$X$8,S242)=1,COUNTIF(Vocabulary!$Y$5:$Y$9,T242)=1,COUNTIF(Vocabulary!$Z$5:$Z$8,V242)=1,COUNTIF(Vocabulary!$AA$5:$AA$9,W242)=1,COUNTIF(Vocabulary!$AB$5:$AB$7,Y242)=1,COUNTIF(Vocabulary!$AC$5:$AC$8,Z242)=1,COUNTIF(Vocabulary!$AD$5:$AD$7,AA242)=1),"OK","UNRECOGNISED_CONTROL_VALUE"))</f>
        <v/>
      </c>
      <c r="Y242" s="303" t="n"/>
      <c r="Z242" s="303" t="n"/>
      <c r="AA242" s="303" t="n"/>
    </row>
    <row r="243">
      <c r="O243">
        <f>IF(COUNTA(A243:N243)+COUNTA(Q243:W243)+COUNTA(Y243:AA243)=0,"",IF(OR(LEN(TRIM(A243))=0,LEN(TRIM(B243))=0,LEN(TRIM(C243))=0,LEN(TRIM(D243))=0,LEN(TRIM(E243))=0,LEN(TRIM(F243))=0,LEN(TRIM(G243))=0,LEN(TRIM(H243))=0,LEN(TRIM(I243))=0,LEN(TRIM(J243))=0,LEN(TRIM(R243))=0,LEN(TRIM(S243))=0,LEN(TRIM(T243))=0,LEN(TRIM(V243))=0,LEN(TRIM(W243))=0,LEN(TRIM(Y243))=0,LEN(TRIM(Z243))=0,LEN(TRIM(AA243))=0),"Indeterminate",IF(X243&lt;&gt;"OK","Indeterminate",IF(OR(E243="Indeterminate",F243="Indeterminate",G243="Indeterminate",R243="Indeterminate",S243="Indeterminate",T243="Indeterminate",V243="Indeterminate",W243="Indeterminate",Y243="Indeterminate",Z243="Indeterminate",AA243="Indeterminate"),"Indeterminate",IF(OR(E243="Sponsor controlled - invalid",F243="Sponsor veto - invalid",G243="Sponsor/candidate controlled - invalid",H243&lt;&gt;"Yes",I243&lt;&gt;"Yes",J243&lt;&gt;"Yes",R243="Predetermined outcome - invalid",S243="No credible precommitment",T243="Material assistance undisclosed",V243="Missing",V243="Changed after unblinding",W243="Material shared-model generation undisclosed",Y243="No protected reporting channel",Z243="No anonymity/confidentiality protection",AA243="No anti-retaliation safeguard"),"Inadequate",IF(OR(E243="Joint with firewall",F243="Independent with security redaction only",G243="Joint with public rules",K243&lt;&gt;"",AND(L243&lt;&gt;"",LOWER(L243)&lt;&gt;"none"),R243="Declared interest with enforceable firewall",S243="Conditional precommitment with disclosed limits",T243="Material assistance disclosed and separated",W243="Material shared-model generation disclosed",Z243="Not applicable with recorded rationale"),"Adequate with declared controls","Adequate"))))))</f>
        <v/>
      </c>
      <c r="P243">
        <f>IF(AND(O243="",N243=""),"",IF(AND(O243&lt;&gt;"",N243=""),"UNRECORDED",IF(AND(O243="",N243&lt;&gt;""),"ORPHAN_RECORDED",IF(O243=N243,"MATCH","MISMATCH"))))</f>
        <v/>
      </c>
      <c r="X243" s="303">
        <f>IF(COUNTA(E243:J243)+COUNTA(R243:T243)+COUNTA(V243:W243)+COUNTA(Y243:AA243)=0,"",IF(AND(COUNTIF(Vocabulary!$S$5:$S$8,E243)=1,COUNTIF(Vocabulary!$T$5:$T$8,F243)=1,COUNTIF(Vocabulary!$U$5:$U$8,G243)=1,COUNTIF(Vocabulary!$J$5:$J$6,H243)=1,COUNTIF(Vocabulary!$J$5:$J$6,I243)=1,COUNTIF(Vocabulary!$J$5:$J$6,J243)=1,COUNTIF(Vocabulary!$W$5:$W$8,R243)=1,COUNTIF(Vocabulary!$X$5:$X$8,S243)=1,COUNTIF(Vocabulary!$Y$5:$Y$9,T243)=1,COUNTIF(Vocabulary!$Z$5:$Z$8,V243)=1,COUNTIF(Vocabulary!$AA$5:$AA$9,W243)=1,COUNTIF(Vocabulary!$AB$5:$AB$7,Y243)=1,COUNTIF(Vocabulary!$AC$5:$AC$8,Z243)=1,COUNTIF(Vocabulary!$AD$5:$AD$7,AA243)=1),"OK","UNRECOGNISED_CONTROL_VALUE"))</f>
        <v/>
      </c>
      <c r="Y243" s="303" t="n"/>
      <c r="Z243" s="303" t="n"/>
      <c r="AA243" s="303" t="n"/>
    </row>
    <row r="244">
      <c r="O244">
        <f>IF(COUNTA(A244:N244)+COUNTA(Q244:W244)+COUNTA(Y244:AA244)=0,"",IF(OR(LEN(TRIM(A244))=0,LEN(TRIM(B244))=0,LEN(TRIM(C244))=0,LEN(TRIM(D244))=0,LEN(TRIM(E244))=0,LEN(TRIM(F244))=0,LEN(TRIM(G244))=0,LEN(TRIM(H244))=0,LEN(TRIM(I244))=0,LEN(TRIM(J244))=0,LEN(TRIM(R244))=0,LEN(TRIM(S244))=0,LEN(TRIM(T244))=0,LEN(TRIM(V244))=0,LEN(TRIM(W244))=0,LEN(TRIM(Y244))=0,LEN(TRIM(Z244))=0,LEN(TRIM(AA244))=0),"Indeterminate",IF(X244&lt;&gt;"OK","Indeterminate",IF(OR(E244="Indeterminate",F244="Indeterminate",G244="Indeterminate",R244="Indeterminate",S244="Indeterminate",T244="Indeterminate",V244="Indeterminate",W244="Indeterminate",Y244="Indeterminate",Z244="Indeterminate",AA244="Indeterminate"),"Indeterminate",IF(OR(E244="Sponsor controlled - invalid",F244="Sponsor veto - invalid",G244="Sponsor/candidate controlled - invalid",H244&lt;&gt;"Yes",I244&lt;&gt;"Yes",J244&lt;&gt;"Yes",R244="Predetermined outcome - invalid",S244="No credible precommitment",T244="Material assistance undisclosed",V244="Missing",V244="Changed after unblinding",W244="Material shared-model generation undisclosed",Y244="No protected reporting channel",Z244="No anonymity/confidentiality protection",AA244="No anti-retaliation safeguard"),"Inadequate",IF(OR(E244="Joint with firewall",F244="Independent with security redaction only",G244="Joint with public rules",K244&lt;&gt;"",AND(L244&lt;&gt;"",LOWER(L244)&lt;&gt;"none"),R244="Declared interest with enforceable firewall",S244="Conditional precommitment with disclosed limits",T244="Material assistance disclosed and separated",W244="Material shared-model generation disclosed",Z244="Not applicable with recorded rationale"),"Adequate with declared controls","Adequate"))))))</f>
        <v/>
      </c>
      <c r="P244">
        <f>IF(AND(O244="",N244=""),"",IF(AND(O244&lt;&gt;"",N244=""),"UNRECORDED",IF(AND(O244="",N244&lt;&gt;""),"ORPHAN_RECORDED",IF(O244=N244,"MATCH","MISMATCH"))))</f>
        <v/>
      </c>
      <c r="X244" s="303">
        <f>IF(COUNTA(E244:J244)+COUNTA(R244:T244)+COUNTA(V244:W244)+COUNTA(Y244:AA244)=0,"",IF(AND(COUNTIF(Vocabulary!$S$5:$S$8,E244)=1,COUNTIF(Vocabulary!$T$5:$T$8,F244)=1,COUNTIF(Vocabulary!$U$5:$U$8,G244)=1,COUNTIF(Vocabulary!$J$5:$J$6,H244)=1,COUNTIF(Vocabulary!$J$5:$J$6,I244)=1,COUNTIF(Vocabulary!$J$5:$J$6,J244)=1,COUNTIF(Vocabulary!$W$5:$W$8,R244)=1,COUNTIF(Vocabulary!$X$5:$X$8,S244)=1,COUNTIF(Vocabulary!$Y$5:$Y$9,T244)=1,COUNTIF(Vocabulary!$Z$5:$Z$8,V244)=1,COUNTIF(Vocabulary!$AA$5:$AA$9,W244)=1,COUNTIF(Vocabulary!$AB$5:$AB$7,Y244)=1,COUNTIF(Vocabulary!$AC$5:$AC$8,Z244)=1,COUNTIF(Vocabulary!$AD$5:$AD$7,AA244)=1),"OK","UNRECOGNISED_CONTROL_VALUE"))</f>
        <v/>
      </c>
      <c r="Y244" s="303" t="n"/>
      <c r="Z244" s="303" t="n"/>
      <c r="AA244" s="303" t="n"/>
    </row>
    <row r="245">
      <c r="O245">
        <f>IF(COUNTA(A245:N245)+COUNTA(Q245:W245)+COUNTA(Y245:AA245)=0,"",IF(OR(LEN(TRIM(A245))=0,LEN(TRIM(B245))=0,LEN(TRIM(C245))=0,LEN(TRIM(D245))=0,LEN(TRIM(E245))=0,LEN(TRIM(F245))=0,LEN(TRIM(G245))=0,LEN(TRIM(H245))=0,LEN(TRIM(I245))=0,LEN(TRIM(J245))=0,LEN(TRIM(R245))=0,LEN(TRIM(S245))=0,LEN(TRIM(T245))=0,LEN(TRIM(V245))=0,LEN(TRIM(W245))=0,LEN(TRIM(Y245))=0,LEN(TRIM(Z245))=0,LEN(TRIM(AA245))=0),"Indeterminate",IF(X245&lt;&gt;"OK","Indeterminate",IF(OR(E245="Indeterminate",F245="Indeterminate",G245="Indeterminate",R245="Indeterminate",S245="Indeterminate",T245="Indeterminate",V245="Indeterminate",W245="Indeterminate",Y245="Indeterminate",Z245="Indeterminate",AA245="Indeterminate"),"Indeterminate",IF(OR(E245="Sponsor controlled - invalid",F245="Sponsor veto - invalid",G245="Sponsor/candidate controlled - invalid",H245&lt;&gt;"Yes",I245&lt;&gt;"Yes",J245&lt;&gt;"Yes",R245="Predetermined outcome - invalid",S245="No credible precommitment",T245="Material assistance undisclosed",V245="Missing",V245="Changed after unblinding",W245="Material shared-model generation undisclosed",Y245="No protected reporting channel",Z245="No anonymity/confidentiality protection",AA245="No anti-retaliation safeguard"),"Inadequate",IF(OR(E245="Joint with firewall",F245="Independent with security redaction only",G245="Joint with public rules",K245&lt;&gt;"",AND(L245&lt;&gt;"",LOWER(L245)&lt;&gt;"none"),R245="Declared interest with enforceable firewall",S245="Conditional precommitment with disclosed limits",T245="Material assistance disclosed and separated",W245="Material shared-model generation disclosed",Z245="Not applicable with recorded rationale"),"Adequate with declared controls","Adequate"))))))</f>
        <v/>
      </c>
      <c r="P245">
        <f>IF(AND(O245="",N245=""),"",IF(AND(O245&lt;&gt;"",N245=""),"UNRECORDED",IF(AND(O245="",N245&lt;&gt;""),"ORPHAN_RECORDED",IF(O245=N245,"MATCH","MISMATCH"))))</f>
        <v/>
      </c>
      <c r="X245" s="303">
        <f>IF(COUNTA(E245:J245)+COUNTA(R245:T245)+COUNTA(V245:W245)+COUNTA(Y245:AA245)=0,"",IF(AND(COUNTIF(Vocabulary!$S$5:$S$8,E245)=1,COUNTIF(Vocabulary!$T$5:$T$8,F245)=1,COUNTIF(Vocabulary!$U$5:$U$8,G245)=1,COUNTIF(Vocabulary!$J$5:$J$6,H245)=1,COUNTIF(Vocabulary!$J$5:$J$6,I245)=1,COUNTIF(Vocabulary!$J$5:$J$6,J245)=1,COUNTIF(Vocabulary!$W$5:$W$8,R245)=1,COUNTIF(Vocabulary!$X$5:$X$8,S245)=1,COUNTIF(Vocabulary!$Y$5:$Y$9,T245)=1,COUNTIF(Vocabulary!$Z$5:$Z$8,V245)=1,COUNTIF(Vocabulary!$AA$5:$AA$9,W245)=1,COUNTIF(Vocabulary!$AB$5:$AB$7,Y245)=1,COUNTIF(Vocabulary!$AC$5:$AC$8,Z245)=1,COUNTIF(Vocabulary!$AD$5:$AD$7,AA245)=1),"OK","UNRECOGNISED_CONTROL_VALUE"))</f>
        <v/>
      </c>
      <c r="Y245" s="303" t="n"/>
      <c r="Z245" s="303" t="n"/>
      <c r="AA245" s="303" t="n"/>
    </row>
    <row r="246">
      <c r="O246">
        <f>IF(COUNTA(A246:N246)+COUNTA(Q246:W246)+COUNTA(Y246:AA246)=0,"",IF(OR(LEN(TRIM(A246))=0,LEN(TRIM(B246))=0,LEN(TRIM(C246))=0,LEN(TRIM(D246))=0,LEN(TRIM(E246))=0,LEN(TRIM(F246))=0,LEN(TRIM(G246))=0,LEN(TRIM(H246))=0,LEN(TRIM(I246))=0,LEN(TRIM(J246))=0,LEN(TRIM(R246))=0,LEN(TRIM(S246))=0,LEN(TRIM(T246))=0,LEN(TRIM(V246))=0,LEN(TRIM(W246))=0,LEN(TRIM(Y246))=0,LEN(TRIM(Z246))=0,LEN(TRIM(AA246))=0),"Indeterminate",IF(X246&lt;&gt;"OK","Indeterminate",IF(OR(E246="Indeterminate",F246="Indeterminate",G246="Indeterminate",R246="Indeterminate",S246="Indeterminate",T246="Indeterminate",V246="Indeterminate",W246="Indeterminate",Y246="Indeterminate",Z246="Indeterminate",AA246="Indeterminate"),"Indeterminate",IF(OR(E246="Sponsor controlled - invalid",F246="Sponsor veto - invalid",G246="Sponsor/candidate controlled - invalid",H246&lt;&gt;"Yes",I246&lt;&gt;"Yes",J246&lt;&gt;"Yes",R246="Predetermined outcome - invalid",S246="No credible precommitment",T246="Material assistance undisclosed",V246="Missing",V246="Changed after unblinding",W246="Material shared-model generation undisclosed",Y246="No protected reporting channel",Z246="No anonymity/confidentiality protection",AA246="No anti-retaliation safeguard"),"Inadequate",IF(OR(E246="Joint with firewall",F246="Independent with security redaction only",G246="Joint with public rules",K246&lt;&gt;"",AND(L246&lt;&gt;"",LOWER(L246)&lt;&gt;"none"),R246="Declared interest with enforceable firewall",S246="Conditional precommitment with disclosed limits",T246="Material assistance disclosed and separated",W246="Material shared-model generation disclosed",Z246="Not applicable with recorded rationale"),"Adequate with declared controls","Adequate"))))))</f>
        <v/>
      </c>
      <c r="P246">
        <f>IF(AND(O246="",N246=""),"",IF(AND(O246&lt;&gt;"",N246=""),"UNRECORDED",IF(AND(O246="",N246&lt;&gt;""),"ORPHAN_RECORDED",IF(O246=N246,"MATCH","MISMATCH"))))</f>
        <v/>
      </c>
      <c r="X246" s="303">
        <f>IF(COUNTA(E246:J246)+COUNTA(R246:T246)+COUNTA(V246:W246)+COUNTA(Y246:AA246)=0,"",IF(AND(COUNTIF(Vocabulary!$S$5:$S$8,E246)=1,COUNTIF(Vocabulary!$T$5:$T$8,F246)=1,COUNTIF(Vocabulary!$U$5:$U$8,G246)=1,COUNTIF(Vocabulary!$J$5:$J$6,H246)=1,COUNTIF(Vocabulary!$J$5:$J$6,I246)=1,COUNTIF(Vocabulary!$J$5:$J$6,J246)=1,COUNTIF(Vocabulary!$W$5:$W$8,R246)=1,COUNTIF(Vocabulary!$X$5:$X$8,S246)=1,COUNTIF(Vocabulary!$Y$5:$Y$9,T246)=1,COUNTIF(Vocabulary!$Z$5:$Z$8,V246)=1,COUNTIF(Vocabulary!$AA$5:$AA$9,W246)=1,COUNTIF(Vocabulary!$AB$5:$AB$7,Y246)=1,COUNTIF(Vocabulary!$AC$5:$AC$8,Z246)=1,COUNTIF(Vocabulary!$AD$5:$AD$7,AA246)=1),"OK","UNRECOGNISED_CONTROL_VALUE"))</f>
        <v/>
      </c>
      <c r="Y246" s="303" t="n"/>
      <c r="Z246" s="303" t="n"/>
      <c r="AA246" s="303" t="n"/>
    </row>
    <row r="247">
      <c r="O247">
        <f>IF(COUNTA(A247:N247)+COUNTA(Q247:W247)+COUNTA(Y247:AA247)=0,"",IF(OR(LEN(TRIM(A247))=0,LEN(TRIM(B247))=0,LEN(TRIM(C247))=0,LEN(TRIM(D247))=0,LEN(TRIM(E247))=0,LEN(TRIM(F247))=0,LEN(TRIM(G247))=0,LEN(TRIM(H247))=0,LEN(TRIM(I247))=0,LEN(TRIM(J247))=0,LEN(TRIM(R247))=0,LEN(TRIM(S247))=0,LEN(TRIM(T247))=0,LEN(TRIM(V247))=0,LEN(TRIM(W247))=0,LEN(TRIM(Y247))=0,LEN(TRIM(Z247))=0,LEN(TRIM(AA247))=0),"Indeterminate",IF(X247&lt;&gt;"OK","Indeterminate",IF(OR(E247="Indeterminate",F247="Indeterminate",G247="Indeterminate",R247="Indeterminate",S247="Indeterminate",T247="Indeterminate",V247="Indeterminate",W247="Indeterminate",Y247="Indeterminate",Z247="Indeterminate",AA247="Indeterminate"),"Indeterminate",IF(OR(E247="Sponsor controlled - invalid",F247="Sponsor veto - invalid",G247="Sponsor/candidate controlled - invalid",H247&lt;&gt;"Yes",I247&lt;&gt;"Yes",J247&lt;&gt;"Yes",R247="Predetermined outcome - invalid",S247="No credible precommitment",T247="Material assistance undisclosed",V247="Missing",V247="Changed after unblinding",W247="Material shared-model generation undisclosed",Y247="No protected reporting channel",Z247="No anonymity/confidentiality protection",AA247="No anti-retaliation safeguard"),"Inadequate",IF(OR(E247="Joint with firewall",F247="Independent with security redaction only",G247="Joint with public rules",K247&lt;&gt;"",AND(L247&lt;&gt;"",LOWER(L247)&lt;&gt;"none"),R247="Declared interest with enforceable firewall",S247="Conditional precommitment with disclosed limits",T247="Material assistance disclosed and separated",W247="Material shared-model generation disclosed",Z247="Not applicable with recorded rationale"),"Adequate with declared controls","Adequate"))))))</f>
        <v/>
      </c>
      <c r="P247">
        <f>IF(AND(O247="",N247=""),"",IF(AND(O247&lt;&gt;"",N247=""),"UNRECORDED",IF(AND(O247="",N247&lt;&gt;""),"ORPHAN_RECORDED",IF(O247=N247,"MATCH","MISMATCH"))))</f>
        <v/>
      </c>
      <c r="X247" s="303">
        <f>IF(COUNTA(E247:J247)+COUNTA(R247:T247)+COUNTA(V247:W247)+COUNTA(Y247:AA247)=0,"",IF(AND(COUNTIF(Vocabulary!$S$5:$S$8,E247)=1,COUNTIF(Vocabulary!$T$5:$T$8,F247)=1,COUNTIF(Vocabulary!$U$5:$U$8,G247)=1,COUNTIF(Vocabulary!$J$5:$J$6,H247)=1,COUNTIF(Vocabulary!$J$5:$J$6,I247)=1,COUNTIF(Vocabulary!$J$5:$J$6,J247)=1,COUNTIF(Vocabulary!$W$5:$W$8,R247)=1,COUNTIF(Vocabulary!$X$5:$X$8,S247)=1,COUNTIF(Vocabulary!$Y$5:$Y$9,T247)=1,COUNTIF(Vocabulary!$Z$5:$Z$8,V247)=1,COUNTIF(Vocabulary!$AA$5:$AA$9,W247)=1,COUNTIF(Vocabulary!$AB$5:$AB$7,Y247)=1,COUNTIF(Vocabulary!$AC$5:$AC$8,Z247)=1,COUNTIF(Vocabulary!$AD$5:$AD$7,AA247)=1),"OK","UNRECOGNISED_CONTROL_VALUE"))</f>
        <v/>
      </c>
      <c r="Y247" s="303" t="n"/>
      <c r="Z247" s="303" t="n"/>
      <c r="AA247" s="303" t="n"/>
    </row>
    <row r="248">
      <c r="O248">
        <f>IF(COUNTA(A248:N248)+COUNTA(Q248:W248)+COUNTA(Y248:AA248)=0,"",IF(OR(LEN(TRIM(A248))=0,LEN(TRIM(B248))=0,LEN(TRIM(C248))=0,LEN(TRIM(D248))=0,LEN(TRIM(E248))=0,LEN(TRIM(F248))=0,LEN(TRIM(G248))=0,LEN(TRIM(H248))=0,LEN(TRIM(I248))=0,LEN(TRIM(J248))=0,LEN(TRIM(R248))=0,LEN(TRIM(S248))=0,LEN(TRIM(T248))=0,LEN(TRIM(V248))=0,LEN(TRIM(W248))=0,LEN(TRIM(Y248))=0,LEN(TRIM(Z248))=0,LEN(TRIM(AA248))=0),"Indeterminate",IF(X248&lt;&gt;"OK","Indeterminate",IF(OR(E248="Indeterminate",F248="Indeterminate",G248="Indeterminate",R248="Indeterminate",S248="Indeterminate",T248="Indeterminate",V248="Indeterminate",W248="Indeterminate",Y248="Indeterminate",Z248="Indeterminate",AA248="Indeterminate"),"Indeterminate",IF(OR(E248="Sponsor controlled - invalid",F248="Sponsor veto - invalid",G248="Sponsor/candidate controlled - invalid",H248&lt;&gt;"Yes",I248&lt;&gt;"Yes",J248&lt;&gt;"Yes",R248="Predetermined outcome - invalid",S248="No credible precommitment",T248="Material assistance undisclosed",V248="Missing",V248="Changed after unblinding",W248="Material shared-model generation undisclosed",Y248="No protected reporting channel",Z248="No anonymity/confidentiality protection",AA248="No anti-retaliation safeguard"),"Inadequate",IF(OR(E248="Joint with firewall",F248="Independent with security redaction only",G248="Joint with public rules",K248&lt;&gt;"",AND(L248&lt;&gt;"",LOWER(L248)&lt;&gt;"none"),R248="Declared interest with enforceable firewall",S248="Conditional precommitment with disclosed limits",T248="Material assistance disclosed and separated",W248="Material shared-model generation disclosed",Z248="Not applicable with recorded rationale"),"Adequate with declared controls","Adequate"))))))</f>
        <v/>
      </c>
      <c r="P248">
        <f>IF(AND(O248="",N248=""),"",IF(AND(O248&lt;&gt;"",N248=""),"UNRECORDED",IF(AND(O248="",N248&lt;&gt;""),"ORPHAN_RECORDED",IF(O248=N248,"MATCH","MISMATCH"))))</f>
        <v/>
      </c>
      <c r="X248" s="303">
        <f>IF(COUNTA(E248:J248)+COUNTA(R248:T248)+COUNTA(V248:W248)+COUNTA(Y248:AA248)=0,"",IF(AND(COUNTIF(Vocabulary!$S$5:$S$8,E248)=1,COUNTIF(Vocabulary!$T$5:$T$8,F248)=1,COUNTIF(Vocabulary!$U$5:$U$8,G248)=1,COUNTIF(Vocabulary!$J$5:$J$6,H248)=1,COUNTIF(Vocabulary!$J$5:$J$6,I248)=1,COUNTIF(Vocabulary!$J$5:$J$6,J248)=1,COUNTIF(Vocabulary!$W$5:$W$8,R248)=1,COUNTIF(Vocabulary!$X$5:$X$8,S248)=1,COUNTIF(Vocabulary!$Y$5:$Y$9,T248)=1,COUNTIF(Vocabulary!$Z$5:$Z$8,V248)=1,COUNTIF(Vocabulary!$AA$5:$AA$9,W248)=1,COUNTIF(Vocabulary!$AB$5:$AB$7,Y248)=1,COUNTIF(Vocabulary!$AC$5:$AC$8,Z248)=1,COUNTIF(Vocabulary!$AD$5:$AD$7,AA248)=1),"OK","UNRECOGNISED_CONTROL_VALUE"))</f>
        <v/>
      </c>
      <c r="Y248" s="303" t="n"/>
      <c r="Z248" s="303" t="n"/>
      <c r="AA248" s="303" t="n"/>
    </row>
    <row r="249">
      <c r="O249">
        <f>IF(COUNTA(A249:N249)+COUNTA(Q249:W249)+COUNTA(Y249:AA249)=0,"",IF(OR(LEN(TRIM(A249))=0,LEN(TRIM(B249))=0,LEN(TRIM(C249))=0,LEN(TRIM(D249))=0,LEN(TRIM(E249))=0,LEN(TRIM(F249))=0,LEN(TRIM(G249))=0,LEN(TRIM(H249))=0,LEN(TRIM(I249))=0,LEN(TRIM(J249))=0,LEN(TRIM(R249))=0,LEN(TRIM(S249))=0,LEN(TRIM(T249))=0,LEN(TRIM(V249))=0,LEN(TRIM(W249))=0,LEN(TRIM(Y249))=0,LEN(TRIM(Z249))=0,LEN(TRIM(AA249))=0),"Indeterminate",IF(X249&lt;&gt;"OK","Indeterminate",IF(OR(E249="Indeterminate",F249="Indeterminate",G249="Indeterminate",R249="Indeterminate",S249="Indeterminate",T249="Indeterminate",V249="Indeterminate",W249="Indeterminate",Y249="Indeterminate",Z249="Indeterminate",AA249="Indeterminate"),"Indeterminate",IF(OR(E249="Sponsor controlled - invalid",F249="Sponsor veto - invalid",G249="Sponsor/candidate controlled - invalid",H249&lt;&gt;"Yes",I249&lt;&gt;"Yes",J249&lt;&gt;"Yes",R249="Predetermined outcome - invalid",S249="No credible precommitment",T249="Material assistance undisclosed",V249="Missing",V249="Changed after unblinding",W249="Material shared-model generation undisclosed",Y249="No protected reporting channel",Z249="No anonymity/confidentiality protection",AA249="No anti-retaliation safeguard"),"Inadequate",IF(OR(E249="Joint with firewall",F249="Independent with security redaction only",G249="Joint with public rules",K249&lt;&gt;"",AND(L249&lt;&gt;"",LOWER(L249)&lt;&gt;"none"),R249="Declared interest with enforceable firewall",S249="Conditional precommitment with disclosed limits",T249="Material assistance disclosed and separated",W249="Material shared-model generation disclosed",Z249="Not applicable with recorded rationale"),"Adequate with declared controls","Adequate"))))))</f>
        <v/>
      </c>
      <c r="P249">
        <f>IF(AND(O249="",N249=""),"",IF(AND(O249&lt;&gt;"",N249=""),"UNRECORDED",IF(AND(O249="",N249&lt;&gt;""),"ORPHAN_RECORDED",IF(O249=N249,"MATCH","MISMATCH"))))</f>
        <v/>
      </c>
      <c r="X249" s="303">
        <f>IF(COUNTA(E249:J249)+COUNTA(R249:T249)+COUNTA(V249:W249)+COUNTA(Y249:AA249)=0,"",IF(AND(COUNTIF(Vocabulary!$S$5:$S$8,E249)=1,COUNTIF(Vocabulary!$T$5:$T$8,F249)=1,COUNTIF(Vocabulary!$U$5:$U$8,G249)=1,COUNTIF(Vocabulary!$J$5:$J$6,H249)=1,COUNTIF(Vocabulary!$J$5:$J$6,I249)=1,COUNTIF(Vocabulary!$J$5:$J$6,J249)=1,COUNTIF(Vocabulary!$W$5:$W$8,R249)=1,COUNTIF(Vocabulary!$X$5:$X$8,S249)=1,COUNTIF(Vocabulary!$Y$5:$Y$9,T249)=1,COUNTIF(Vocabulary!$Z$5:$Z$8,V249)=1,COUNTIF(Vocabulary!$AA$5:$AA$9,W249)=1,COUNTIF(Vocabulary!$AB$5:$AB$7,Y249)=1,COUNTIF(Vocabulary!$AC$5:$AC$8,Z249)=1,COUNTIF(Vocabulary!$AD$5:$AD$7,AA249)=1),"OK","UNRECOGNISED_CONTROL_VALUE"))</f>
        <v/>
      </c>
      <c r="Y249" s="303" t="n"/>
      <c r="Z249" s="303" t="n"/>
      <c r="AA249" s="303" t="n"/>
    </row>
    <row r="250">
      <c r="O250">
        <f>IF(COUNTA(A250:N250)+COUNTA(Q250:W250)+COUNTA(Y250:AA250)=0,"",IF(OR(LEN(TRIM(A250))=0,LEN(TRIM(B250))=0,LEN(TRIM(C250))=0,LEN(TRIM(D250))=0,LEN(TRIM(E250))=0,LEN(TRIM(F250))=0,LEN(TRIM(G250))=0,LEN(TRIM(H250))=0,LEN(TRIM(I250))=0,LEN(TRIM(J250))=0,LEN(TRIM(R250))=0,LEN(TRIM(S250))=0,LEN(TRIM(T250))=0,LEN(TRIM(V250))=0,LEN(TRIM(W250))=0,LEN(TRIM(Y250))=0,LEN(TRIM(Z250))=0,LEN(TRIM(AA250))=0),"Indeterminate",IF(X250&lt;&gt;"OK","Indeterminate",IF(OR(E250="Indeterminate",F250="Indeterminate",G250="Indeterminate",R250="Indeterminate",S250="Indeterminate",T250="Indeterminate",V250="Indeterminate",W250="Indeterminate",Y250="Indeterminate",Z250="Indeterminate",AA250="Indeterminate"),"Indeterminate",IF(OR(E250="Sponsor controlled - invalid",F250="Sponsor veto - invalid",G250="Sponsor/candidate controlled - invalid",H250&lt;&gt;"Yes",I250&lt;&gt;"Yes",J250&lt;&gt;"Yes",R250="Predetermined outcome - invalid",S250="No credible precommitment",T250="Material assistance undisclosed",V250="Missing",V250="Changed after unblinding",W250="Material shared-model generation undisclosed",Y250="No protected reporting channel",Z250="No anonymity/confidentiality protection",AA250="No anti-retaliation safeguard"),"Inadequate",IF(OR(E250="Joint with firewall",F250="Independent with security redaction only",G250="Joint with public rules",K250&lt;&gt;"",AND(L250&lt;&gt;"",LOWER(L250)&lt;&gt;"none"),R250="Declared interest with enforceable firewall",S250="Conditional precommitment with disclosed limits",T250="Material assistance disclosed and separated",W250="Material shared-model generation disclosed",Z250="Not applicable with recorded rationale"),"Adequate with declared controls","Adequate"))))))</f>
        <v/>
      </c>
      <c r="P250">
        <f>IF(AND(O250="",N250=""),"",IF(AND(O250&lt;&gt;"",N250=""),"UNRECORDED",IF(AND(O250="",N250&lt;&gt;""),"ORPHAN_RECORDED",IF(O250=N250,"MATCH","MISMATCH"))))</f>
        <v/>
      </c>
      <c r="X250" s="303">
        <f>IF(COUNTA(E250:J250)+COUNTA(R250:T250)+COUNTA(V250:W250)+COUNTA(Y250:AA250)=0,"",IF(AND(COUNTIF(Vocabulary!$S$5:$S$8,E250)=1,COUNTIF(Vocabulary!$T$5:$T$8,F250)=1,COUNTIF(Vocabulary!$U$5:$U$8,G250)=1,COUNTIF(Vocabulary!$J$5:$J$6,H250)=1,COUNTIF(Vocabulary!$J$5:$J$6,I250)=1,COUNTIF(Vocabulary!$J$5:$J$6,J250)=1,COUNTIF(Vocabulary!$W$5:$W$8,R250)=1,COUNTIF(Vocabulary!$X$5:$X$8,S250)=1,COUNTIF(Vocabulary!$Y$5:$Y$9,T250)=1,COUNTIF(Vocabulary!$Z$5:$Z$8,V250)=1,COUNTIF(Vocabulary!$AA$5:$AA$9,W250)=1,COUNTIF(Vocabulary!$AB$5:$AB$7,Y250)=1,COUNTIF(Vocabulary!$AC$5:$AC$8,Z250)=1,COUNTIF(Vocabulary!$AD$5:$AD$7,AA250)=1),"OK","UNRECOGNISED_CONTROL_VALUE"))</f>
        <v/>
      </c>
      <c r="Y250" s="303" t="n"/>
      <c r="Z250" s="303" t="n"/>
      <c r="AA250" s="303" t="n"/>
    </row>
  </sheetData>
  <mergeCells count="1">
    <mergeCell ref="A1:AA1"/>
  </mergeCells>
  <conditionalFormatting sqref="P4:P60">
    <cfRule type="expression" priority="1" dxfId="1">
      <formula>P4="MATCH"</formula>
    </cfRule>
    <cfRule type="expression" priority="2" dxfId="0">
      <formula>OR(P4="MISMATCH",P4="UNRECORDED",P4="ORPHAN_RECORDED")</formula>
    </cfRule>
  </conditionalFormatting>
  <conditionalFormatting sqref="P4:P250">
    <cfRule type="expression" priority="3" dxfId="0">
      <formula>OR(P4="MISMATCH",P4="UNRECORDED",P4="ORPHAN_RECORDED")</formula>
    </cfRule>
  </conditionalFormatting>
  <conditionalFormatting sqref="X4:X250">
    <cfRule type="expression" priority="4" dxfId="0">
      <formula>X4="UNRECOGNISED_CONTROL_VALUE"</formula>
    </cfRule>
  </conditionalFormatting>
  <conditionalFormatting sqref="O4:O250">
    <cfRule type="expression" priority="5" dxfId="0">
      <formula>O4="Inadequate"</formula>
    </cfRule>
    <cfRule type="expression" priority="6" dxfId="32">
      <formula>O4="Indeterminate"</formula>
    </cfRule>
  </conditionalFormatting>
  <dataValidations count="30">
    <dataValidation sqref="E4:E60" showDropDown="0" showInputMessage="0" showErrorMessage="1" allowBlank="0" errorTitle="Invalid data-control value" error="Select an exact controlled value from the Vocabulary sheet." type="list" errorStyle="stop">
      <formula1>INDIRECT("Vocabulary!$S$5:$S$8")</formula1>
    </dataValidation>
    <dataValidation sqref="F4:F60" showDropDown="0" showInputMessage="0" showErrorMessage="1" allowBlank="0" errorTitle="Invalid publication-control value" error="Select an exact controlled value from the Vocabulary sheet." type="list" errorStyle="stop">
      <formula1>INDIRECT("Vocabulary!$T$5:$T$8")</formula1>
    </dataValidation>
    <dataValidation sqref="G4:G60" showDropDown="0" showInputMessage="0" showErrorMessage="1" allowBlank="0" errorTitle="Invalid reviewer-selection value" error="Select an exact controlled value from the Vocabulary sheet." type="list" errorStyle="stop">
      <formula1>INDIRECT("Vocabulary!$U$5:$U$8")</formula1>
    </dataValidation>
    <dataValidation sqref="H4:H60" showDropDown="0" showInputMessage="0" showErrorMessage="1" allowBlank="0" errorTitle="Invalid protected-dissent value" error="Select an exact controlled value from the Vocabulary sheet." type="list" errorStyle="stop">
      <formula1>INDIRECT("Vocabulary!$J$5:$J$6")</formula1>
    </dataValidation>
    <dataValidation sqref="I4:I60" showDropDown="0" showInputMessage="0" showErrorMessage="1" allowBlank="0" errorTitle="Invalid null/adverse-publication value" error="Select an exact controlled value from the Vocabulary sheet." type="list" errorStyle="stop">
      <formula1>INDIRECT("Vocabulary!$J$5:$J$6")</formula1>
    </dataValidation>
    <dataValidation sqref="J4:J60" showDropDown="0" showInputMessage="0" showErrorMessage="1" allowBlank="0" errorTitle="Invalid affected-party-representation value" error="Select an exact controlled value from the Vocabulary sheet." type="list" errorStyle="stop">
      <formula1>INDIRECT("Vocabulary!$J$5:$J$6")</formula1>
    </dataValidation>
    <dataValidation sqref="N4:N60" showDropDown="0" showInputMessage="0" showErrorMessage="1" allowBlank="0" errorTitle="Invalid recorded independence status" error="Select an exact controlled value from the Vocabulary sheet." type="list" errorStyle="stop">
      <formula1>INDIRECT("Vocabulary!$V$5:$V$8")</formula1>
    </dataValidation>
    <dataValidation sqref="V4:V60" showDropDown="0" showInputMessage="0" showErrorMessage="1" allowBlank="0" errorTitle="Invalid scenario-set status" error="Select an exact controlled value from the Vocabulary sheet." type="list" errorStyle="stop">
      <formula1>INDIRECT("Vocabulary!$Z$5:$Z$8")</formula1>
    </dataValidation>
    <dataValidation sqref="W4:W60" showDropDown="0" showInputMessage="0" showErrorMessage="1" allowBlank="0" errorTitle="Invalid shared-model status" error="Select an exact controlled value from the Vocabulary sheet." type="list" errorStyle="stop">
      <formula1>INDIRECT("Vocabulary!$AA$5:$AA$9")</formula1>
    </dataValidation>
    <dataValidation sqref="R4:R60" showDropDown="0" showInputMessage="0" showErrorMessage="1" allowBlank="0" errorTitle="Invalid host-interest value" error="Select an exact controlled value from the Vocabulary sheet." type="list" errorStyle="stop">
      <formula1>INDIRECT("Vocabulary!$W$5:$W$8")</formula1>
    </dataValidation>
    <dataValidation sqref="S4:S60" showDropDown="0" showInputMessage="0" showErrorMessage="1" allowBlank="0" errorTitle="Invalid host-precommitment value" error="Select an exact controlled value from the Vocabulary sheet." type="list" errorStyle="stop">
      <formula1>INDIRECT("Vocabulary!$X$5:$X$8")</formula1>
    </dataValidation>
    <dataValidation sqref="T4:T60" showDropDown="0" showInputMessage="0" showErrorMessage="1" allowBlank="0" errorTitle="Invalid AI-assistance-policy value" error="Select an exact controlled value from the Vocabulary sheet." type="list" errorStyle="stop">
      <formula1>INDIRECT("Vocabulary!$Y$5:$Y$9")</formula1>
    </dataValidation>
    <dataValidation sqref="Y4:Y60" showDropDown="0" showInputMessage="0" showErrorMessage="1" allowBlank="0" errorTitle="Invalid protected-reporting value" error="Select an exact controlled value from the Vocabulary sheet." type="list" errorStyle="stop">
      <formula1>INDIRECT("Vocabulary!$AB$5:$AB$7")</formula1>
    </dataValidation>
    <dataValidation sqref="Z4:Z60" showDropDown="0" showInputMessage="0" showErrorMessage="1" allowBlank="0" errorTitle="Invalid confidentiality value" error="Select an exact controlled value from the Vocabulary sheet." type="list" errorStyle="stop">
      <formula1>INDIRECT("Vocabulary!$AC$5:$AC$8")</formula1>
    </dataValidation>
    <dataValidation sqref="AA4:AA60" showDropDown="0" showInputMessage="0" showErrorMessage="1" allowBlank="0" errorTitle="Invalid anti-retaliation value" error="Select an exact controlled value from the Vocabulary sheet." type="list" errorStyle="stop">
      <formula1>INDIRECT("Vocabulary!$AD$5:$AD$7")</formula1>
    </dataValidation>
    <dataValidation sqref="E4:E250" showDropDown="0" showInputMessage="0" showErrorMessage="1" allowBlank="0" errorTitle="Invalid data-control value" error="Select an exact controlled value from the Vocabulary sheet." type="list" errorStyle="stop">
      <formula1>INDIRECT("Vocabulary!$S$5:$S$8")</formula1>
    </dataValidation>
    <dataValidation sqref="F4:F250" showDropDown="0" showInputMessage="0" showErrorMessage="1" allowBlank="0" errorTitle="Invalid publication-control value" error="Select an exact controlled value from the Vocabulary sheet." type="list" errorStyle="stop">
      <formula1>INDIRECT("Vocabulary!$T$5:$T$8")</formula1>
    </dataValidation>
    <dataValidation sqref="G4:G250" showDropDown="0" showInputMessage="0" showErrorMessage="1" allowBlank="0" errorTitle="Invalid reviewer-selection value" error="Select an exact controlled value from the Vocabulary sheet." type="list" errorStyle="stop">
      <formula1>INDIRECT("Vocabulary!$U$5:$U$8")</formula1>
    </dataValidation>
    <dataValidation sqref="H4:H250" showDropDown="0" showInputMessage="0" showErrorMessage="1" allowBlank="0" errorTitle="Invalid protected-dissent value" error="Select an exact controlled value from the Vocabulary sheet." type="list" errorStyle="stop">
      <formula1>INDIRECT("Vocabulary!$J$5:$J$6")</formula1>
    </dataValidation>
    <dataValidation sqref="I4:I250" showDropDown="0" showInputMessage="0" showErrorMessage="1" allowBlank="0" errorTitle="Invalid null/adverse-publication value" error="Select an exact controlled value from the Vocabulary sheet." type="list" errorStyle="stop">
      <formula1>INDIRECT("Vocabulary!$J$5:$J$6")</formula1>
    </dataValidation>
    <dataValidation sqref="J4:J250" showDropDown="0" showInputMessage="0" showErrorMessage="1" allowBlank="0" errorTitle="Invalid affected-party-representation value" error="Select an exact controlled value from the Vocabulary sheet." type="list" errorStyle="stop">
      <formula1>INDIRECT("Vocabulary!$J$5:$J$6")</formula1>
    </dataValidation>
    <dataValidation sqref="N4:N250" showDropDown="0" showInputMessage="0" showErrorMessage="1" allowBlank="0" errorTitle="Invalid recorded independence status" error="Select an exact controlled value from the Vocabulary sheet." type="list" errorStyle="stop">
      <formula1>INDIRECT("Vocabulary!$V$5:$V$8")</formula1>
    </dataValidation>
    <dataValidation sqref="R4:R250" showDropDown="0" showInputMessage="0" showErrorMessage="1" allowBlank="0" errorTitle="Invalid host-interest value" error="Select an exact controlled value from the Vocabulary sheet." type="list" errorStyle="stop">
      <formula1>INDIRECT("Vocabulary!$W$5:$W$8")</formula1>
    </dataValidation>
    <dataValidation sqref="S4:S250" showDropDown="0" showInputMessage="0" showErrorMessage="1" allowBlank="0" errorTitle="Invalid host-precommitment value" error="Select an exact controlled value from the Vocabulary sheet." type="list" errorStyle="stop">
      <formula1>INDIRECT("Vocabulary!$X$5:$X$8")</formula1>
    </dataValidation>
    <dataValidation sqref="T4:T250" showDropDown="0" showInputMessage="0" showErrorMessage="1" allowBlank="0" errorTitle="Invalid AI-assistance-policy value" error="Select an exact controlled value from the Vocabulary sheet." type="list" errorStyle="stop">
      <formula1>INDIRECT("Vocabulary!$Y$5:$Y$9")</formula1>
    </dataValidation>
    <dataValidation sqref="V4:V250" showDropDown="0" showInputMessage="0" showErrorMessage="1" allowBlank="0" errorTitle="Invalid scenario-set status" error="Select an exact controlled value from the Vocabulary sheet." type="list" errorStyle="stop">
      <formula1>INDIRECT("Vocabulary!$Z$5:$Z$8")</formula1>
    </dataValidation>
    <dataValidation sqref="W4:W250" showDropDown="0" showInputMessage="0" showErrorMessage="1" allowBlank="0" errorTitle="Invalid shared-model status" error="Select an exact controlled value from the Vocabulary sheet." type="list" errorStyle="stop">
      <formula1>INDIRECT("Vocabulary!$AA$5:$AA$9")</formula1>
    </dataValidation>
    <dataValidation sqref="Y4:Y250" showDropDown="0" showInputMessage="0" showErrorMessage="1" allowBlank="0" errorTitle="Invalid protected-reporting value" error="Select an exact controlled value from the Vocabulary sheet." type="list" errorStyle="stop">
      <formula1>INDIRECT("Vocabulary!$AB$5:$AB$7")</formula1>
    </dataValidation>
    <dataValidation sqref="Z4:Z250" showDropDown="0" showInputMessage="0" showErrorMessage="1" allowBlank="0" errorTitle="Invalid confidentiality value" error="Select an exact controlled value from the Vocabulary sheet." type="list" errorStyle="stop">
      <formula1>INDIRECT("Vocabulary!$AC$5:$AC$8")</formula1>
    </dataValidation>
    <dataValidation sqref="AA4:AA250" showDropDown="0" showInputMessage="0" showErrorMessage="1" allowBlank="0" errorTitle="Invalid anti-retaliation value" error="Select an exact controlled value from the Vocabulary sheet." type="list" errorStyle="stop">
      <formula1>INDIRECT("Vocabulary!$AD$5:$AD$7")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0"/>
  <sheetViews>
    <sheetView workbookViewId="0">
      <selection activeCell="A1" sqref="A1"/>
    </sheetView>
  </sheetViews>
  <sheetFormatPr baseColWidth="8" defaultRowHeight="15"/>
  <cols>
    <col width="17" customWidth="1" style="215" min="1" max="1"/>
    <col width="20" customWidth="1" style="215" min="2" max="2"/>
    <col width="22" customWidth="1" style="215" min="3" max="3"/>
    <col width="20" customWidth="1" style="215" min="4" max="4"/>
    <col width="20" customWidth="1" style="215" min="5" max="5"/>
    <col width="24" customWidth="1" style="215" min="6" max="6"/>
    <col width="24" customWidth="1" style="215" min="7" max="7"/>
    <col width="20" customWidth="1" style="215" min="8" max="8"/>
    <col width="20" customWidth="1" style="215" min="9" max="9"/>
    <col width="20" customWidth="1" style="215" min="10" max="10"/>
    <col width="20" customWidth="1" style="215" min="11" max="11"/>
    <col width="22" customWidth="1" style="215" min="12" max="12"/>
    <col width="22" customWidth="1" style="215" min="13" max="13"/>
    <col width="22" customWidth="1" style="215" min="14" max="14"/>
    <col width="34" customWidth="1" style="215" min="15" max="15"/>
    <col width="30" customWidth="1" style="215" min="16" max="16"/>
    <col width="30" customWidth="1" style="215" min="17" max="17"/>
    <col width="14" customWidth="1" style="215" min="18" max="18"/>
    <col width="16" customWidth="1" style="215" min="19" max="19"/>
    <col width="16" customWidth="1" style="215" min="20" max="20"/>
    <col width="22" customWidth="1" style="215" min="21" max="21"/>
    <col width="22" customWidth="1" style="215" min="22" max="22"/>
    <col width="24" customWidth="1" style="215" min="23" max="23"/>
    <col width="26" customWidth="1" style="215" min="24" max="24"/>
    <col width="30" customWidth="1" style="215" min="25" max="25"/>
    <col width="22" customWidth="1" style="215" min="26" max="26"/>
    <col width="22" customWidth="1" style="215" min="27" max="27"/>
    <col width="28" customWidth="1" style="215" min="28" max="28"/>
    <col width="30" customWidth="1" style="215" min="29" max="29"/>
    <col width="24" customWidth="1" style="215" min="30" max="30"/>
  </cols>
  <sheetData>
    <row r="1" ht="28" customHeight="1" s="215">
      <c r="A1" s="536" t="inlineStr">
        <is>
          <t>Burden, Capacity, Access, Translation, Custody, and Governance Gate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  <c r="U1" s="442" t="n"/>
      <c r="V1" s="442" t="n"/>
      <c r="W1" s="442" t="n"/>
      <c r="X1" s="442" t="n"/>
      <c r="Y1" s="442" t="n"/>
      <c r="Z1" s="442" t="n"/>
      <c r="AA1" s="442" t="n"/>
      <c r="AB1" s="442" t="n"/>
      <c r="AC1" s="442" t="n"/>
      <c r="AD1" s="442" t="n"/>
    </row>
    <row r="2"/>
    <row r="3" ht="34" customHeight="1" s="215">
      <c r="A3" s="421" t="inlineStr">
        <is>
          <t>Record_ID</t>
        </is>
      </c>
      <c r="B3" s="421" t="inlineStr">
        <is>
          <t>Case_ID</t>
        </is>
      </c>
      <c r="C3" s="421" t="inlineStr">
        <is>
          <t>Profile</t>
        </is>
      </c>
      <c r="D3" s="421" t="inlineStr">
        <is>
          <t>Reviewer_Hours_Available</t>
        </is>
      </c>
      <c r="E3" s="421" t="inlineStr">
        <is>
          <t>Reviewer_Hours_Required</t>
        </is>
      </c>
      <c r="F3" s="421" t="inlineStr">
        <is>
          <t>Adjudication_Hours_Available</t>
        </is>
      </c>
      <c r="G3" s="421" t="inlineStr">
        <is>
          <t>Adjudication_Hours_Required</t>
        </is>
      </c>
      <c r="H3" s="421" t="inlineStr">
        <is>
          <t>Calendar_Days_Available</t>
        </is>
      </c>
      <c r="I3" s="421" t="inlineStr">
        <is>
          <t>Calendar_Days_Required</t>
        </is>
      </c>
      <c r="J3" s="421" t="inlineStr">
        <is>
          <t>Qualified_Reviewers</t>
        </is>
      </c>
      <c r="K3" s="421" t="inlineStr">
        <is>
          <t>Minimum_Reviewers</t>
        </is>
      </c>
      <c r="L3" s="421" t="inlineStr">
        <is>
          <t>Access_Support_Required</t>
        </is>
      </c>
      <c r="M3" s="421" t="inlineStr">
        <is>
          <t>Access_Support_Funded</t>
        </is>
      </c>
      <c r="N3" s="421" t="inlineStr">
        <is>
          <t>Access_Support_Delivered</t>
        </is>
      </c>
      <c r="O3" s="421" t="inlineStr">
        <is>
          <t>Unmet_Access_Needs</t>
        </is>
      </c>
      <c r="P3" s="421" t="inlineStr">
        <is>
          <t>Derived_Feasibility</t>
        </is>
      </c>
      <c r="Q3" s="421" t="inlineStr">
        <is>
          <t>Recorded_Feasibility</t>
        </is>
      </c>
      <c r="R3" s="421" t="inlineStr">
        <is>
          <t>Status_Match</t>
        </is>
      </c>
      <c r="S3" s="421" t="inlineStr">
        <is>
          <t>Total_Hours</t>
        </is>
      </c>
      <c r="T3" s="421" t="inlineStr">
        <is>
          <t>Direct_Cost</t>
        </is>
      </c>
      <c r="U3" s="421" t="inlineStr">
        <is>
          <t>Uncompensated_Hours</t>
        </is>
      </c>
      <c r="V3" s="421" t="inlineStr">
        <is>
          <t>Reported_Burden_0_10</t>
        </is>
      </c>
      <c r="W3" s="421" t="inlineStr">
        <is>
          <t>Administration_Status</t>
        </is>
      </c>
      <c r="X3" s="421" t="inlineStr">
        <is>
          <t>Burden_Cohort</t>
        </is>
      </c>
      <c r="Y3" s="421" t="inlineStr">
        <is>
          <t>Interpretation_or_Translation_Required</t>
        </is>
      </c>
      <c r="Z3" s="421" t="inlineStr">
        <is>
          <t>Translation_Funded</t>
        </is>
      </c>
      <c r="AA3" s="421" t="inlineStr">
        <is>
          <t>Translation_Delivered</t>
        </is>
      </c>
      <c r="AB3" s="421" t="inlineStr">
        <is>
          <t>Evidence_Custody_Adequate</t>
        </is>
      </c>
      <c r="AC3" s="421" t="inlineStr">
        <is>
          <t>Governance_Capacity_Adequate</t>
        </is>
      </c>
      <c r="AD3" s="421" t="inlineStr">
        <is>
          <t>Vocabulary_Check</t>
        </is>
      </c>
    </row>
    <row r="4">
      <c r="A4" s="81" t="inlineStr">
        <is>
          <t>BDV-ILL-001</t>
        </is>
      </c>
      <c r="B4" s="356" t="inlineStr">
        <is>
          <t>CASE-ILL-001</t>
        </is>
      </c>
      <c r="C4" s="356" t="inlineStr">
        <is>
          <t>AF-Standard</t>
        </is>
      </c>
      <c r="D4" s="356" t="n">
        <v>24</v>
      </c>
      <c r="E4" s="356" t="n">
        <v>18</v>
      </c>
      <c r="F4" s="356" t="n">
        <v>8</v>
      </c>
      <c r="G4" s="356" t="n">
        <v>6</v>
      </c>
      <c r="H4" s="356" t="n">
        <v>20</v>
      </c>
      <c r="I4" s="356" t="n">
        <v>14</v>
      </c>
      <c r="J4" s="356" t="n">
        <v>4</v>
      </c>
      <c r="K4" s="356" t="n">
        <v>3</v>
      </c>
      <c r="L4" s="356" t="inlineStr">
        <is>
          <t>Yes</t>
        </is>
      </c>
      <c r="M4" s="356" t="inlineStr">
        <is>
          <t>Yes</t>
        </is>
      </c>
      <c r="N4" s="356" t="inlineStr">
        <is>
          <t>Yes</t>
        </is>
      </c>
      <c r="O4" s="356" t="str"/>
      <c r="P4" s="302">
        <f>IF(COUNTA(A4:O4)+COUNTA(Q4)+COUNTA(T4:W4)+COUNTA(Y4:AC4)=0,"",IF(OR(NOT(ISNUMBER(D4)),NOT(ISNUMBER(E4)),NOT(ISNUMBER(F4)),NOT(ISNUMBER(G4)),NOT(ISNUMBER(H4)),NOT(ISNUMBER(I4)),NOT(ISNUMBER(J4)),NOT(ISNUMBER(K4)),AD4&lt;&gt;"OK"),"Not feasible",IF(OR(D4&lt;E4,F4&lt;G4,H4&lt;I4,J4&lt;K4,AND(L4="Yes",OR(M4&lt;&gt;"Yes",N4&lt;&gt;"Yes")),AND(Y4="Yes",OR(Z4&lt;&gt;"Yes",AA4&lt;&gt;"Yes")),AB4&lt;&gt;"Yes",AC4&lt;&gt;"Yes"),"Not feasible",IF(OR(L4="Yes",Y4="Yes"),"Feasible with verified support","Feasible"))))</f>
        <v/>
      </c>
      <c r="Q4" s="356" t="inlineStr">
        <is>
          <t>Feasible with verified support</t>
        </is>
      </c>
      <c r="R4" s="302">
        <f>IF(AND(P4="",Q4=""),"",IF(AND(P4&lt;&gt;"",Q4=""),"UNRECORDED",IF(AND(P4="",Q4&lt;&gt;""),"ORPHAN_RECORDED",IF(P4=Q4,"MATCH","MISMATCH"))))</f>
        <v/>
      </c>
      <c r="S4" s="302">
        <f>IF(OR(NOT(ISNUMBER(E4)),NOT(ISNUMBER(G4))),"",E4+G4)</f>
        <v/>
      </c>
      <c r="T4" s="356" t="n">
        <v>620</v>
      </c>
      <c r="U4" s="356" t="n">
        <v>0</v>
      </c>
      <c r="V4" s="103" t="n">
        <v>5</v>
      </c>
      <c r="W4" s="253" t="inlineStr">
        <is>
          <t>Completed</t>
        </is>
      </c>
      <c r="X4" s="277">
        <f>IF(A4="","",IF(AND(W4="Completed",OR(P4="Feasible",P4="Feasible with verified support")),"Completed feasible",IF(OR(P4="Not feasible",W4="Stopped before rating",W4="Aborted during review"),"Infeasible or aborted","Incomplete")))</f>
        <v/>
      </c>
      <c r="Y4" s="303" t="inlineStr">
        <is>
          <t>No</t>
        </is>
      </c>
      <c r="Z4" s="303" t="inlineStr">
        <is>
          <t>Yes</t>
        </is>
      </c>
      <c r="AA4" s="303" t="inlineStr">
        <is>
          <t>Yes</t>
        </is>
      </c>
      <c r="AB4" s="303" t="inlineStr">
        <is>
          <t>Yes</t>
        </is>
      </c>
      <c r="AC4" s="303" t="inlineStr">
        <is>
          <t>Yes</t>
        </is>
      </c>
      <c r="AD4" s="303">
        <f>IF(COUNTA(A4:O4)+COUNTA(Q4)+COUNTA(T4:W4)+COUNTA(Y4:AC4)=0,"",IF(AND(COUNTIF(Vocabulary!$J$5:$J$6,L4)=1,COUNTIF(Vocabulary!$J$5:$J$6,M4)=1,COUNTIF(Vocabulary!$J$5:$J$6,N4)=1,COUNTIF(Vocabulary!$J$5:$J$6,Y4)=1,COUNTIF(Vocabulary!$J$5:$J$6,Z4)=1,COUNTIF(Vocabulary!$J$5:$J$6,AA4)=1,COUNTIF(Vocabulary!$J$5:$J$6,AB4)=1,COUNTIF(Vocabulary!$J$5:$J$6,AC4)=1),"OK","UNRECOGNISED_BURDEN_VALUE"))</f>
        <v/>
      </c>
    </row>
    <row r="5">
      <c r="A5" s="81" t="inlineStr">
        <is>
          <t>BDV-ILL-002</t>
        </is>
      </c>
      <c r="B5" s="356" t="inlineStr">
        <is>
          <t>CASE-ILL-FALSE-GREEN</t>
        </is>
      </c>
      <c r="C5" s="356" t="inlineStr">
        <is>
          <t>AF-Standard</t>
        </is>
      </c>
      <c r="D5" s="356" t="n">
        <v>24</v>
      </c>
      <c r="E5" s="356" t="n">
        <v>18</v>
      </c>
      <c r="F5" s="356" t="n">
        <v>8</v>
      </c>
      <c r="G5" s="356" t="n">
        <v>6</v>
      </c>
      <c r="H5" s="356" t="n">
        <v>5</v>
      </c>
      <c r="I5" s="356" t="n">
        <v>14</v>
      </c>
      <c r="J5" s="356" t="n">
        <v>1</v>
      </c>
      <c r="K5" s="356" t="n">
        <v>3</v>
      </c>
      <c r="L5" s="356" t="inlineStr">
        <is>
          <t>Yes</t>
        </is>
      </c>
      <c r="M5" s="356" t="inlineStr">
        <is>
          <t>Yes</t>
        </is>
      </c>
      <c r="N5" s="356" t="inlineStr">
        <is>
          <t>No</t>
        </is>
      </c>
      <c r="O5" s="356" t="inlineStr">
        <is>
          <t>Interpretation unavailable</t>
        </is>
      </c>
      <c r="P5" s="302">
        <f>IF(COUNTA(A5:O5)+COUNTA(Q5)+COUNTA(T5:W5)+COUNTA(Y5:AC5)=0,"",IF(OR(NOT(ISNUMBER(D5)),NOT(ISNUMBER(E5)),NOT(ISNUMBER(F5)),NOT(ISNUMBER(G5)),NOT(ISNUMBER(H5)),NOT(ISNUMBER(I5)),NOT(ISNUMBER(J5)),NOT(ISNUMBER(K5)),AD5&lt;&gt;"OK"),"Not feasible",IF(OR(D5&lt;E5,F5&lt;G5,H5&lt;I5,J5&lt;K5,AND(L5="Yes",OR(M5&lt;&gt;"Yes",N5&lt;&gt;"Yes")),AND(Y5="Yes",OR(Z5&lt;&gt;"Yes",AA5&lt;&gt;"Yes")),AB5&lt;&gt;"Yes",AC5&lt;&gt;"Yes"),"Not feasible",IF(OR(L5="Yes",Y5="Yes"),"Feasible with verified support","Feasible"))))</f>
        <v/>
      </c>
      <c r="Q5" s="356" t="inlineStr">
        <is>
          <t>Not feasible</t>
        </is>
      </c>
      <c r="R5" s="302">
        <f>IF(AND(P5="",Q5=""),"",IF(AND(P5&lt;&gt;"",Q5=""),"UNRECORDED",IF(AND(P5="",Q5&lt;&gt;""),"ORPHAN_RECORDED",IF(P5=Q5,"MATCH","MISMATCH"))))</f>
        <v/>
      </c>
      <c r="S5" s="302">
        <f>IF(OR(NOT(ISNUMBER(E5)),NOT(ISNUMBER(G5))),"",E5+G5)</f>
        <v/>
      </c>
      <c r="T5" s="356" t="n">
        <v>300</v>
      </c>
      <c r="U5" s="356" t="n">
        <v>8</v>
      </c>
      <c r="V5" s="103" t="n">
        <v>8</v>
      </c>
      <c r="W5" s="253" t="inlineStr">
        <is>
          <t>Stopped before rating</t>
        </is>
      </c>
      <c r="X5" s="277">
        <f>IF(A5="","",IF(AND(W5="Completed",OR(P5="Feasible",P5="Feasible with verified support")),"Completed feasible",IF(OR(P5="Not feasible",W5="Stopped before rating",W5="Aborted during review"),"Infeasible or aborted","Incomplete")))</f>
        <v/>
      </c>
      <c r="Y5" s="303" t="inlineStr">
        <is>
          <t>Yes</t>
        </is>
      </c>
      <c r="Z5" s="303" t="inlineStr">
        <is>
          <t>No</t>
        </is>
      </c>
      <c r="AA5" s="303" t="inlineStr">
        <is>
          <t>No</t>
        </is>
      </c>
      <c r="AB5" s="303" t="inlineStr">
        <is>
          <t>Yes</t>
        </is>
      </c>
      <c r="AC5" s="303" t="inlineStr">
        <is>
          <t>Yes</t>
        </is>
      </c>
      <c r="AD5" s="303">
        <f>IF(COUNTA(A5:O5)+COUNTA(Q5)+COUNTA(T5:W5)+COUNTA(Y5:AC5)=0,"",IF(AND(COUNTIF(Vocabulary!$J$5:$J$6,L5)=1,COUNTIF(Vocabulary!$J$5:$J$6,M5)=1,COUNTIF(Vocabulary!$J$5:$J$6,N5)=1,COUNTIF(Vocabulary!$J$5:$J$6,Y5)=1,COUNTIF(Vocabulary!$J$5:$J$6,Z5)=1,COUNTIF(Vocabulary!$J$5:$J$6,AA5)=1,COUNTIF(Vocabulary!$J$5:$J$6,AB5)=1,COUNTIF(Vocabulary!$J$5:$J$6,AC5)=1),"OK","UNRECOGNISED_BURDEN_VALUE"))</f>
        <v/>
      </c>
    </row>
    <row r="6">
      <c r="A6" s="81" t="n"/>
      <c r="B6" s="356" t="n"/>
      <c r="C6" s="356" t="n"/>
      <c r="D6" s="356" t="n"/>
      <c r="E6" s="356" t="n"/>
      <c r="F6" s="356" t="n"/>
      <c r="G6" s="356" t="n"/>
      <c r="H6" s="356" t="n"/>
      <c r="I6" s="356" t="n"/>
      <c r="J6" s="356" t="n"/>
      <c r="K6" s="356" t="n"/>
      <c r="L6" s="356" t="n"/>
      <c r="M6" s="356" t="n"/>
      <c r="N6" s="356" t="n"/>
      <c r="O6" s="356" t="n"/>
      <c r="P6" s="302">
        <f>IF(COUNTA(A6:O6)+COUNTA(Q6)+COUNTA(T6:W6)+COUNTA(Y6:AC6)=0,"",IF(OR(NOT(ISNUMBER(D6)),NOT(ISNUMBER(E6)),NOT(ISNUMBER(F6)),NOT(ISNUMBER(G6)),NOT(ISNUMBER(H6)),NOT(ISNUMBER(I6)),NOT(ISNUMBER(J6)),NOT(ISNUMBER(K6)),AD6&lt;&gt;"OK"),"Not feasible",IF(OR(D6&lt;E6,F6&lt;G6,H6&lt;I6,J6&lt;K6,AND(L6="Yes",OR(M6&lt;&gt;"Yes",N6&lt;&gt;"Yes")),AND(Y6="Yes",OR(Z6&lt;&gt;"Yes",AA6&lt;&gt;"Yes")),AB6&lt;&gt;"Yes",AC6&lt;&gt;"Yes"),"Not feasible",IF(OR(L6="Yes",Y6="Yes"),"Feasible with verified support","Feasible"))))</f>
        <v/>
      </c>
      <c r="Q6" s="356" t="n"/>
      <c r="R6" s="302">
        <f>IF(AND(P6="",Q6=""),"",IF(AND(P6&lt;&gt;"",Q6=""),"UNRECORDED",IF(AND(P6="",Q6&lt;&gt;""),"ORPHAN_RECORDED",IF(P6=Q6,"MATCH","MISMATCH"))))</f>
        <v/>
      </c>
      <c r="S6" s="302">
        <f>IF(OR(NOT(ISNUMBER(E6)),NOT(ISNUMBER(G6))),"",E6+G6)</f>
        <v/>
      </c>
      <c r="T6" s="356" t="n"/>
      <c r="U6" s="356" t="n"/>
      <c r="V6" s="103" t="n"/>
      <c r="W6" s="253" t="n"/>
      <c r="X6" s="277">
        <f>IF(A6="","",IF(AND(W6="Completed",OR(P6="Feasible",P6="Feasible with verified support")),"Completed feasible",IF(OR(P6="Not feasible",W6="Stopped before rating",W6="Aborted during review"),"Infeasible or aborted","Incomplete")))</f>
        <v/>
      </c>
      <c r="Y6" s="303" t="n"/>
      <c r="Z6" s="303" t="n"/>
      <c r="AA6" s="303" t="n"/>
      <c r="AB6" s="303" t="n"/>
      <c r="AC6" s="303" t="n"/>
      <c r="AD6" s="303">
        <f>IF(COUNTA(A6:O6)+COUNTA(Q6)+COUNTA(T6:W6)+COUNTA(Y6:AC6)=0,"",IF(AND(COUNTIF(Vocabulary!$J$5:$J$6,L6)=1,COUNTIF(Vocabulary!$J$5:$J$6,M6)=1,COUNTIF(Vocabulary!$J$5:$J$6,N6)=1,COUNTIF(Vocabulary!$J$5:$J$6,Y6)=1,COUNTIF(Vocabulary!$J$5:$J$6,Z6)=1,COUNTIF(Vocabulary!$J$5:$J$6,AA6)=1,COUNTIF(Vocabulary!$J$5:$J$6,AB6)=1,COUNTIF(Vocabulary!$J$5:$J$6,AC6)=1),"OK","UNRECOGNISED_BURDEN_VALUE"))</f>
        <v/>
      </c>
    </row>
    <row r="7">
      <c r="A7" s="81" t="n"/>
      <c r="B7" s="356" t="n"/>
      <c r="C7" s="356" t="n"/>
      <c r="D7" s="356" t="n"/>
      <c r="E7" s="356" t="n"/>
      <c r="F7" s="356" t="n"/>
      <c r="G7" s="356" t="n"/>
      <c r="H7" s="356" t="n"/>
      <c r="I7" s="356" t="n"/>
      <c r="J7" s="356" t="n"/>
      <c r="K7" s="356" t="n"/>
      <c r="L7" s="356" t="n"/>
      <c r="M7" s="356" t="n"/>
      <c r="N7" s="356" t="n"/>
      <c r="O7" s="356" t="n"/>
      <c r="P7" s="302">
        <f>IF(COUNTA(A7:O7)+COUNTA(Q7)+COUNTA(T7:W7)+COUNTA(Y7:AC7)=0,"",IF(OR(NOT(ISNUMBER(D7)),NOT(ISNUMBER(E7)),NOT(ISNUMBER(F7)),NOT(ISNUMBER(G7)),NOT(ISNUMBER(H7)),NOT(ISNUMBER(I7)),NOT(ISNUMBER(J7)),NOT(ISNUMBER(K7)),AD7&lt;&gt;"OK"),"Not feasible",IF(OR(D7&lt;E7,F7&lt;G7,H7&lt;I7,J7&lt;K7,AND(L7="Yes",OR(M7&lt;&gt;"Yes",N7&lt;&gt;"Yes")),AND(Y7="Yes",OR(Z7&lt;&gt;"Yes",AA7&lt;&gt;"Yes")),AB7&lt;&gt;"Yes",AC7&lt;&gt;"Yes"),"Not feasible",IF(OR(L7="Yes",Y7="Yes"),"Feasible with verified support","Feasible"))))</f>
        <v/>
      </c>
      <c r="Q7" s="356" t="n"/>
      <c r="R7" s="302">
        <f>IF(AND(P7="",Q7=""),"",IF(AND(P7&lt;&gt;"",Q7=""),"UNRECORDED",IF(AND(P7="",Q7&lt;&gt;""),"ORPHAN_RECORDED",IF(P7=Q7,"MATCH","MISMATCH"))))</f>
        <v/>
      </c>
      <c r="S7" s="302">
        <f>IF(OR(NOT(ISNUMBER(E7)),NOT(ISNUMBER(G7))),"",E7+G7)</f>
        <v/>
      </c>
      <c r="T7" s="356" t="n"/>
      <c r="U7" s="356" t="n"/>
      <c r="V7" s="103" t="n"/>
      <c r="W7" s="253" t="n"/>
      <c r="X7" s="277">
        <f>IF(A7="","",IF(AND(W7="Completed",OR(P7="Feasible",P7="Feasible with verified support")),"Completed feasible",IF(OR(P7="Not feasible",W7="Stopped before rating",W7="Aborted during review"),"Infeasible or aborted","Incomplete")))</f>
        <v/>
      </c>
      <c r="Y7" s="303" t="n"/>
      <c r="Z7" s="303" t="n"/>
      <c r="AA7" s="303" t="n"/>
      <c r="AB7" s="303" t="n"/>
      <c r="AC7" s="303" t="n"/>
      <c r="AD7" s="303">
        <f>IF(COUNTA(A7:O7)+COUNTA(Q7)+COUNTA(T7:W7)+COUNTA(Y7:AC7)=0,"",IF(AND(COUNTIF(Vocabulary!$J$5:$J$6,L7)=1,COUNTIF(Vocabulary!$J$5:$J$6,M7)=1,COUNTIF(Vocabulary!$J$5:$J$6,N7)=1,COUNTIF(Vocabulary!$J$5:$J$6,Y7)=1,COUNTIF(Vocabulary!$J$5:$J$6,Z7)=1,COUNTIF(Vocabulary!$J$5:$J$6,AA7)=1,COUNTIF(Vocabulary!$J$5:$J$6,AB7)=1,COUNTIF(Vocabulary!$J$5:$J$6,AC7)=1),"OK","UNRECOGNISED_BURDEN_VALUE"))</f>
        <v/>
      </c>
    </row>
    <row r="8">
      <c r="A8" s="81" t="n"/>
      <c r="B8" s="356" t="n"/>
      <c r="C8" s="356" t="n"/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56" t="n"/>
      <c r="P8" s="302">
        <f>IF(COUNTA(A8:O8)+COUNTA(Q8)+COUNTA(T8:W8)+COUNTA(Y8:AC8)=0,"",IF(OR(NOT(ISNUMBER(D8)),NOT(ISNUMBER(E8)),NOT(ISNUMBER(F8)),NOT(ISNUMBER(G8)),NOT(ISNUMBER(H8)),NOT(ISNUMBER(I8)),NOT(ISNUMBER(J8)),NOT(ISNUMBER(K8)),AD8&lt;&gt;"OK"),"Not feasible",IF(OR(D8&lt;E8,F8&lt;G8,H8&lt;I8,J8&lt;K8,AND(L8="Yes",OR(M8&lt;&gt;"Yes",N8&lt;&gt;"Yes")),AND(Y8="Yes",OR(Z8&lt;&gt;"Yes",AA8&lt;&gt;"Yes")),AB8&lt;&gt;"Yes",AC8&lt;&gt;"Yes"),"Not feasible",IF(OR(L8="Yes",Y8="Yes"),"Feasible with verified support","Feasible"))))</f>
        <v/>
      </c>
      <c r="Q8" s="356" t="n"/>
      <c r="R8" s="302">
        <f>IF(AND(P8="",Q8=""),"",IF(AND(P8&lt;&gt;"",Q8=""),"UNRECORDED",IF(AND(P8="",Q8&lt;&gt;""),"ORPHAN_RECORDED",IF(P8=Q8,"MATCH","MISMATCH"))))</f>
        <v/>
      </c>
      <c r="S8" s="302">
        <f>IF(OR(NOT(ISNUMBER(E8)),NOT(ISNUMBER(G8))),"",E8+G8)</f>
        <v/>
      </c>
      <c r="T8" s="356" t="n"/>
      <c r="U8" s="356" t="n"/>
      <c r="V8" s="103" t="n"/>
      <c r="W8" s="253" t="n"/>
      <c r="X8" s="277">
        <f>IF(A8="","",IF(AND(W8="Completed",OR(P8="Feasible",P8="Feasible with verified support")),"Completed feasible",IF(OR(P8="Not feasible",W8="Stopped before rating",W8="Aborted during review"),"Infeasible or aborted","Incomplete")))</f>
        <v/>
      </c>
      <c r="Y8" s="303" t="n"/>
      <c r="Z8" s="303" t="n"/>
      <c r="AA8" s="303" t="n"/>
      <c r="AB8" s="303" t="n"/>
      <c r="AC8" s="303" t="n"/>
      <c r="AD8" s="303">
        <f>IF(COUNTA(A8:O8)+COUNTA(Q8)+COUNTA(T8:W8)+COUNTA(Y8:AC8)=0,"",IF(AND(COUNTIF(Vocabulary!$J$5:$J$6,L8)=1,COUNTIF(Vocabulary!$J$5:$J$6,M8)=1,COUNTIF(Vocabulary!$J$5:$J$6,N8)=1,COUNTIF(Vocabulary!$J$5:$J$6,Y8)=1,COUNTIF(Vocabulary!$J$5:$J$6,Z8)=1,COUNTIF(Vocabulary!$J$5:$J$6,AA8)=1,COUNTIF(Vocabulary!$J$5:$J$6,AB8)=1,COUNTIF(Vocabulary!$J$5:$J$6,AC8)=1),"OK","UNRECOGNISED_BURDEN_VALUE"))</f>
        <v/>
      </c>
    </row>
    <row r="9">
      <c r="A9" s="81" t="n"/>
      <c r="B9" s="356" t="n"/>
      <c r="C9" s="356" t="n"/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56" t="n"/>
      <c r="P9" s="302">
        <f>IF(COUNTA(A9:O9)+COUNTA(Q9)+COUNTA(T9:W9)+COUNTA(Y9:AC9)=0,"",IF(OR(NOT(ISNUMBER(D9)),NOT(ISNUMBER(E9)),NOT(ISNUMBER(F9)),NOT(ISNUMBER(G9)),NOT(ISNUMBER(H9)),NOT(ISNUMBER(I9)),NOT(ISNUMBER(J9)),NOT(ISNUMBER(K9)),AD9&lt;&gt;"OK"),"Not feasible",IF(OR(D9&lt;E9,F9&lt;G9,H9&lt;I9,J9&lt;K9,AND(L9="Yes",OR(M9&lt;&gt;"Yes",N9&lt;&gt;"Yes")),AND(Y9="Yes",OR(Z9&lt;&gt;"Yes",AA9&lt;&gt;"Yes")),AB9&lt;&gt;"Yes",AC9&lt;&gt;"Yes"),"Not feasible",IF(OR(L9="Yes",Y9="Yes"),"Feasible with verified support","Feasible"))))</f>
        <v/>
      </c>
      <c r="Q9" s="356" t="n"/>
      <c r="R9" s="302">
        <f>IF(AND(P9="",Q9=""),"",IF(AND(P9&lt;&gt;"",Q9=""),"UNRECORDED",IF(AND(P9="",Q9&lt;&gt;""),"ORPHAN_RECORDED",IF(P9=Q9,"MATCH","MISMATCH"))))</f>
        <v/>
      </c>
      <c r="S9" s="302">
        <f>IF(OR(NOT(ISNUMBER(E9)),NOT(ISNUMBER(G9))),"",E9+G9)</f>
        <v/>
      </c>
      <c r="T9" s="356" t="n"/>
      <c r="U9" s="356" t="n"/>
      <c r="V9" s="103" t="n"/>
      <c r="W9" s="253" t="n"/>
      <c r="X9" s="277">
        <f>IF(A9="","",IF(AND(W9="Completed",OR(P9="Feasible",P9="Feasible with verified support")),"Completed feasible",IF(OR(P9="Not feasible",W9="Stopped before rating",W9="Aborted during review"),"Infeasible or aborted","Incomplete")))</f>
        <v/>
      </c>
      <c r="Y9" s="303" t="n"/>
      <c r="Z9" s="303" t="n"/>
      <c r="AA9" s="303" t="n"/>
      <c r="AB9" s="303" t="n"/>
      <c r="AC9" s="303" t="n"/>
      <c r="AD9" s="303">
        <f>IF(COUNTA(A9:O9)+COUNTA(Q9)+COUNTA(T9:W9)+COUNTA(Y9:AC9)=0,"",IF(AND(COUNTIF(Vocabulary!$J$5:$J$6,L9)=1,COUNTIF(Vocabulary!$J$5:$J$6,M9)=1,COUNTIF(Vocabulary!$J$5:$J$6,N9)=1,COUNTIF(Vocabulary!$J$5:$J$6,Y9)=1,COUNTIF(Vocabulary!$J$5:$J$6,Z9)=1,COUNTIF(Vocabulary!$J$5:$J$6,AA9)=1,COUNTIF(Vocabulary!$J$5:$J$6,AB9)=1,COUNTIF(Vocabulary!$J$5:$J$6,AC9)=1),"OK","UNRECOGNISED_BURDEN_VALUE"))</f>
        <v/>
      </c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56" t="n"/>
      <c r="P10" s="302">
        <f>IF(COUNTA(A10:O10)+COUNTA(Q10)+COUNTA(T10:W10)+COUNTA(Y10:AC10)=0,"",IF(OR(NOT(ISNUMBER(D10)),NOT(ISNUMBER(E10)),NOT(ISNUMBER(F10)),NOT(ISNUMBER(G10)),NOT(ISNUMBER(H10)),NOT(ISNUMBER(I10)),NOT(ISNUMBER(J10)),NOT(ISNUMBER(K10)),AD10&lt;&gt;"OK"),"Not feasible",IF(OR(D10&lt;E10,F10&lt;G10,H10&lt;I10,J10&lt;K10,AND(L10="Yes",OR(M10&lt;&gt;"Yes",N10&lt;&gt;"Yes")),AND(Y10="Yes",OR(Z10&lt;&gt;"Yes",AA10&lt;&gt;"Yes")),AB10&lt;&gt;"Yes",AC10&lt;&gt;"Yes"),"Not feasible",IF(OR(L10="Yes",Y10="Yes"),"Feasible with verified support","Feasible"))))</f>
        <v/>
      </c>
      <c r="Q10" s="356" t="n"/>
      <c r="R10" s="302">
        <f>IF(AND(P10="",Q10=""),"",IF(AND(P10&lt;&gt;"",Q10=""),"UNRECORDED",IF(AND(P10="",Q10&lt;&gt;""),"ORPHAN_RECORDED",IF(P10=Q10,"MATCH","MISMATCH"))))</f>
        <v/>
      </c>
      <c r="S10" s="302">
        <f>IF(OR(NOT(ISNUMBER(E10)),NOT(ISNUMBER(G10))),"",E10+G10)</f>
        <v/>
      </c>
      <c r="T10" s="356" t="n"/>
      <c r="U10" s="356" t="n"/>
      <c r="V10" s="103" t="n"/>
      <c r="W10" s="253" t="n"/>
      <c r="X10" s="277">
        <f>IF(A10="","",IF(AND(W10="Completed",OR(P10="Feasible",P10="Feasible with verified support")),"Completed feasible",IF(OR(P10="Not feasible",W10="Stopped before rating",W10="Aborted during review"),"Infeasible or aborted","Incomplete")))</f>
        <v/>
      </c>
      <c r="Y10" s="303" t="n"/>
      <c r="Z10" s="303" t="n"/>
      <c r="AA10" s="303" t="n"/>
      <c r="AB10" s="303" t="n"/>
      <c r="AC10" s="303" t="n"/>
      <c r="AD10" s="303">
        <f>IF(COUNTA(A10:O10)+COUNTA(Q10)+COUNTA(T10:W10)+COUNTA(Y10:AC10)=0,"",IF(AND(COUNTIF(Vocabulary!$J$5:$J$6,L10)=1,COUNTIF(Vocabulary!$J$5:$J$6,M10)=1,COUNTIF(Vocabulary!$J$5:$J$6,N10)=1,COUNTIF(Vocabulary!$J$5:$J$6,Y10)=1,COUNTIF(Vocabulary!$J$5:$J$6,Z10)=1,COUNTIF(Vocabulary!$J$5:$J$6,AA10)=1,COUNTIF(Vocabulary!$J$5:$J$6,AB10)=1,COUNTIF(Vocabulary!$J$5:$J$6,AC10)=1),"OK","UNRECOGNISED_BURDEN_VALUE"))</f>
        <v/>
      </c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56" t="n"/>
      <c r="P11" s="302">
        <f>IF(COUNTA(A11:O11)+COUNTA(Q11)+COUNTA(T11:W11)+COUNTA(Y11:AC11)=0,"",IF(OR(NOT(ISNUMBER(D11)),NOT(ISNUMBER(E11)),NOT(ISNUMBER(F11)),NOT(ISNUMBER(G11)),NOT(ISNUMBER(H11)),NOT(ISNUMBER(I11)),NOT(ISNUMBER(J11)),NOT(ISNUMBER(K11)),AD11&lt;&gt;"OK"),"Not feasible",IF(OR(D11&lt;E11,F11&lt;G11,H11&lt;I11,J11&lt;K11,AND(L11="Yes",OR(M11&lt;&gt;"Yes",N11&lt;&gt;"Yes")),AND(Y11="Yes",OR(Z11&lt;&gt;"Yes",AA11&lt;&gt;"Yes")),AB11&lt;&gt;"Yes",AC11&lt;&gt;"Yes"),"Not feasible",IF(OR(L11="Yes",Y11="Yes"),"Feasible with verified support","Feasible"))))</f>
        <v/>
      </c>
      <c r="Q11" s="356" t="n"/>
      <c r="R11" s="302">
        <f>IF(AND(P11="",Q11=""),"",IF(AND(P11&lt;&gt;"",Q11=""),"UNRECORDED",IF(AND(P11="",Q11&lt;&gt;""),"ORPHAN_RECORDED",IF(P11=Q11,"MATCH","MISMATCH"))))</f>
        <v/>
      </c>
      <c r="S11" s="302">
        <f>IF(OR(NOT(ISNUMBER(E11)),NOT(ISNUMBER(G11))),"",E11+G11)</f>
        <v/>
      </c>
      <c r="T11" s="356" t="n"/>
      <c r="U11" s="356" t="n"/>
      <c r="V11" s="103" t="n"/>
      <c r="W11" s="253" t="n"/>
      <c r="X11" s="277">
        <f>IF(A11="","",IF(AND(W11="Completed",OR(P11="Feasible",P11="Feasible with verified support")),"Completed feasible",IF(OR(P11="Not feasible",W11="Stopped before rating",W11="Aborted during review"),"Infeasible or aborted","Incomplete")))</f>
        <v/>
      </c>
      <c r="Y11" s="303" t="n"/>
      <c r="Z11" s="303" t="n"/>
      <c r="AA11" s="303" t="n"/>
      <c r="AB11" s="303" t="n"/>
      <c r="AC11" s="303" t="n"/>
      <c r="AD11" s="303">
        <f>IF(COUNTA(A11:O11)+COUNTA(Q11)+COUNTA(T11:W11)+COUNTA(Y11:AC11)=0,"",IF(AND(COUNTIF(Vocabulary!$J$5:$J$6,L11)=1,COUNTIF(Vocabulary!$J$5:$J$6,M11)=1,COUNTIF(Vocabulary!$J$5:$J$6,N11)=1,COUNTIF(Vocabulary!$J$5:$J$6,Y11)=1,COUNTIF(Vocabulary!$J$5:$J$6,Z11)=1,COUNTIF(Vocabulary!$J$5:$J$6,AA11)=1,COUNTIF(Vocabulary!$J$5:$J$6,AB11)=1,COUNTIF(Vocabulary!$J$5:$J$6,AC11)=1),"OK","UNRECOGNISED_BURDEN_VALUE"))</f>
        <v/>
      </c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02">
        <f>IF(COUNTA(A12:O12)+COUNTA(Q12)+COUNTA(T12:W12)+COUNTA(Y12:AC12)=0,"",IF(OR(NOT(ISNUMBER(D12)),NOT(ISNUMBER(E12)),NOT(ISNUMBER(F12)),NOT(ISNUMBER(G12)),NOT(ISNUMBER(H12)),NOT(ISNUMBER(I12)),NOT(ISNUMBER(J12)),NOT(ISNUMBER(K12)),AD12&lt;&gt;"OK"),"Not feasible",IF(OR(D12&lt;E12,F12&lt;G12,H12&lt;I12,J12&lt;K12,AND(L12="Yes",OR(M12&lt;&gt;"Yes",N12&lt;&gt;"Yes")),AND(Y12="Yes",OR(Z12&lt;&gt;"Yes",AA12&lt;&gt;"Yes")),AB12&lt;&gt;"Yes",AC12&lt;&gt;"Yes"),"Not feasible",IF(OR(L12="Yes",Y12="Yes"),"Feasible with verified support","Feasible"))))</f>
        <v/>
      </c>
      <c r="Q12" s="356" t="n"/>
      <c r="R12" s="302">
        <f>IF(AND(P12="",Q12=""),"",IF(AND(P12&lt;&gt;"",Q12=""),"UNRECORDED",IF(AND(P12="",Q12&lt;&gt;""),"ORPHAN_RECORDED",IF(P12=Q12,"MATCH","MISMATCH"))))</f>
        <v/>
      </c>
      <c r="S12" s="302">
        <f>IF(OR(NOT(ISNUMBER(E12)),NOT(ISNUMBER(G12))),"",E12+G12)</f>
        <v/>
      </c>
      <c r="T12" s="356" t="n"/>
      <c r="U12" s="356" t="n"/>
      <c r="V12" s="103" t="n"/>
      <c r="W12" s="253" t="n"/>
      <c r="X12" s="277">
        <f>IF(A12="","",IF(AND(W12="Completed",OR(P12="Feasible",P12="Feasible with verified support")),"Completed feasible",IF(OR(P12="Not feasible",W12="Stopped before rating",W12="Aborted during review"),"Infeasible or aborted","Incomplete")))</f>
        <v/>
      </c>
      <c r="Y12" s="303" t="n"/>
      <c r="Z12" s="303" t="n"/>
      <c r="AA12" s="303" t="n"/>
      <c r="AB12" s="303" t="n"/>
      <c r="AC12" s="303" t="n"/>
      <c r="AD12" s="303">
        <f>IF(COUNTA(A12:O12)+COUNTA(Q12)+COUNTA(T12:W12)+COUNTA(Y12:AC12)=0,"",IF(AND(COUNTIF(Vocabulary!$J$5:$J$6,L12)=1,COUNTIF(Vocabulary!$J$5:$J$6,M12)=1,COUNTIF(Vocabulary!$J$5:$J$6,N12)=1,COUNTIF(Vocabulary!$J$5:$J$6,Y12)=1,COUNTIF(Vocabulary!$J$5:$J$6,Z12)=1,COUNTIF(Vocabulary!$J$5:$J$6,AA12)=1,COUNTIF(Vocabulary!$J$5:$J$6,AB12)=1,COUNTIF(Vocabulary!$J$5:$J$6,AC12)=1),"OK","UNRECOGNISED_BURDEN_VALUE"))</f>
        <v/>
      </c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356" t="n"/>
      <c r="P13" s="302">
        <f>IF(COUNTA(A13:O13)+COUNTA(Q13)+COUNTA(T13:W13)+COUNTA(Y13:AC13)=0,"",IF(OR(NOT(ISNUMBER(D13)),NOT(ISNUMBER(E13)),NOT(ISNUMBER(F13)),NOT(ISNUMBER(G13)),NOT(ISNUMBER(H13)),NOT(ISNUMBER(I13)),NOT(ISNUMBER(J13)),NOT(ISNUMBER(K13)),AD13&lt;&gt;"OK"),"Not feasible",IF(OR(D13&lt;E13,F13&lt;G13,H13&lt;I13,J13&lt;K13,AND(L13="Yes",OR(M13&lt;&gt;"Yes",N13&lt;&gt;"Yes")),AND(Y13="Yes",OR(Z13&lt;&gt;"Yes",AA13&lt;&gt;"Yes")),AB13&lt;&gt;"Yes",AC13&lt;&gt;"Yes"),"Not feasible",IF(OR(L13="Yes",Y13="Yes"),"Feasible with verified support","Feasible"))))</f>
        <v/>
      </c>
      <c r="Q13" s="356" t="n"/>
      <c r="R13" s="302">
        <f>IF(AND(P13="",Q13=""),"",IF(AND(P13&lt;&gt;"",Q13=""),"UNRECORDED",IF(AND(P13="",Q13&lt;&gt;""),"ORPHAN_RECORDED",IF(P13=Q13,"MATCH","MISMATCH"))))</f>
        <v/>
      </c>
      <c r="S13" s="302">
        <f>IF(OR(NOT(ISNUMBER(E13)),NOT(ISNUMBER(G13))),"",E13+G13)</f>
        <v/>
      </c>
      <c r="T13" s="356" t="n"/>
      <c r="U13" s="356" t="n"/>
      <c r="V13" s="103" t="n"/>
      <c r="W13" s="253" t="n"/>
      <c r="X13" s="277">
        <f>IF(A13="","",IF(AND(W13="Completed",OR(P13="Feasible",P13="Feasible with verified support")),"Completed feasible",IF(OR(P13="Not feasible",W13="Stopped before rating",W13="Aborted during review"),"Infeasible or aborted","Incomplete")))</f>
        <v/>
      </c>
      <c r="Y13" s="303" t="n"/>
      <c r="Z13" s="303" t="n"/>
      <c r="AA13" s="303" t="n"/>
      <c r="AB13" s="303" t="n"/>
      <c r="AC13" s="303" t="n"/>
      <c r="AD13" s="303">
        <f>IF(COUNTA(A13:O13)+COUNTA(Q13)+COUNTA(T13:W13)+COUNTA(Y13:AC13)=0,"",IF(AND(COUNTIF(Vocabulary!$J$5:$J$6,L13)=1,COUNTIF(Vocabulary!$J$5:$J$6,M13)=1,COUNTIF(Vocabulary!$J$5:$J$6,N13)=1,COUNTIF(Vocabulary!$J$5:$J$6,Y13)=1,COUNTIF(Vocabulary!$J$5:$J$6,Z13)=1,COUNTIF(Vocabulary!$J$5:$J$6,AA13)=1,COUNTIF(Vocabulary!$J$5:$J$6,AB13)=1,COUNTIF(Vocabulary!$J$5:$J$6,AC13)=1),"OK","UNRECOGNISED_BURDEN_VALUE"))</f>
        <v/>
      </c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56" t="n"/>
      <c r="I14" s="356" t="n"/>
      <c r="J14" s="356" t="n"/>
      <c r="K14" s="356" t="n"/>
      <c r="L14" s="356" t="n"/>
      <c r="M14" s="356" t="n"/>
      <c r="N14" s="356" t="n"/>
      <c r="O14" s="356" t="n"/>
      <c r="P14" s="302">
        <f>IF(COUNTA(A14:O14)+COUNTA(Q14)+COUNTA(T14:W14)+COUNTA(Y14:AC14)=0,"",IF(OR(NOT(ISNUMBER(D14)),NOT(ISNUMBER(E14)),NOT(ISNUMBER(F14)),NOT(ISNUMBER(G14)),NOT(ISNUMBER(H14)),NOT(ISNUMBER(I14)),NOT(ISNUMBER(J14)),NOT(ISNUMBER(K14)),AD14&lt;&gt;"OK"),"Not feasible",IF(OR(D14&lt;E14,F14&lt;G14,H14&lt;I14,J14&lt;K14,AND(L14="Yes",OR(M14&lt;&gt;"Yes",N14&lt;&gt;"Yes")),AND(Y14="Yes",OR(Z14&lt;&gt;"Yes",AA14&lt;&gt;"Yes")),AB14&lt;&gt;"Yes",AC14&lt;&gt;"Yes"),"Not feasible",IF(OR(L14="Yes",Y14="Yes"),"Feasible with verified support","Feasible"))))</f>
        <v/>
      </c>
      <c r="Q14" s="356" t="n"/>
      <c r="R14" s="302">
        <f>IF(AND(P14="",Q14=""),"",IF(AND(P14&lt;&gt;"",Q14=""),"UNRECORDED",IF(AND(P14="",Q14&lt;&gt;""),"ORPHAN_RECORDED",IF(P14=Q14,"MATCH","MISMATCH"))))</f>
        <v/>
      </c>
      <c r="S14" s="302">
        <f>IF(OR(NOT(ISNUMBER(E14)),NOT(ISNUMBER(G14))),"",E14+G14)</f>
        <v/>
      </c>
      <c r="T14" s="356" t="n"/>
      <c r="U14" s="356" t="n"/>
      <c r="V14" s="103" t="n"/>
      <c r="W14" s="253" t="n"/>
      <c r="X14" s="277">
        <f>IF(A14="","",IF(AND(W14="Completed",OR(P14="Feasible",P14="Feasible with verified support")),"Completed feasible",IF(OR(P14="Not feasible",W14="Stopped before rating",W14="Aborted during review"),"Infeasible or aborted","Incomplete")))</f>
        <v/>
      </c>
      <c r="Y14" s="303" t="n"/>
      <c r="Z14" s="303" t="n"/>
      <c r="AA14" s="303" t="n"/>
      <c r="AB14" s="303" t="n"/>
      <c r="AC14" s="303" t="n"/>
      <c r="AD14" s="303">
        <f>IF(COUNTA(A14:O14)+COUNTA(Q14)+COUNTA(T14:W14)+COUNTA(Y14:AC14)=0,"",IF(AND(COUNTIF(Vocabulary!$J$5:$J$6,L14)=1,COUNTIF(Vocabulary!$J$5:$J$6,M14)=1,COUNTIF(Vocabulary!$J$5:$J$6,N14)=1,COUNTIF(Vocabulary!$J$5:$J$6,Y14)=1,COUNTIF(Vocabulary!$J$5:$J$6,Z14)=1,COUNTIF(Vocabulary!$J$5:$J$6,AA14)=1,COUNTIF(Vocabulary!$J$5:$J$6,AB14)=1,COUNTIF(Vocabulary!$J$5:$J$6,AC14)=1),"OK","UNRECOGNISED_BURDEN_VALUE"))</f>
        <v/>
      </c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56" t="n"/>
      <c r="I15" s="356" t="n"/>
      <c r="J15" s="356" t="n"/>
      <c r="K15" s="356" t="n"/>
      <c r="L15" s="356" t="n"/>
      <c r="M15" s="356" t="n"/>
      <c r="N15" s="356" t="n"/>
      <c r="O15" s="356" t="n"/>
      <c r="P15" s="302">
        <f>IF(COUNTA(A15:O15)+COUNTA(Q15)+COUNTA(T15:W15)+COUNTA(Y15:AC15)=0,"",IF(OR(NOT(ISNUMBER(D15)),NOT(ISNUMBER(E15)),NOT(ISNUMBER(F15)),NOT(ISNUMBER(G15)),NOT(ISNUMBER(H15)),NOT(ISNUMBER(I15)),NOT(ISNUMBER(J15)),NOT(ISNUMBER(K15)),AD15&lt;&gt;"OK"),"Not feasible",IF(OR(D15&lt;E15,F15&lt;G15,H15&lt;I15,J15&lt;K15,AND(L15="Yes",OR(M15&lt;&gt;"Yes",N15&lt;&gt;"Yes")),AND(Y15="Yes",OR(Z15&lt;&gt;"Yes",AA15&lt;&gt;"Yes")),AB15&lt;&gt;"Yes",AC15&lt;&gt;"Yes"),"Not feasible",IF(OR(L15="Yes",Y15="Yes"),"Feasible with verified support","Feasible"))))</f>
        <v/>
      </c>
      <c r="Q15" s="356" t="n"/>
      <c r="R15" s="302">
        <f>IF(AND(P15="",Q15=""),"",IF(AND(P15&lt;&gt;"",Q15=""),"UNRECORDED",IF(AND(P15="",Q15&lt;&gt;""),"ORPHAN_RECORDED",IF(P15=Q15,"MATCH","MISMATCH"))))</f>
        <v/>
      </c>
      <c r="S15" s="302">
        <f>IF(OR(NOT(ISNUMBER(E15)),NOT(ISNUMBER(G15))),"",E15+G15)</f>
        <v/>
      </c>
      <c r="T15" s="356" t="n"/>
      <c r="U15" s="356" t="n"/>
      <c r="V15" s="103" t="n"/>
      <c r="W15" s="253" t="n"/>
      <c r="X15" s="277">
        <f>IF(A15="","",IF(AND(W15="Completed",OR(P15="Feasible",P15="Feasible with verified support")),"Completed feasible",IF(OR(P15="Not feasible",W15="Stopped before rating",W15="Aborted during review"),"Infeasible or aborted","Incomplete")))</f>
        <v/>
      </c>
      <c r="Y15" s="303" t="n"/>
      <c r="Z15" s="303" t="n"/>
      <c r="AA15" s="303" t="n"/>
      <c r="AB15" s="303" t="n"/>
      <c r="AC15" s="303" t="n"/>
      <c r="AD15" s="303">
        <f>IF(COUNTA(A15:O15)+COUNTA(Q15)+COUNTA(T15:W15)+COUNTA(Y15:AC15)=0,"",IF(AND(COUNTIF(Vocabulary!$J$5:$J$6,L15)=1,COUNTIF(Vocabulary!$J$5:$J$6,M15)=1,COUNTIF(Vocabulary!$J$5:$J$6,N15)=1,COUNTIF(Vocabulary!$J$5:$J$6,Y15)=1,COUNTIF(Vocabulary!$J$5:$J$6,Z15)=1,COUNTIF(Vocabulary!$J$5:$J$6,AA15)=1,COUNTIF(Vocabulary!$J$5:$J$6,AB15)=1,COUNTIF(Vocabulary!$J$5:$J$6,AC15)=1),"OK","UNRECOGNISED_BURDEN_VALUE"))</f>
        <v/>
      </c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L16" s="356" t="n"/>
      <c r="M16" s="356" t="n"/>
      <c r="N16" s="356" t="n"/>
      <c r="O16" s="356" t="n"/>
      <c r="P16" s="302">
        <f>IF(COUNTA(A16:O16)+COUNTA(Q16)+COUNTA(T16:W16)+COUNTA(Y16:AC16)=0,"",IF(OR(NOT(ISNUMBER(D16)),NOT(ISNUMBER(E16)),NOT(ISNUMBER(F16)),NOT(ISNUMBER(G16)),NOT(ISNUMBER(H16)),NOT(ISNUMBER(I16)),NOT(ISNUMBER(J16)),NOT(ISNUMBER(K16)),AD16&lt;&gt;"OK"),"Not feasible",IF(OR(D16&lt;E16,F16&lt;G16,H16&lt;I16,J16&lt;K16,AND(L16="Yes",OR(M16&lt;&gt;"Yes",N16&lt;&gt;"Yes")),AND(Y16="Yes",OR(Z16&lt;&gt;"Yes",AA16&lt;&gt;"Yes")),AB16&lt;&gt;"Yes",AC16&lt;&gt;"Yes"),"Not feasible",IF(OR(L16="Yes",Y16="Yes"),"Feasible with verified support","Feasible"))))</f>
        <v/>
      </c>
      <c r="Q16" s="356" t="n"/>
      <c r="R16" s="302">
        <f>IF(AND(P16="",Q16=""),"",IF(AND(P16&lt;&gt;"",Q16=""),"UNRECORDED",IF(AND(P16="",Q16&lt;&gt;""),"ORPHAN_RECORDED",IF(P16=Q16,"MATCH","MISMATCH"))))</f>
        <v/>
      </c>
      <c r="S16" s="302">
        <f>IF(OR(NOT(ISNUMBER(E16)),NOT(ISNUMBER(G16))),"",E16+G16)</f>
        <v/>
      </c>
      <c r="T16" s="356" t="n"/>
      <c r="U16" s="356" t="n"/>
      <c r="V16" s="103" t="n"/>
      <c r="W16" s="253" t="n"/>
      <c r="X16" s="277">
        <f>IF(A16="","",IF(AND(W16="Completed",OR(P16="Feasible",P16="Feasible with verified support")),"Completed feasible",IF(OR(P16="Not feasible",W16="Stopped before rating",W16="Aborted during review"),"Infeasible or aborted","Incomplete")))</f>
        <v/>
      </c>
      <c r="Y16" s="303" t="n"/>
      <c r="Z16" s="303" t="n"/>
      <c r="AA16" s="303" t="n"/>
      <c r="AB16" s="303" t="n"/>
      <c r="AC16" s="303" t="n"/>
      <c r="AD16" s="303">
        <f>IF(COUNTA(A16:O16)+COUNTA(Q16)+COUNTA(T16:W16)+COUNTA(Y16:AC16)=0,"",IF(AND(COUNTIF(Vocabulary!$J$5:$J$6,L16)=1,COUNTIF(Vocabulary!$J$5:$J$6,M16)=1,COUNTIF(Vocabulary!$J$5:$J$6,N16)=1,COUNTIF(Vocabulary!$J$5:$J$6,Y16)=1,COUNTIF(Vocabulary!$J$5:$J$6,Z16)=1,COUNTIF(Vocabulary!$J$5:$J$6,AA16)=1,COUNTIF(Vocabulary!$J$5:$J$6,AB16)=1,COUNTIF(Vocabulary!$J$5:$J$6,AC16)=1),"OK","UNRECOGNISED_BURDEN_VALUE"))</f>
        <v/>
      </c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  <c r="M17" s="356" t="n"/>
      <c r="N17" s="356" t="n"/>
      <c r="O17" s="356" t="n"/>
      <c r="P17" s="302">
        <f>IF(COUNTA(A17:O17)+COUNTA(Q17)+COUNTA(T17:W17)+COUNTA(Y17:AC17)=0,"",IF(OR(NOT(ISNUMBER(D17)),NOT(ISNUMBER(E17)),NOT(ISNUMBER(F17)),NOT(ISNUMBER(G17)),NOT(ISNUMBER(H17)),NOT(ISNUMBER(I17)),NOT(ISNUMBER(J17)),NOT(ISNUMBER(K17)),AD17&lt;&gt;"OK"),"Not feasible",IF(OR(D17&lt;E17,F17&lt;G17,H17&lt;I17,J17&lt;K17,AND(L17="Yes",OR(M17&lt;&gt;"Yes",N17&lt;&gt;"Yes")),AND(Y17="Yes",OR(Z17&lt;&gt;"Yes",AA17&lt;&gt;"Yes")),AB17&lt;&gt;"Yes",AC17&lt;&gt;"Yes"),"Not feasible",IF(OR(L17="Yes",Y17="Yes"),"Feasible with verified support","Feasible"))))</f>
        <v/>
      </c>
      <c r="Q17" s="356" t="n"/>
      <c r="R17" s="302">
        <f>IF(AND(P17="",Q17=""),"",IF(AND(P17&lt;&gt;"",Q17=""),"UNRECORDED",IF(AND(P17="",Q17&lt;&gt;""),"ORPHAN_RECORDED",IF(P17=Q17,"MATCH","MISMATCH"))))</f>
        <v/>
      </c>
      <c r="S17" s="302">
        <f>IF(OR(NOT(ISNUMBER(E17)),NOT(ISNUMBER(G17))),"",E17+G17)</f>
        <v/>
      </c>
      <c r="T17" s="356" t="n"/>
      <c r="U17" s="356" t="n"/>
      <c r="V17" s="103" t="n"/>
      <c r="W17" s="253" t="n"/>
      <c r="X17" s="277">
        <f>IF(A17="","",IF(AND(W17="Completed",OR(P17="Feasible",P17="Feasible with verified support")),"Completed feasible",IF(OR(P17="Not feasible",W17="Stopped before rating",W17="Aborted during review"),"Infeasible or aborted","Incomplete")))</f>
        <v/>
      </c>
      <c r="Y17" s="303" t="n"/>
      <c r="Z17" s="303" t="n"/>
      <c r="AA17" s="303" t="n"/>
      <c r="AB17" s="303" t="n"/>
      <c r="AC17" s="303" t="n"/>
      <c r="AD17" s="303">
        <f>IF(COUNTA(A17:O17)+COUNTA(Q17)+COUNTA(T17:W17)+COUNTA(Y17:AC17)=0,"",IF(AND(COUNTIF(Vocabulary!$J$5:$J$6,L17)=1,COUNTIF(Vocabulary!$J$5:$J$6,M17)=1,COUNTIF(Vocabulary!$J$5:$J$6,N17)=1,COUNTIF(Vocabulary!$J$5:$J$6,Y17)=1,COUNTIF(Vocabulary!$J$5:$J$6,Z17)=1,COUNTIF(Vocabulary!$J$5:$J$6,AA17)=1,COUNTIF(Vocabulary!$J$5:$J$6,AB17)=1,COUNTIF(Vocabulary!$J$5:$J$6,AC17)=1),"OK","UNRECOGNISED_BURDEN_VALUE"))</f>
        <v/>
      </c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  <c r="M18" s="356" t="n"/>
      <c r="N18" s="356" t="n"/>
      <c r="O18" s="356" t="n"/>
      <c r="P18" s="302">
        <f>IF(COUNTA(A18:O18)+COUNTA(Q18)+COUNTA(T18:W18)+COUNTA(Y18:AC18)=0,"",IF(OR(NOT(ISNUMBER(D18)),NOT(ISNUMBER(E18)),NOT(ISNUMBER(F18)),NOT(ISNUMBER(G18)),NOT(ISNUMBER(H18)),NOT(ISNUMBER(I18)),NOT(ISNUMBER(J18)),NOT(ISNUMBER(K18)),AD18&lt;&gt;"OK"),"Not feasible",IF(OR(D18&lt;E18,F18&lt;G18,H18&lt;I18,J18&lt;K18,AND(L18="Yes",OR(M18&lt;&gt;"Yes",N18&lt;&gt;"Yes")),AND(Y18="Yes",OR(Z18&lt;&gt;"Yes",AA18&lt;&gt;"Yes")),AB18&lt;&gt;"Yes",AC18&lt;&gt;"Yes"),"Not feasible",IF(OR(L18="Yes",Y18="Yes"),"Feasible with verified support","Feasible"))))</f>
        <v/>
      </c>
      <c r="Q18" s="356" t="n"/>
      <c r="R18" s="302">
        <f>IF(AND(P18="",Q18=""),"",IF(AND(P18&lt;&gt;"",Q18=""),"UNRECORDED",IF(AND(P18="",Q18&lt;&gt;""),"ORPHAN_RECORDED",IF(P18=Q18,"MATCH","MISMATCH"))))</f>
        <v/>
      </c>
      <c r="S18" s="302">
        <f>IF(OR(NOT(ISNUMBER(E18)),NOT(ISNUMBER(G18))),"",E18+G18)</f>
        <v/>
      </c>
      <c r="T18" s="356" t="n"/>
      <c r="U18" s="356" t="n"/>
      <c r="V18" s="103" t="n"/>
      <c r="W18" s="253" t="n"/>
      <c r="X18" s="277">
        <f>IF(A18="","",IF(AND(W18="Completed",OR(P18="Feasible",P18="Feasible with verified support")),"Completed feasible",IF(OR(P18="Not feasible",W18="Stopped before rating",W18="Aborted during review"),"Infeasible or aborted","Incomplete")))</f>
        <v/>
      </c>
      <c r="Y18" s="303" t="n"/>
      <c r="Z18" s="303" t="n"/>
      <c r="AA18" s="303" t="n"/>
      <c r="AB18" s="303" t="n"/>
      <c r="AC18" s="303" t="n"/>
      <c r="AD18" s="303">
        <f>IF(COUNTA(A18:O18)+COUNTA(Q18)+COUNTA(T18:W18)+COUNTA(Y18:AC18)=0,"",IF(AND(COUNTIF(Vocabulary!$J$5:$J$6,L18)=1,COUNTIF(Vocabulary!$J$5:$J$6,M18)=1,COUNTIF(Vocabulary!$J$5:$J$6,N18)=1,COUNTIF(Vocabulary!$J$5:$J$6,Y18)=1,COUNTIF(Vocabulary!$J$5:$J$6,Z18)=1,COUNTIF(Vocabulary!$J$5:$J$6,AA18)=1,COUNTIF(Vocabulary!$J$5:$J$6,AB18)=1,COUNTIF(Vocabulary!$J$5:$J$6,AC18)=1),"OK","UNRECOGNISED_BURDEN_VALUE"))</f>
        <v/>
      </c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  <c r="M19" s="356" t="n"/>
      <c r="N19" s="356" t="n"/>
      <c r="O19" s="356" t="n"/>
      <c r="P19" s="302">
        <f>IF(COUNTA(A19:O19)+COUNTA(Q19)+COUNTA(T19:W19)+COUNTA(Y19:AC19)=0,"",IF(OR(NOT(ISNUMBER(D19)),NOT(ISNUMBER(E19)),NOT(ISNUMBER(F19)),NOT(ISNUMBER(G19)),NOT(ISNUMBER(H19)),NOT(ISNUMBER(I19)),NOT(ISNUMBER(J19)),NOT(ISNUMBER(K19)),AD19&lt;&gt;"OK"),"Not feasible",IF(OR(D19&lt;E19,F19&lt;G19,H19&lt;I19,J19&lt;K19,AND(L19="Yes",OR(M19&lt;&gt;"Yes",N19&lt;&gt;"Yes")),AND(Y19="Yes",OR(Z19&lt;&gt;"Yes",AA19&lt;&gt;"Yes")),AB19&lt;&gt;"Yes",AC19&lt;&gt;"Yes"),"Not feasible",IF(OR(L19="Yes",Y19="Yes"),"Feasible with verified support","Feasible"))))</f>
        <v/>
      </c>
      <c r="Q19" s="356" t="n"/>
      <c r="R19" s="302">
        <f>IF(AND(P19="",Q19=""),"",IF(AND(P19&lt;&gt;"",Q19=""),"UNRECORDED",IF(AND(P19="",Q19&lt;&gt;""),"ORPHAN_RECORDED",IF(P19=Q19,"MATCH","MISMATCH"))))</f>
        <v/>
      </c>
      <c r="S19" s="302">
        <f>IF(OR(NOT(ISNUMBER(E19)),NOT(ISNUMBER(G19))),"",E19+G19)</f>
        <v/>
      </c>
      <c r="T19" s="356" t="n"/>
      <c r="U19" s="356" t="n"/>
      <c r="V19" s="103" t="n"/>
      <c r="W19" s="253" t="n"/>
      <c r="X19" s="277">
        <f>IF(A19="","",IF(AND(W19="Completed",OR(P19="Feasible",P19="Feasible with verified support")),"Completed feasible",IF(OR(P19="Not feasible",W19="Stopped before rating",W19="Aborted during review"),"Infeasible or aborted","Incomplete")))</f>
        <v/>
      </c>
      <c r="Y19" s="303" t="n"/>
      <c r="Z19" s="303" t="n"/>
      <c r="AA19" s="303" t="n"/>
      <c r="AB19" s="303" t="n"/>
      <c r="AC19" s="303" t="n"/>
      <c r="AD19" s="303">
        <f>IF(COUNTA(A19:O19)+COUNTA(Q19)+COUNTA(T19:W19)+COUNTA(Y19:AC19)=0,"",IF(AND(COUNTIF(Vocabulary!$J$5:$J$6,L19)=1,COUNTIF(Vocabulary!$J$5:$J$6,M19)=1,COUNTIF(Vocabulary!$J$5:$J$6,N19)=1,COUNTIF(Vocabulary!$J$5:$J$6,Y19)=1,COUNTIF(Vocabulary!$J$5:$J$6,Z19)=1,COUNTIF(Vocabulary!$J$5:$J$6,AA19)=1,COUNTIF(Vocabulary!$J$5:$J$6,AB19)=1,COUNTIF(Vocabulary!$J$5:$J$6,AC19)=1),"OK","UNRECOGNISED_BURDEN_VALUE"))</f>
        <v/>
      </c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56" t="n"/>
      <c r="I20" s="356" t="n"/>
      <c r="J20" s="356" t="n"/>
      <c r="K20" s="356" t="n"/>
      <c r="L20" s="356" t="n"/>
      <c r="M20" s="356" t="n"/>
      <c r="N20" s="356" t="n"/>
      <c r="O20" s="356" t="n"/>
      <c r="P20" s="302">
        <f>IF(COUNTA(A20:O20)+COUNTA(Q20)+COUNTA(T20:W20)+COUNTA(Y20:AC20)=0,"",IF(OR(NOT(ISNUMBER(D20)),NOT(ISNUMBER(E20)),NOT(ISNUMBER(F20)),NOT(ISNUMBER(G20)),NOT(ISNUMBER(H20)),NOT(ISNUMBER(I20)),NOT(ISNUMBER(J20)),NOT(ISNUMBER(K20)),AD20&lt;&gt;"OK"),"Not feasible",IF(OR(D20&lt;E20,F20&lt;G20,H20&lt;I20,J20&lt;K20,AND(L20="Yes",OR(M20&lt;&gt;"Yes",N20&lt;&gt;"Yes")),AND(Y20="Yes",OR(Z20&lt;&gt;"Yes",AA20&lt;&gt;"Yes")),AB20&lt;&gt;"Yes",AC20&lt;&gt;"Yes"),"Not feasible",IF(OR(L20="Yes",Y20="Yes"),"Feasible with verified support","Feasible"))))</f>
        <v/>
      </c>
      <c r="Q20" s="356" t="n"/>
      <c r="R20" s="302">
        <f>IF(AND(P20="",Q20=""),"",IF(AND(P20&lt;&gt;"",Q20=""),"UNRECORDED",IF(AND(P20="",Q20&lt;&gt;""),"ORPHAN_RECORDED",IF(P20=Q20,"MATCH","MISMATCH"))))</f>
        <v/>
      </c>
      <c r="S20" s="302">
        <f>IF(OR(NOT(ISNUMBER(E20)),NOT(ISNUMBER(G20))),"",E20+G20)</f>
        <v/>
      </c>
      <c r="T20" s="356" t="n"/>
      <c r="U20" s="356" t="n"/>
      <c r="V20" s="103" t="n"/>
      <c r="W20" s="253" t="n"/>
      <c r="X20" s="277">
        <f>IF(A20="","",IF(AND(W20="Completed",OR(P20="Feasible",P20="Feasible with verified support")),"Completed feasible",IF(OR(P20="Not feasible",W20="Stopped before rating",W20="Aborted during review"),"Infeasible or aborted","Incomplete")))</f>
        <v/>
      </c>
      <c r="Y20" s="303" t="n"/>
      <c r="Z20" s="303" t="n"/>
      <c r="AA20" s="303" t="n"/>
      <c r="AB20" s="303" t="n"/>
      <c r="AC20" s="303" t="n"/>
      <c r="AD20" s="303">
        <f>IF(COUNTA(A20:O20)+COUNTA(Q20)+COUNTA(T20:W20)+COUNTA(Y20:AC20)=0,"",IF(AND(COUNTIF(Vocabulary!$J$5:$J$6,L20)=1,COUNTIF(Vocabulary!$J$5:$J$6,M20)=1,COUNTIF(Vocabulary!$J$5:$J$6,N20)=1,COUNTIF(Vocabulary!$J$5:$J$6,Y20)=1,COUNTIF(Vocabulary!$J$5:$J$6,Z20)=1,COUNTIF(Vocabulary!$J$5:$J$6,AA20)=1,COUNTIF(Vocabulary!$J$5:$J$6,AB20)=1,COUNTIF(Vocabulary!$J$5:$J$6,AC20)=1),"OK","UNRECOGNISED_BURDEN_VALUE"))</f>
        <v/>
      </c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56" t="n"/>
      <c r="I21" s="356" t="n"/>
      <c r="J21" s="356" t="n"/>
      <c r="K21" s="356" t="n"/>
      <c r="L21" s="356" t="n"/>
      <c r="M21" s="356" t="n"/>
      <c r="N21" s="356" t="n"/>
      <c r="O21" s="356" t="n"/>
      <c r="P21" s="302">
        <f>IF(COUNTA(A21:O21)+COUNTA(Q21)+COUNTA(T21:W21)+COUNTA(Y21:AC21)=0,"",IF(OR(NOT(ISNUMBER(D21)),NOT(ISNUMBER(E21)),NOT(ISNUMBER(F21)),NOT(ISNUMBER(G21)),NOT(ISNUMBER(H21)),NOT(ISNUMBER(I21)),NOT(ISNUMBER(J21)),NOT(ISNUMBER(K21)),AD21&lt;&gt;"OK"),"Not feasible",IF(OR(D21&lt;E21,F21&lt;G21,H21&lt;I21,J21&lt;K21,AND(L21="Yes",OR(M21&lt;&gt;"Yes",N21&lt;&gt;"Yes")),AND(Y21="Yes",OR(Z21&lt;&gt;"Yes",AA21&lt;&gt;"Yes")),AB21&lt;&gt;"Yes",AC21&lt;&gt;"Yes"),"Not feasible",IF(OR(L21="Yes",Y21="Yes"),"Feasible with verified support","Feasible"))))</f>
        <v/>
      </c>
      <c r="Q21" s="356" t="n"/>
      <c r="R21" s="302">
        <f>IF(AND(P21="",Q21=""),"",IF(AND(P21&lt;&gt;"",Q21=""),"UNRECORDED",IF(AND(P21="",Q21&lt;&gt;""),"ORPHAN_RECORDED",IF(P21=Q21,"MATCH","MISMATCH"))))</f>
        <v/>
      </c>
      <c r="S21" s="302">
        <f>IF(OR(NOT(ISNUMBER(E21)),NOT(ISNUMBER(G21))),"",E21+G21)</f>
        <v/>
      </c>
      <c r="T21" s="356" t="n"/>
      <c r="U21" s="356" t="n"/>
      <c r="V21" s="103" t="n"/>
      <c r="W21" s="253" t="n"/>
      <c r="X21" s="277">
        <f>IF(A21="","",IF(AND(W21="Completed",OR(P21="Feasible",P21="Feasible with verified support")),"Completed feasible",IF(OR(P21="Not feasible",W21="Stopped before rating",W21="Aborted during review"),"Infeasible or aborted","Incomplete")))</f>
        <v/>
      </c>
      <c r="Y21" s="303" t="n"/>
      <c r="Z21" s="303" t="n"/>
      <c r="AA21" s="303" t="n"/>
      <c r="AB21" s="303" t="n"/>
      <c r="AC21" s="303" t="n"/>
      <c r="AD21" s="303">
        <f>IF(COUNTA(A21:O21)+COUNTA(Q21)+COUNTA(T21:W21)+COUNTA(Y21:AC21)=0,"",IF(AND(COUNTIF(Vocabulary!$J$5:$J$6,L21)=1,COUNTIF(Vocabulary!$J$5:$J$6,M21)=1,COUNTIF(Vocabulary!$J$5:$J$6,N21)=1,COUNTIF(Vocabulary!$J$5:$J$6,Y21)=1,COUNTIF(Vocabulary!$J$5:$J$6,Z21)=1,COUNTIF(Vocabulary!$J$5:$J$6,AA21)=1,COUNTIF(Vocabulary!$J$5:$J$6,AB21)=1,COUNTIF(Vocabulary!$J$5:$J$6,AC21)=1),"OK","UNRECOGNISED_BURDEN_VALUE"))</f>
        <v/>
      </c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02">
        <f>IF(COUNTA(A22:O22)+COUNTA(Q22)+COUNTA(T22:W22)+COUNTA(Y22:AC22)=0,"",IF(OR(NOT(ISNUMBER(D22)),NOT(ISNUMBER(E22)),NOT(ISNUMBER(F22)),NOT(ISNUMBER(G22)),NOT(ISNUMBER(H22)),NOT(ISNUMBER(I22)),NOT(ISNUMBER(J22)),NOT(ISNUMBER(K22)),AD22&lt;&gt;"OK"),"Not feasible",IF(OR(D22&lt;E22,F22&lt;G22,H22&lt;I22,J22&lt;K22,AND(L22="Yes",OR(M22&lt;&gt;"Yes",N22&lt;&gt;"Yes")),AND(Y22="Yes",OR(Z22&lt;&gt;"Yes",AA22&lt;&gt;"Yes")),AB22&lt;&gt;"Yes",AC22&lt;&gt;"Yes"),"Not feasible",IF(OR(L22="Yes",Y22="Yes"),"Feasible with verified support","Feasible"))))</f>
        <v/>
      </c>
      <c r="Q22" s="356" t="n"/>
      <c r="R22" s="302">
        <f>IF(AND(P22="",Q22=""),"",IF(AND(P22&lt;&gt;"",Q22=""),"UNRECORDED",IF(AND(P22="",Q22&lt;&gt;""),"ORPHAN_RECORDED",IF(P22=Q22,"MATCH","MISMATCH"))))</f>
        <v/>
      </c>
      <c r="S22" s="302">
        <f>IF(OR(NOT(ISNUMBER(E22)),NOT(ISNUMBER(G22))),"",E22+G22)</f>
        <v/>
      </c>
      <c r="T22" s="356" t="n"/>
      <c r="U22" s="356" t="n"/>
      <c r="V22" s="103" t="n"/>
      <c r="W22" s="253" t="n"/>
      <c r="X22" s="277">
        <f>IF(A22="","",IF(AND(W22="Completed",OR(P22="Feasible",P22="Feasible with verified support")),"Completed feasible",IF(OR(P22="Not feasible",W22="Stopped before rating",W22="Aborted during review"),"Infeasible or aborted","Incomplete")))</f>
        <v/>
      </c>
      <c r="Y22" s="303" t="n"/>
      <c r="Z22" s="303" t="n"/>
      <c r="AA22" s="303" t="n"/>
      <c r="AB22" s="303" t="n"/>
      <c r="AC22" s="303" t="n"/>
      <c r="AD22" s="303">
        <f>IF(COUNTA(A22:O22)+COUNTA(Q22)+COUNTA(T22:W22)+COUNTA(Y22:AC22)=0,"",IF(AND(COUNTIF(Vocabulary!$J$5:$J$6,L22)=1,COUNTIF(Vocabulary!$J$5:$J$6,M22)=1,COUNTIF(Vocabulary!$J$5:$J$6,N22)=1,COUNTIF(Vocabulary!$J$5:$J$6,Y22)=1,COUNTIF(Vocabulary!$J$5:$J$6,Z22)=1,COUNTIF(Vocabulary!$J$5:$J$6,AA22)=1,COUNTIF(Vocabulary!$J$5:$J$6,AB22)=1,COUNTIF(Vocabulary!$J$5:$J$6,AC22)=1),"OK","UNRECOGNISED_BURDEN_VALUE"))</f>
        <v/>
      </c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56" t="n"/>
      <c r="I23" s="356" t="n"/>
      <c r="J23" s="356" t="n"/>
      <c r="K23" s="356" t="n"/>
      <c r="L23" s="356" t="n"/>
      <c r="M23" s="356" t="n"/>
      <c r="N23" s="356" t="n"/>
      <c r="O23" s="356" t="n"/>
      <c r="P23" s="302">
        <f>IF(COUNTA(A23:O23)+COUNTA(Q23)+COUNTA(T23:W23)+COUNTA(Y23:AC23)=0,"",IF(OR(NOT(ISNUMBER(D23)),NOT(ISNUMBER(E23)),NOT(ISNUMBER(F23)),NOT(ISNUMBER(G23)),NOT(ISNUMBER(H23)),NOT(ISNUMBER(I23)),NOT(ISNUMBER(J23)),NOT(ISNUMBER(K23)),AD23&lt;&gt;"OK"),"Not feasible",IF(OR(D23&lt;E23,F23&lt;G23,H23&lt;I23,J23&lt;K23,AND(L23="Yes",OR(M23&lt;&gt;"Yes",N23&lt;&gt;"Yes")),AND(Y23="Yes",OR(Z23&lt;&gt;"Yes",AA23&lt;&gt;"Yes")),AB23&lt;&gt;"Yes",AC23&lt;&gt;"Yes"),"Not feasible",IF(OR(L23="Yes",Y23="Yes"),"Feasible with verified support","Feasible"))))</f>
        <v/>
      </c>
      <c r="Q23" s="356" t="n"/>
      <c r="R23" s="302">
        <f>IF(AND(P23="",Q23=""),"",IF(AND(P23&lt;&gt;"",Q23=""),"UNRECORDED",IF(AND(P23="",Q23&lt;&gt;""),"ORPHAN_RECORDED",IF(P23=Q23,"MATCH","MISMATCH"))))</f>
        <v/>
      </c>
      <c r="S23" s="302">
        <f>IF(OR(NOT(ISNUMBER(E23)),NOT(ISNUMBER(G23))),"",E23+G23)</f>
        <v/>
      </c>
      <c r="T23" s="356" t="n"/>
      <c r="U23" s="356" t="n"/>
      <c r="V23" s="103" t="n"/>
      <c r="W23" s="253" t="n"/>
      <c r="X23" s="277">
        <f>IF(A23="","",IF(AND(W23="Completed",OR(P23="Feasible",P23="Feasible with verified support")),"Completed feasible",IF(OR(P23="Not feasible",W23="Stopped before rating",W23="Aborted during review"),"Infeasible or aborted","Incomplete")))</f>
        <v/>
      </c>
      <c r="Y23" s="303" t="n"/>
      <c r="Z23" s="303" t="n"/>
      <c r="AA23" s="303" t="n"/>
      <c r="AB23" s="303" t="n"/>
      <c r="AC23" s="303" t="n"/>
      <c r="AD23" s="303">
        <f>IF(COUNTA(A23:O23)+COUNTA(Q23)+COUNTA(T23:W23)+COUNTA(Y23:AC23)=0,"",IF(AND(COUNTIF(Vocabulary!$J$5:$J$6,L23)=1,COUNTIF(Vocabulary!$J$5:$J$6,M23)=1,COUNTIF(Vocabulary!$J$5:$J$6,N23)=1,COUNTIF(Vocabulary!$J$5:$J$6,Y23)=1,COUNTIF(Vocabulary!$J$5:$J$6,Z23)=1,COUNTIF(Vocabulary!$J$5:$J$6,AA23)=1,COUNTIF(Vocabulary!$J$5:$J$6,AB23)=1,COUNTIF(Vocabulary!$J$5:$J$6,AC23)=1),"OK","UNRECOGNISED_BURDEN_VALUE"))</f>
        <v/>
      </c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56" t="n"/>
      <c r="I24" s="356" t="n"/>
      <c r="J24" s="356" t="n"/>
      <c r="K24" s="356" t="n"/>
      <c r="L24" s="356" t="n"/>
      <c r="M24" s="356" t="n"/>
      <c r="N24" s="356" t="n"/>
      <c r="O24" s="356" t="n"/>
      <c r="P24" s="302">
        <f>IF(COUNTA(A24:O24)+COUNTA(Q24)+COUNTA(T24:W24)+COUNTA(Y24:AC24)=0,"",IF(OR(NOT(ISNUMBER(D24)),NOT(ISNUMBER(E24)),NOT(ISNUMBER(F24)),NOT(ISNUMBER(G24)),NOT(ISNUMBER(H24)),NOT(ISNUMBER(I24)),NOT(ISNUMBER(J24)),NOT(ISNUMBER(K24)),AD24&lt;&gt;"OK"),"Not feasible",IF(OR(D24&lt;E24,F24&lt;G24,H24&lt;I24,J24&lt;K24,AND(L24="Yes",OR(M24&lt;&gt;"Yes",N24&lt;&gt;"Yes")),AND(Y24="Yes",OR(Z24&lt;&gt;"Yes",AA24&lt;&gt;"Yes")),AB24&lt;&gt;"Yes",AC24&lt;&gt;"Yes"),"Not feasible",IF(OR(L24="Yes",Y24="Yes"),"Feasible with verified support","Feasible"))))</f>
        <v/>
      </c>
      <c r="Q24" s="356" t="n"/>
      <c r="R24" s="302">
        <f>IF(AND(P24="",Q24=""),"",IF(AND(P24&lt;&gt;"",Q24=""),"UNRECORDED",IF(AND(P24="",Q24&lt;&gt;""),"ORPHAN_RECORDED",IF(P24=Q24,"MATCH","MISMATCH"))))</f>
        <v/>
      </c>
      <c r="S24" s="302">
        <f>IF(OR(NOT(ISNUMBER(E24)),NOT(ISNUMBER(G24))),"",E24+G24)</f>
        <v/>
      </c>
      <c r="T24" s="356" t="n"/>
      <c r="U24" s="356" t="n"/>
      <c r="V24" s="103" t="n"/>
      <c r="W24" s="253" t="n"/>
      <c r="X24" s="277">
        <f>IF(A24="","",IF(AND(W24="Completed",OR(P24="Feasible",P24="Feasible with verified support")),"Completed feasible",IF(OR(P24="Not feasible",W24="Stopped before rating",W24="Aborted during review"),"Infeasible or aborted","Incomplete")))</f>
        <v/>
      </c>
      <c r="Y24" s="303" t="n"/>
      <c r="Z24" s="303" t="n"/>
      <c r="AA24" s="303" t="n"/>
      <c r="AB24" s="303" t="n"/>
      <c r="AC24" s="303" t="n"/>
      <c r="AD24" s="303">
        <f>IF(COUNTA(A24:O24)+COUNTA(Q24)+COUNTA(T24:W24)+COUNTA(Y24:AC24)=0,"",IF(AND(COUNTIF(Vocabulary!$J$5:$J$6,L24)=1,COUNTIF(Vocabulary!$J$5:$J$6,M24)=1,COUNTIF(Vocabulary!$J$5:$J$6,N24)=1,COUNTIF(Vocabulary!$J$5:$J$6,Y24)=1,COUNTIF(Vocabulary!$J$5:$J$6,Z24)=1,COUNTIF(Vocabulary!$J$5:$J$6,AA24)=1,COUNTIF(Vocabulary!$J$5:$J$6,AB24)=1,COUNTIF(Vocabulary!$J$5:$J$6,AC24)=1),"OK","UNRECOGNISED_BURDEN_VALUE"))</f>
        <v/>
      </c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356" t="n"/>
      <c r="N25" s="356" t="n"/>
      <c r="O25" s="356" t="n"/>
      <c r="P25" s="302">
        <f>IF(COUNTA(A25:O25)+COUNTA(Q25)+COUNTA(T25:W25)+COUNTA(Y25:AC25)=0,"",IF(OR(NOT(ISNUMBER(D25)),NOT(ISNUMBER(E25)),NOT(ISNUMBER(F25)),NOT(ISNUMBER(G25)),NOT(ISNUMBER(H25)),NOT(ISNUMBER(I25)),NOT(ISNUMBER(J25)),NOT(ISNUMBER(K25)),AD25&lt;&gt;"OK"),"Not feasible",IF(OR(D25&lt;E25,F25&lt;G25,H25&lt;I25,J25&lt;K25,AND(L25="Yes",OR(M25&lt;&gt;"Yes",N25&lt;&gt;"Yes")),AND(Y25="Yes",OR(Z25&lt;&gt;"Yes",AA25&lt;&gt;"Yes")),AB25&lt;&gt;"Yes",AC25&lt;&gt;"Yes"),"Not feasible",IF(OR(L25="Yes",Y25="Yes"),"Feasible with verified support","Feasible"))))</f>
        <v/>
      </c>
      <c r="Q25" s="356" t="n"/>
      <c r="R25" s="302">
        <f>IF(AND(P25="",Q25=""),"",IF(AND(P25&lt;&gt;"",Q25=""),"UNRECORDED",IF(AND(P25="",Q25&lt;&gt;""),"ORPHAN_RECORDED",IF(P25=Q25,"MATCH","MISMATCH"))))</f>
        <v/>
      </c>
      <c r="S25" s="302">
        <f>IF(OR(NOT(ISNUMBER(E25)),NOT(ISNUMBER(G25))),"",E25+G25)</f>
        <v/>
      </c>
      <c r="T25" s="356" t="n"/>
      <c r="U25" s="356" t="n"/>
      <c r="V25" s="103" t="n"/>
      <c r="W25" s="253" t="n"/>
      <c r="X25" s="277">
        <f>IF(A25="","",IF(AND(W25="Completed",OR(P25="Feasible",P25="Feasible with verified support")),"Completed feasible",IF(OR(P25="Not feasible",W25="Stopped before rating",W25="Aborted during review"),"Infeasible or aborted","Incomplete")))</f>
        <v/>
      </c>
      <c r="Y25" s="303" t="n"/>
      <c r="Z25" s="303" t="n"/>
      <c r="AA25" s="303" t="n"/>
      <c r="AB25" s="303" t="n"/>
      <c r="AC25" s="303" t="n"/>
      <c r="AD25" s="303">
        <f>IF(COUNTA(A25:O25)+COUNTA(Q25)+COUNTA(T25:W25)+COUNTA(Y25:AC25)=0,"",IF(AND(COUNTIF(Vocabulary!$J$5:$J$6,L25)=1,COUNTIF(Vocabulary!$J$5:$J$6,M25)=1,COUNTIF(Vocabulary!$J$5:$J$6,N25)=1,COUNTIF(Vocabulary!$J$5:$J$6,Y25)=1,COUNTIF(Vocabulary!$J$5:$J$6,Z25)=1,COUNTIF(Vocabulary!$J$5:$J$6,AA25)=1,COUNTIF(Vocabulary!$J$5:$J$6,AB25)=1,COUNTIF(Vocabulary!$J$5:$J$6,AC25)=1),"OK","UNRECOGNISED_BURDEN_VALUE"))</f>
        <v/>
      </c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56" t="n"/>
      <c r="I26" s="356" t="n"/>
      <c r="J26" s="356" t="n"/>
      <c r="K26" s="356" t="n"/>
      <c r="L26" s="356" t="n"/>
      <c r="M26" s="356" t="n"/>
      <c r="N26" s="356" t="n"/>
      <c r="O26" s="356" t="n"/>
      <c r="P26" s="302">
        <f>IF(COUNTA(A26:O26)+COUNTA(Q26)+COUNTA(T26:W26)+COUNTA(Y26:AC26)=0,"",IF(OR(NOT(ISNUMBER(D26)),NOT(ISNUMBER(E26)),NOT(ISNUMBER(F26)),NOT(ISNUMBER(G26)),NOT(ISNUMBER(H26)),NOT(ISNUMBER(I26)),NOT(ISNUMBER(J26)),NOT(ISNUMBER(K26)),AD26&lt;&gt;"OK"),"Not feasible",IF(OR(D26&lt;E26,F26&lt;G26,H26&lt;I26,J26&lt;K26,AND(L26="Yes",OR(M26&lt;&gt;"Yes",N26&lt;&gt;"Yes")),AND(Y26="Yes",OR(Z26&lt;&gt;"Yes",AA26&lt;&gt;"Yes")),AB26&lt;&gt;"Yes",AC26&lt;&gt;"Yes"),"Not feasible",IF(OR(L26="Yes",Y26="Yes"),"Feasible with verified support","Feasible"))))</f>
        <v/>
      </c>
      <c r="Q26" s="356" t="n"/>
      <c r="R26" s="302">
        <f>IF(AND(P26="",Q26=""),"",IF(AND(P26&lt;&gt;"",Q26=""),"UNRECORDED",IF(AND(P26="",Q26&lt;&gt;""),"ORPHAN_RECORDED",IF(P26=Q26,"MATCH","MISMATCH"))))</f>
        <v/>
      </c>
      <c r="S26" s="302">
        <f>IF(OR(NOT(ISNUMBER(E26)),NOT(ISNUMBER(G26))),"",E26+G26)</f>
        <v/>
      </c>
      <c r="T26" s="356" t="n"/>
      <c r="U26" s="356" t="n"/>
      <c r="V26" s="103" t="n"/>
      <c r="W26" s="253" t="n"/>
      <c r="X26" s="277">
        <f>IF(A26="","",IF(AND(W26="Completed",OR(P26="Feasible",P26="Feasible with verified support")),"Completed feasible",IF(OR(P26="Not feasible",W26="Stopped before rating",W26="Aborted during review"),"Infeasible or aborted","Incomplete")))</f>
        <v/>
      </c>
      <c r="Y26" s="303" t="n"/>
      <c r="Z26" s="303" t="n"/>
      <c r="AA26" s="303" t="n"/>
      <c r="AB26" s="303" t="n"/>
      <c r="AC26" s="303" t="n"/>
      <c r="AD26" s="303">
        <f>IF(COUNTA(A26:O26)+COUNTA(Q26)+COUNTA(T26:W26)+COUNTA(Y26:AC26)=0,"",IF(AND(COUNTIF(Vocabulary!$J$5:$J$6,L26)=1,COUNTIF(Vocabulary!$J$5:$J$6,M26)=1,COUNTIF(Vocabulary!$J$5:$J$6,N26)=1,COUNTIF(Vocabulary!$J$5:$J$6,Y26)=1,COUNTIF(Vocabulary!$J$5:$J$6,Z26)=1,COUNTIF(Vocabulary!$J$5:$J$6,AA26)=1,COUNTIF(Vocabulary!$J$5:$J$6,AB26)=1,COUNTIF(Vocabulary!$J$5:$J$6,AC26)=1),"OK","UNRECOGNISED_BURDEN_VALUE"))</f>
        <v/>
      </c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56" t="n"/>
      <c r="I27" s="356" t="n"/>
      <c r="J27" s="356" t="n"/>
      <c r="K27" s="356" t="n"/>
      <c r="L27" s="356" t="n"/>
      <c r="M27" s="356" t="n"/>
      <c r="N27" s="356" t="n"/>
      <c r="O27" s="356" t="n"/>
      <c r="P27" s="302">
        <f>IF(COUNTA(A27:O27)+COUNTA(Q27)+COUNTA(T27:W27)+COUNTA(Y27:AC27)=0,"",IF(OR(NOT(ISNUMBER(D27)),NOT(ISNUMBER(E27)),NOT(ISNUMBER(F27)),NOT(ISNUMBER(G27)),NOT(ISNUMBER(H27)),NOT(ISNUMBER(I27)),NOT(ISNUMBER(J27)),NOT(ISNUMBER(K27)),AD27&lt;&gt;"OK"),"Not feasible",IF(OR(D27&lt;E27,F27&lt;G27,H27&lt;I27,J27&lt;K27,AND(L27="Yes",OR(M27&lt;&gt;"Yes",N27&lt;&gt;"Yes")),AND(Y27="Yes",OR(Z27&lt;&gt;"Yes",AA27&lt;&gt;"Yes")),AB27&lt;&gt;"Yes",AC27&lt;&gt;"Yes"),"Not feasible",IF(OR(L27="Yes",Y27="Yes"),"Feasible with verified support","Feasible"))))</f>
        <v/>
      </c>
      <c r="Q27" s="356" t="n"/>
      <c r="R27" s="302">
        <f>IF(AND(P27="",Q27=""),"",IF(AND(P27&lt;&gt;"",Q27=""),"UNRECORDED",IF(AND(P27="",Q27&lt;&gt;""),"ORPHAN_RECORDED",IF(P27=Q27,"MATCH","MISMATCH"))))</f>
        <v/>
      </c>
      <c r="S27" s="302">
        <f>IF(OR(NOT(ISNUMBER(E27)),NOT(ISNUMBER(G27))),"",E27+G27)</f>
        <v/>
      </c>
      <c r="T27" s="356" t="n"/>
      <c r="U27" s="356" t="n"/>
      <c r="V27" s="103" t="n"/>
      <c r="W27" s="253" t="n"/>
      <c r="X27" s="277">
        <f>IF(A27="","",IF(AND(W27="Completed",OR(P27="Feasible",P27="Feasible with verified support")),"Completed feasible",IF(OR(P27="Not feasible",W27="Stopped before rating",W27="Aborted during review"),"Infeasible or aborted","Incomplete")))</f>
        <v/>
      </c>
      <c r="Y27" s="303" t="n"/>
      <c r="Z27" s="303" t="n"/>
      <c r="AA27" s="303" t="n"/>
      <c r="AB27" s="303" t="n"/>
      <c r="AC27" s="303" t="n"/>
      <c r="AD27" s="303">
        <f>IF(COUNTA(A27:O27)+COUNTA(Q27)+COUNTA(T27:W27)+COUNTA(Y27:AC27)=0,"",IF(AND(COUNTIF(Vocabulary!$J$5:$J$6,L27)=1,COUNTIF(Vocabulary!$J$5:$J$6,M27)=1,COUNTIF(Vocabulary!$J$5:$J$6,N27)=1,COUNTIF(Vocabulary!$J$5:$J$6,Y27)=1,COUNTIF(Vocabulary!$J$5:$J$6,Z27)=1,COUNTIF(Vocabulary!$J$5:$J$6,AA27)=1,COUNTIF(Vocabulary!$J$5:$J$6,AB27)=1,COUNTIF(Vocabulary!$J$5:$J$6,AC27)=1),"OK","UNRECOGNISED_BURDEN_VALUE"))</f>
        <v/>
      </c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56" t="n"/>
      <c r="I28" s="356" t="n"/>
      <c r="J28" s="356" t="n"/>
      <c r="K28" s="356" t="n"/>
      <c r="L28" s="356" t="n"/>
      <c r="M28" s="356" t="n"/>
      <c r="N28" s="356" t="n"/>
      <c r="O28" s="356" t="n"/>
      <c r="P28" s="302">
        <f>IF(COUNTA(A28:O28)+COUNTA(Q28)+COUNTA(T28:W28)+COUNTA(Y28:AC28)=0,"",IF(OR(NOT(ISNUMBER(D28)),NOT(ISNUMBER(E28)),NOT(ISNUMBER(F28)),NOT(ISNUMBER(G28)),NOT(ISNUMBER(H28)),NOT(ISNUMBER(I28)),NOT(ISNUMBER(J28)),NOT(ISNUMBER(K28)),AD28&lt;&gt;"OK"),"Not feasible",IF(OR(D28&lt;E28,F28&lt;G28,H28&lt;I28,J28&lt;K28,AND(L28="Yes",OR(M28&lt;&gt;"Yes",N28&lt;&gt;"Yes")),AND(Y28="Yes",OR(Z28&lt;&gt;"Yes",AA28&lt;&gt;"Yes")),AB28&lt;&gt;"Yes",AC28&lt;&gt;"Yes"),"Not feasible",IF(OR(L28="Yes",Y28="Yes"),"Feasible with verified support","Feasible"))))</f>
        <v/>
      </c>
      <c r="Q28" s="356" t="n"/>
      <c r="R28" s="302">
        <f>IF(AND(P28="",Q28=""),"",IF(AND(P28&lt;&gt;"",Q28=""),"UNRECORDED",IF(AND(P28="",Q28&lt;&gt;""),"ORPHAN_RECORDED",IF(P28=Q28,"MATCH","MISMATCH"))))</f>
        <v/>
      </c>
      <c r="S28" s="302">
        <f>IF(OR(NOT(ISNUMBER(E28)),NOT(ISNUMBER(G28))),"",E28+G28)</f>
        <v/>
      </c>
      <c r="T28" s="356" t="n"/>
      <c r="U28" s="356" t="n"/>
      <c r="V28" s="103" t="n"/>
      <c r="W28" s="253" t="n"/>
      <c r="X28" s="277">
        <f>IF(A28="","",IF(AND(W28="Completed",OR(P28="Feasible",P28="Feasible with verified support")),"Completed feasible",IF(OR(P28="Not feasible",W28="Stopped before rating",W28="Aborted during review"),"Infeasible or aborted","Incomplete")))</f>
        <v/>
      </c>
      <c r="Y28" s="303" t="n"/>
      <c r="Z28" s="303" t="n"/>
      <c r="AA28" s="303" t="n"/>
      <c r="AB28" s="303" t="n"/>
      <c r="AC28" s="303" t="n"/>
      <c r="AD28" s="303">
        <f>IF(COUNTA(A28:O28)+COUNTA(Q28)+COUNTA(T28:W28)+COUNTA(Y28:AC28)=0,"",IF(AND(COUNTIF(Vocabulary!$J$5:$J$6,L28)=1,COUNTIF(Vocabulary!$J$5:$J$6,M28)=1,COUNTIF(Vocabulary!$J$5:$J$6,N28)=1,COUNTIF(Vocabulary!$J$5:$J$6,Y28)=1,COUNTIF(Vocabulary!$J$5:$J$6,Z28)=1,COUNTIF(Vocabulary!$J$5:$J$6,AA28)=1,COUNTIF(Vocabulary!$J$5:$J$6,AB28)=1,COUNTIF(Vocabulary!$J$5:$J$6,AC28)=1),"OK","UNRECOGNISED_BURDEN_VALUE"))</f>
        <v/>
      </c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56" t="n"/>
      <c r="I29" s="356" t="n"/>
      <c r="J29" s="356" t="n"/>
      <c r="K29" s="356" t="n"/>
      <c r="L29" s="356" t="n"/>
      <c r="M29" s="356" t="n"/>
      <c r="N29" s="356" t="n"/>
      <c r="O29" s="356" t="n"/>
      <c r="P29" s="302">
        <f>IF(COUNTA(A29:O29)+COUNTA(Q29)+COUNTA(T29:W29)+COUNTA(Y29:AC29)=0,"",IF(OR(NOT(ISNUMBER(D29)),NOT(ISNUMBER(E29)),NOT(ISNUMBER(F29)),NOT(ISNUMBER(G29)),NOT(ISNUMBER(H29)),NOT(ISNUMBER(I29)),NOT(ISNUMBER(J29)),NOT(ISNUMBER(K29)),AD29&lt;&gt;"OK"),"Not feasible",IF(OR(D29&lt;E29,F29&lt;G29,H29&lt;I29,J29&lt;K29,AND(L29="Yes",OR(M29&lt;&gt;"Yes",N29&lt;&gt;"Yes")),AND(Y29="Yes",OR(Z29&lt;&gt;"Yes",AA29&lt;&gt;"Yes")),AB29&lt;&gt;"Yes",AC29&lt;&gt;"Yes"),"Not feasible",IF(OR(L29="Yes",Y29="Yes"),"Feasible with verified support","Feasible"))))</f>
        <v/>
      </c>
      <c r="Q29" s="356" t="n"/>
      <c r="R29" s="302">
        <f>IF(AND(P29="",Q29=""),"",IF(AND(P29&lt;&gt;"",Q29=""),"UNRECORDED",IF(AND(P29="",Q29&lt;&gt;""),"ORPHAN_RECORDED",IF(P29=Q29,"MATCH","MISMATCH"))))</f>
        <v/>
      </c>
      <c r="S29" s="302">
        <f>IF(OR(NOT(ISNUMBER(E29)),NOT(ISNUMBER(G29))),"",E29+G29)</f>
        <v/>
      </c>
      <c r="T29" s="356" t="n"/>
      <c r="U29" s="356" t="n"/>
      <c r="V29" s="103" t="n"/>
      <c r="W29" s="253" t="n"/>
      <c r="X29" s="277">
        <f>IF(A29="","",IF(AND(W29="Completed",OR(P29="Feasible",P29="Feasible with verified support")),"Completed feasible",IF(OR(P29="Not feasible",W29="Stopped before rating",W29="Aborted during review"),"Infeasible or aborted","Incomplete")))</f>
        <v/>
      </c>
      <c r="Y29" s="303" t="n"/>
      <c r="Z29" s="303" t="n"/>
      <c r="AA29" s="303" t="n"/>
      <c r="AB29" s="303" t="n"/>
      <c r="AC29" s="303" t="n"/>
      <c r="AD29" s="303">
        <f>IF(COUNTA(A29:O29)+COUNTA(Q29)+COUNTA(T29:W29)+COUNTA(Y29:AC29)=0,"",IF(AND(COUNTIF(Vocabulary!$J$5:$J$6,L29)=1,COUNTIF(Vocabulary!$J$5:$J$6,M29)=1,COUNTIF(Vocabulary!$J$5:$J$6,N29)=1,COUNTIF(Vocabulary!$J$5:$J$6,Y29)=1,COUNTIF(Vocabulary!$J$5:$J$6,Z29)=1,COUNTIF(Vocabulary!$J$5:$J$6,AA29)=1,COUNTIF(Vocabulary!$J$5:$J$6,AB29)=1,COUNTIF(Vocabulary!$J$5:$J$6,AC29)=1),"OK","UNRECOGNISED_BURDEN_VALUE"))</f>
        <v/>
      </c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  <c r="O30" s="356" t="n"/>
      <c r="P30" s="302">
        <f>IF(COUNTA(A30:O30)+COUNTA(Q30)+COUNTA(T30:W30)+COUNTA(Y30:AC30)=0,"",IF(OR(NOT(ISNUMBER(D30)),NOT(ISNUMBER(E30)),NOT(ISNUMBER(F30)),NOT(ISNUMBER(G30)),NOT(ISNUMBER(H30)),NOT(ISNUMBER(I30)),NOT(ISNUMBER(J30)),NOT(ISNUMBER(K30)),AD30&lt;&gt;"OK"),"Not feasible",IF(OR(D30&lt;E30,F30&lt;G30,H30&lt;I30,J30&lt;K30,AND(L30="Yes",OR(M30&lt;&gt;"Yes",N30&lt;&gt;"Yes")),AND(Y30="Yes",OR(Z30&lt;&gt;"Yes",AA30&lt;&gt;"Yes")),AB30&lt;&gt;"Yes",AC30&lt;&gt;"Yes"),"Not feasible",IF(OR(L30="Yes",Y30="Yes"),"Feasible with verified support","Feasible"))))</f>
        <v/>
      </c>
      <c r="Q30" s="356" t="n"/>
      <c r="R30" s="302">
        <f>IF(AND(P30="",Q30=""),"",IF(AND(P30&lt;&gt;"",Q30=""),"UNRECORDED",IF(AND(P30="",Q30&lt;&gt;""),"ORPHAN_RECORDED",IF(P30=Q30,"MATCH","MISMATCH"))))</f>
        <v/>
      </c>
      <c r="S30" s="302">
        <f>IF(OR(NOT(ISNUMBER(E30)),NOT(ISNUMBER(G30))),"",E30+G30)</f>
        <v/>
      </c>
      <c r="T30" s="356" t="n"/>
      <c r="U30" s="356" t="n"/>
      <c r="V30" s="103" t="n"/>
      <c r="W30" s="253" t="n"/>
      <c r="X30" s="277">
        <f>IF(A30="","",IF(AND(W30="Completed",OR(P30="Feasible",P30="Feasible with verified support")),"Completed feasible",IF(OR(P30="Not feasible",W30="Stopped before rating",W30="Aborted during review"),"Infeasible or aborted","Incomplete")))</f>
        <v/>
      </c>
      <c r="Y30" s="303" t="n"/>
      <c r="Z30" s="303" t="n"/>
      <c r="AA30" s="303" t="n"/>
      <c r="AB30" s="303" t="n"/>
      <c r="AC30" s="303" t="n"/>
      <c r="AD30" s="303">
        <f>IF(COUNTA(A30:O30)+COUNTA(Q30)+COUNTA(T30:W30)+COUNTA(Y30:AC30)=0,"",IF(AND(COUNTIF(Vocabulary!$J$5:$J$6,L30)=1,COUNTIF(Vocabulary!$J$5:$J$6,M30)=1,COUNTIF(Vocabulary!$J$5:$J$6,N30)=1,COUNTIF(Vocabulary!$J$5:$J$6,Y30)=1,COUNTIF(Vocabulary!$J$5:$J$6,Z30)=1,COUNTIF(Vocabulary!$J$5:$J$6,AA30)=1,COUNTIF(Vocabulary!$J$5:$J$6,AB30)=1,COUNTIF(Vocabulary!$J$5:$J$6,AC30)=1),"OK","UNRECOGNISED_BURDEN_VALUE"))</f>
        <v/>
      </c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56" t="n"/>
      <c r="I31" s="356" t="n"/>
      <c r="J31" s="356" t="n"/>
      <c r="K31" s="356" t="n"/>
      <c r="L31" s="356" t="n"/>
      <c r="M31" s="356" t="n"/>
      <c r="N31" s="356" t="n"/>
      <c r="O31" s="356" t="n"/>
      <c r="P31" s="302">
        <f>IF(COUNTA(A31:O31)+COUNTA(Q31)+COUNTA(T31:W31)+COUNTA(Y31:AC31)=0,"",IF(OR(NOT(ISNUMBER(D31)),NOT(ISNUMBER(E31)),NOT(ISNUMBER(F31)),NOT(ISNUMBER(G31)),NOT(ISNUMBER(H31)),NOT(ISNUMBER(I31)),NOT(ISNUMBER(J31)),NOT(ISNUMBER(K31)),AD31&lt;&gt;"OK"),"Not feasible",IF(OR(D31&lt;E31,F31&lt;G31,H31&lt;I31,J31&lt;K31,AND(L31="Yes",OR(M31&lt;&gt;"Yes",N31&lt;&gt;"Yes")),AND(Y31="Yes",OR(Z31&lt;&gt;"Yes",AA31&lt;&gt;"Yes")),AB31&lt;&gt;"Yes",AC31&lt;&gt;"Yes"),"Not feasible",IF(OR(L31="Yes",Y31="Yes"),"Feasible with verified support","Feasible"))))</f>
        <v/>
      </c>
      <c r="Q31" s="356" t="n"/>
      <c r="R31" s="302">
        <f>IF(AND(P31="",Q31=""),"",IF(AND(P31&lt;&gt;"",Q31=""),"UNRECORDED",IF(AND(P31="",Q31&lt;&gt;""),"ORPHAN_RECORDED",IF(P31=Q31,"MATCH","MISMATCH"))))</f>
        <v/>
      </c>
      <c r="S31" s="302">
        <f>IF(OR(NOT(ISNUMBER(E31)),NOT(ISNUMBER(G31))),"",E31+G31)</f>
        <v/>
      </c>
      <c r="T31" s="356" t="n"/>
      <c r="U31" s="356" t="n"/>
      <c r="V31" s="103" t="n"/>
      <c r="W31" s="253" t="n"/>
      <c r="X31" s="277">
        <f>IF(A31="","",IF(AND(W31="Completed",OR(P31="Feasible",P31="Feasible with verified support")),"Completed feasible",IF(OR(P31="Not feasible",W31="Stopped before rating",W31="Aborted during review"),"Infeasible or aborted","Incomplete")))</f>
        <v/>
      </c>
      <c r="Y31" s="303" t="n"/>
      <c r="Z31" s="303" t="n"/>
      <c r="AA31" s="303" t="n"/>
      <c r="AB31" s="303" t="n"/>
      <c r="AC31" s="303" t="n"/>
      <c r="AD31" s="303">
        <f>IF(COUNTA(A31:O31)+COUNTA(Q31)+COUNTA(T31:W31)+COUNTA(Y31:AC31)=0,"",IF(AND(COUNTIF(Vocabulary!$J$5:$J$6,L31)=1,COUNTIF(Vocabulary!$J$5:$J$6,M31)=1,COUNTIF(Vocabulary!$J$5:$J$6,N31)=1,COUNTIF(Vocabulary!$J$5:$J$6,Y31)=1,COUNTIF(Vocabulary!$J$5:$J$6,Z31)=1,COUNTIF(Vocabulary!$J$5:$J$6,AA31)=1,COUNTIF(Vocabulary!$J$5:$J$6,AB31)=1,COUNTIF(Vocabulary!$J$5:$J$6,AC31)=1),"OK","UNRECOGNISED_BURDEN_VALUE"))</f>
        <v/>
      </c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56" t="n"/>
      <c r="I32" s="356" t="n"/>
      <c r="J32" s="356" t="n"/>
      <c r="K32" s="356" t="n"/>
      <c r="L32" s="356" t="n"/>
      <c r="M32" s="356" t="n"/>
      <c r="N32" s="356" t="n"/>
      <c r="O32" s="356" t="n"/>
      <c r="P32" s="302">
        <f>IF(COUNTA(A32:O32)+COUNTA(Q32)+COUNTA(T32:W32)+COUNTA(Y32:AC32)=0,"",IF(OR(NOT(ISNUMBER(D32)),NOT(ISNUMBER(E32)),NOT(ISNUMBER(F32)),NOT(ISNUMBER(G32)),NOT(ISNUMBER(H32)),NOT(ISNUMBER(I32)),NOT(ISNUMBER(J32)),NOT(ISNUMBER(K32)),AD32&lt;&gt;"OK"),"Not feasible",IF(OR(D32&lt;E32,F32&lt;G32,H32&lt;I32,J32&lt;K32,AND(L32="Yes",OR(M32&lt;&gt;"Yes",N32&lt;&gt;"Yes")),AND(Y32="Yes",OR(Z32&lt;&gt;"Yes",AA32&lt;&gt;"Yes")),AB32&lt;&gt;"Yes",AC32&lt;&gt;"Yes"),"Not feasible",IF(OR(L32="Yes",Y32="Yes"),"Feasible with verified support","Feasible"))))</f>
        <v/>
      </c>
      <c r="Q32" s="356" t="n"/>
      <c r="R32" s="302">
        <f>IF(AND(P32="",Q32=""),"",IF(AND(P32&lt;&gt;"",Q32=""),"UNRECORDED",IF(AND(P32="",Q32&lt;&gt;""),"ORPHAN_RECORDED",IF(P32=Q32,"MATCH","MISMATCH"))))</f>
        <v/>
      </c>
      <c r="S32" s="302">
        <f>IF(OR(NOT(ISNUMBER(E32)),NOT(ISNUMBER(G32))),"",E32+G32)</f>
        <v/>
      </c>
      <c r="T32" s="356" t="n"/>
      <c r="U32" s="356" t="n"/>
      <c r="V32" s="103" t="n"/>
      <c r="W32" s="253" t="n"/>
      <c r="X32" s="277">
        <f>IF(A32="","",IF(AND(W32="Completed",OR(P32="Feasible",P32="Feasible with verified support")),"Completed feasible",IF(OR(P32="Not feasible",W32="Stopped before rating",W32="Aborted during review"),"Infeasible or aborted","Incomplete")))</f>
        <v/>
      </c>
      <c r="Y32" s="303" t="n"/>
      <c r="Z32" s="303" t="n"/>
      <c r="AA32" s="303" t="n"/>
      <c r="AB32" s="303" t="n"/>
      <c r="AC32" s="303" t="n"/>
      <c r="AD32" s="303">
        <f>IF(COUNTA(A32:O32)+COUNTA(Q32)+COUNTA(T32:W32)+COUNTA(Y32:AC32)=0,"",IF(AND(COUNTIF(Vocabulary!$J$5:$J$6,L32)=1,COUNTIF(Vocabulary!$J$5:$J$6,M32)=1,COUNTIF(Vocabulary!$J$5:$J$6,N32)=1,COUNTIF(Vocabulary!$J$5:$J$6,Y32)=1,COUNTIF(Vocabulary!$J$5:$J$6,Z32)=1,COUNTIF(Vocabulary!$J$5:$J$6,AA32)=1,COUNTIF(Vocabulary!$J$5:$J$6,AB32)=1,COUNTIF(Vocabulary!$J$5:$J$6,AC32)=1),"OK","UNRECOGNISED_BURDEN_VALUE"))</f>
        <v/>
      </c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02">
        <f>IF(COUNTA(A33:O33)+COUNTA(Q33)+COUNTA(T33:W33)+COUNTA(Y33:AC33)=0,"",IF(OR(NOT(ISNUMBER(D33)),NOT(ISNUMBER(E33)),NOT(ISNUMBER(F33)),NOT(ISNUMBER(G33)),NOT(ISNUMBER(H33)),NOT(ISNUMBER(I33)),NOT(ISNUMBER(J33)),NOT(ISNUMBER(K33)),AD33&lt;&gt;"OK"),"Not feasible",IF(OR(D33&lt;E33,F33&lt;G33,H33&lt;I33,J33&lt;K33,AND(L33="Yes",OR(M33&lt;&gt;"Yes",N33&lt;&gt;"Yes")),AND(Y33="Yes",OR(Z33&lt;&gt;"Yes",AA33&lt;&gt;"Yes")),AB33&lt;&gt;"Yes",AC33&lt;&gt;"Yes"),"Not feasible",IF(OR(L33="Yes",Y33="Yes"),"Feasible with verified support","Feasible"))))</f>
        <v/>
      </c>
      <c r="Q33" s="356" t="n"/>
      <c r="R33" s="302">
        <f>IF(AND(P33="",Q33=""),"",IF(AND(P33&lt;&gt;"",Q33=""),"UNRECORDED",IF(AND(P33="",Q33&lt;&gt;""),"ORPHAN_RECORDED",IF(P33=Q33,"MATCH","MISMATCH"))))</f>
        <v/>
      </c>
      <c r="S33" s="302">
        <f>IF(OR(NOT(ISNUMBER(E33)),NOT(ISNUMBER(G33))),"",E33+G33)</f>
        <v/>
      </c>
      <c r="T33" s="356" t="n"/>
      <c r="U33" s="356" t="n"/>
      <c r="V33" s="103" t="n"/>
      <c r="W33" s="253" t="n"/>
      <c r="X33" s="277">
        <f>IF(A33="","",IF(AND(W33="Completed",OR(P33="Feasible",P33="Feasible with verified support")),"Completed feasible",IF(OR(P33="Not feasible",W33="Stopped before rating",W33="Aborted during review"),"Infeasible or aborted","Incomplete")))</f>
        <v/>
      </c>
      <c r="Y33" s="303" t="n"/>
      <c r="Z33" s="303" t="n"/>
      <c r="AA33" s="303" t="n"/>
      <c r="AB33" s="303" t="n"/>
      <c r="AC33" s="303" t="n"/>
      <c r="AD33" s="303">
        <f>IF(COUNTA(A33:O33)+COUNTA(Q33)+COUNTA(T33:W33)+COUNTA(Y33:AC33)=0,"",IF(AND(COUNTIF(Vocabulary!$J$5:$J$6,L33)=1,COUNTIF(Vocabulary!$J$5:$J$6,M33)=1,COUNTIF(Vocabulary!$J$5:$J$6,N33)=1,COUNTIF(Vocabulary!$J$5:$J$6,Y33)=1,COUNTIF(Vocabulary!$J$5:$J$6,Z33)=1,COUNTIF(Vocabulary!$J$5:$J$6,AA33)=1,COUNTIF(Vocabulary!$J$5:$J$6,AB33)=1,COUNTIF(Vocabulary!$J$5:$J$6,AC33)=1),"OK","UNRECOGNISED_BURDEN_VALUE"))</f>
        <v/>
      </c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356" t="n"/>
      <c r="N34" s="356" t="n"/>
      <c r="O34" s="356" t="n"/>
      <c r="P34" s="302">
        <f>IF(COUNTA(A34:O34)+COUNTA(Q34)+COUNTA(T34:W34)+COUNTA(Y34:AC34)=0,"",IF(OR(NOT(ISNUMBER(D34)),NOT(ISNUMBER(E34)),NOT(ISNUMBER(F34)),NOT(ISNUMBER(G34)),NOT(ISNUMBER(H34)),NOT(ISNUMBER(I34)),NOT(ISNUMBER(J34)),NOT(ISNUMBER(K34)),AD34&lt;&gt;"OK"),"Not feasible",IF(OR(D34&lt;E34,F34&lt;G34,H34&lt;I34,J34&lt;K34,AND(L34="Yes",OR(M34&lt;&gt;"Yes",N34&lt;&gt;"Yes")),AND(Y34="Yes",OR(Z34&lt;&gt;"Yes",AA34&lt;&gt;"Yes")),AB34&lt;&gt;"Yes",AC34&lt;&gt;"Yes"),"Not feasible",IF(OR(L34="Yes",Y34="Yes"),"Feasible with verified support","Feasible"))))</f>
        <v/>
      </c>
      <c r="Q34" s="356" t="n"/>
      <c r="R34" s="302">
        <f>IF(AND(P34="",Q34=""),"",IF(AND(P34&lt;&gt;"",Q34=""),"UNRECORDED",IF(AND(P34="",Q34&lt;&gt;""),"ORPHAN_RECORDED",IF(P34=Q34,"MATCH","MISMATCH"))))</f>
        <v/>
      </c>
      <c r="S34" s="302">
        <f>IF(OR(NOT(ISNUMBER(E34)),NOT(ISNUMBER(G34))),"",E34+G34)</f>
        <v/>
      </c>
      <c r="T34" s="356" t="n"/>
      <c r="U34" s="356" t="n"/>
      <c r="V34" s="103" t="n"/>
      <c r="W34" s="253" t="n"/>
      <c r="X34" s="277">
        <f>IF(A34="","",IF(AND(W34="Completed",OR(P34="Feasible",P34="Feasible with verified support")),"Completed feasible",IF(OR(P34="Not feasible",W34="Stopped before rating",W34="Aborted during review"),"Infeasible or aborted","Incomplete")))</f>
        <v/>
      </c>
      <c r="Y34" s="303" t="n"/>
      <c r="Z34" s="303" t="n"/>
      <c r="AA34" s="303" t="n"/>
      <c r="AB34" s="303" t="n"/>
      <c r="AC34" s="303" t="n"/>
      <c r="AD34" s="303">
        <f>IF(COUNTA(A34:O34)+COUNTA(Q34)+COUNTA(T34:W34)+COUNTA(Y34:AC34)=0,"",IF(AND(COUNTIF(Vocabulary!$J$5:$J$6,L34)=1,COUNTIF(Vocabulary!$J$5:$J$6,M34)=1,COUNTIF(Vocabulary!$J$5:$J$6,N34)=1,COUNTIF(Vocabulary!$J$5:$J$6,Y34)=1,COUNTIF(Vocabulary!$J$5:$J$6,Z34)=1,COUNTIF(Vocabulary!$J$5:$J$6,AA34)=1,COUNTIF(Vocabulary!$J$5:$J$6,AB34)=1,COUNTIF(Vocabulary!$J$5:$J$6,AC34)=1),"OK","UNRECOGNISED_BURDEN_VALUE"))</f>
        <v/>
      </c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6" t="n"/>
      <c r="L35" s="356" t="n"/>
      <c r="M35" s="356" t="n"/>
      <c r="N35" s="356" t="n"/>
      <c r="O35" s="356" t="n"/>
      <c r="P35" s="302">
        <f>IF(COUNTA(A35:O35)+COUNTA(Q35)+COUNTA(T35:W35)+COUNTA(Y35:AC35)=0,"",IF(OR(NOT(ISNUMBER(D35)),NOT(ISNUMBER(E35)),NOT(ISNUMBER(F35)),NOT(ISNUMBER(G35)),NOT(ISNUMBER(H35)),NOT(ISNUMBER(I35)),NOT(ISNUMBER(J35)),NOT(ISNUMBER(K35)),AD35&lt;&gt;"OK"),"Not feasible",IF(OR(D35&lt;E35,F35&lt;G35,H35&lt;I35,J35&lt;K35,AND(L35="Yes",OR(M35&lt;&gt;"Yes",N35&lt;&gt;"Yes")),AND(Y35="Yes",OR(Z35&lt;&gt;"Yes",AA35&lt;&gt;"Yes")),AB35&lt;&gt;"Yes",AC35&lt;&gt;"Yes"),"Not feasible",IF(OR(L35="Yes",Y35="Yes"),"Feasible with verified support","Feasible"))))</f>
        <v/>
      </c>
      <c r="Q35" s="356" t="n"/>
      <c r="R35" s="302">
        <f>IF(AND(P35="",Q35=""),"",IF(AND(P35&lt;&gt;"",Q35=""),"UNRECORDED",IF(AND(P35="",Q35&lt;&gt;""),"ORPHAN_RECORDED",IF(P35=Q35,"MATCH","MISMATCH"))))</f>
        <v/>
      </c>
      <c r="S35" s="302">
        <f>IF(OR(NOT(ISNUMBER(E35)),NOT(ISNUMBER(G35))),"",E35+G35)</f>
        <v/>
      </c>
      <c r="T35" s="356" t="n"/>
      <c r="U35" s="356" t="n"/>
      <c r="V35" s="103" t="n"/>
      <c r="W35" s="253" t="n"/>
      <c r="X35" s="277">
        <f>IF(A35="","",IF(AND(W35="Completed",OR(P35="Feasible",P35="Feasible with verified support")),"Completed feasible",IF(OR(P35="Not feasible",W35="Stopped before rating",W35="Aborted during review"),"Infeasible or aborted","Incomplete")))</f>
        <v/>
      </c>
      <c r="Y35" s="303" t="n"/>
      <c r="Z35" s="303" t="n"/>
      <c r="AA35" s="303" t="n"/>
      <c r="AB35" s="303" t="n"/>
      <c r="AC35" s="303" t="n"/>
      <c r="AD35" s="303">
        <f>IF(COUNTA(A35:O35)+COUNTA(Q35)+COUNTA(T35:W35)+COUNTA(Y35:AC35)=0,"",IF(AND(COUNTIF(Vocabulary!$J$5:$J$6,L35)=1,COUNTIF(Vocabulary!$J$5:$J$6,M35)=1,COUNTIF(Vocabulary!$J$5:$J$6,N35)=1,COUNTIF(Vocabulary!$J$5:$J$6,Y35)=1,COUNTIF(Vocabulary!$J$5:$J$6,Z35)=1,COUNTIF(Vocabulary!$J$5:$J$6,AA35)=1,COUNTIF(Vocabulary!$J$5:$J$6,AB35)=1,COUNTIF(Vocabulary!$J$5:$J$6,AC35)=1),"OK","UNRECOGNISED_BURDEN_VALUE"))</f>
        <v/>
      </c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56" t="n"/>
      <c r="I36" s="356" t="n"/>
      <c r="J36" s="356" t="n"/>
      <c r="K36" s="356" t="n"/>
      <c r="L36" s="356" t="n"/>
      <c r="M36" s="356" t="n"/>
      <c r="N36" s="356" t="n"/>
      <c r="O36" s="356" t="n"/>
      <c r="P36" s="302">
        <f>IF(COUNTA(A36:O36)+COUNTA(Q36)+COUNTA(T36:W36)+COUNTA(Y36:AC36)=0,"",IF(OR(NOT(ISNUMBER(D36)),NOT(ISNUMBER(E36)),NOT(ISNUMBER(F36)),NOT(ISNUMBER(G36)),NOT(ISNUMBER(H36)),NOT(ISNUMBER(I36)),NOT(ISNUMBER(J36)),NOT(ISNUMBER(K36)),AD36&lt;&gt;"OK"),"Not feasible",IF(OR(D36&lt;E36,F36&lt;G36,H36&lt;I36,J36&lt;K36,AND(L36="Yes",OR(M36&lt;&gt;"Yes",N36&lt;&gt;"Yes")),AND(Y36="Yes",OR(Z36&lt;&gt;"Yes",AA36&lt;&gt;"Yes")),AB36&lt;&gt;"Yes",AC36&lt;&gt;"Yes"),"Not feasible",IF(OR(L36="Yes",Y36="Yes"),"Feasible with verified support","Feasible"))))</f>
        <v/>
      </c>
      <c r="Q36" s="356" t="n"/>
      <c r="R36" s="302">
        <f>IF(AND(P36="",Q36=""),"",IF(AND(P36&lt;&gt;"",Q36=""),"UNRECORDED",IF(AND(P36="",Q36&lt;&gt;""),"ORPHAN_RECORDED",IF(P36=Q36,"MATCH","MISMATCH"))))</f>
        <v/>
      </c>
      <c r="S36" s="302">
        <f>IF(OR(NOT(ISNUMBER(E36)),NOT(ISNUMBER(G36))),"",E36+G36)</f>
        <v/>
      </c>
      <c r="T36" s="356" t="n"/>
      <c r="U36" s="356" t="n"/>
      <c r="V36" s="103" t="n"/>
      <c r="W36" s="253" t="n"/>
      <c r="X36" s="277">
        <f>IF(A36="","",IF(AND(W36="Completed",OR(P36="Feasible",P36="Feasible with verified support")),"Completed feasible",IF(OR(P36="Not feasible",W36="Stopped before rating",W36="Aborted during review"),"Infeasible or aborted","Incomplete")))</f>
        <v/>
      </c>
      <c r="Y36" s="303" t="n"/>
      <c r="Z36" s="303" t="n"/>
      <c r="AA36" s="303" t="n"/>
      <c r="AB36" s="303" t="n"/>
      <c r="AC36" s="303" t="n"/>
      <c r="AD36" s="303">
        <f>IF(COUNTA(A36:O36)+COUNTA(Q36)+COUNTA(T36:W36)+COUNTA(Y36:AC36)=0,"",IF(AND(COUNTIF(Vocabulary!$J$5:$J$6,L36)=1,COUNTIF(Vocabulary!$J$5:$J$6,M36)=1,COUNTIF(Vocabulary!$J$5:$J$6,N36)=1,COUNTIF(Vocabulary!$J$5:$J$6,Y36)=1,COUNTIF(Vocabulary!$J$5:$J$6,Z36)=1,COUNTIF(Vocabulary!$J$5:$J$6,AA36)=1,COUNTIF(Vocabulary!$J$5:$J$6,AB36)=1,COUNTIF(Vocabulary!$J$5:$J$6,AC36)=1),"OK","UNRECOGNISED_BURDEN_VALUE"))</f>
        <v/>
      </c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6" t="n"/>
      <c r="L37" s="356" t="n"/>
      <c r="M37" s="356" t="n"/>
      <c r="N37" s="356" t="n"/>
      <c r="O37" s="356" t="n"/>
      <c r="P37" s="302">
        <f>IF(COUNTA(A37:O37)+COUNTA(Q37)+COUNTA(T37:W37)+COUNTA(Y37:AC37)=0,"",IF(OR(NOT(ISNUMBER(D37)),NOT(ISNUMBER(E37)),NOT(ISNUMBER(F37)),NOT(ISNUMBER(G37)),NOT(ISNUMBER(H37)),NOT(ISNUMBER(I37)),NOT(ISNUMBER(J37)),NOT(ISNUMBER(K37)),AD37&lt;&gt;"OK"),"Not feasible",IF(OR(D37&lt;E37,F37&lt;G37,H37&lt;I37,J37&lt;K37,AND(L37="Yes",OR(M37&lt;&gt;"Yes",N37&lt;&gt;"Yes")),AND(Y37="Yes",OR(Z37&lt;&gt;"Yes",AA37&lt;&gt;"Yes")),AB37&lt;&gt;"Yes",AC37&lt;&gt;"Yes"),"Not feasible",IF(OR(L37="Yes",Y37="Yes"),"Feasible with verified support","Feasible"))))</f>
        <v/>
      </c>
      <c r="Q37" s="356" t="n"/>
      <c r="R37" s="302">
        <f>IF(AND(P37="",Q37=""),"",IF(AND(P37&lt;&gt;"",Q37=""),"UNRECORDED",IF(AND(P37="",Q37&lt;&gt;""),"ORPHAN_RECORDED",IF(P37=Q37,"MATCH","MISMATCH"))))</f>
        <v/>
      </c>
      <c r="S37" s="302">
        <f>IF(OR(NOT(ISNUMBER(E37)),NOT(ISNUMBER(G37))),"",E37+G37)</f>
        <v/>
      </c>
      <c r="T37" s="356" t="n"/>
      <c r="U37" s="356" t="n"/>
      <c r="V37" s="103" t="n"/>
      <c r="W37" s="253" t="n"/>
      <c r="X37" s="277">
        <f>IF(A37="","",IF(AND(W37="Completed",OR(P37="Feasible",P37="Feasible with verified support")),"Completed feasible",IF(OR(P37="Not feasible",W37="Stopped before rating",W37="Aborted during review"),"Infeasible or aborted","Incomplete")))</f>
        <v/>
      </c>
      <c r="Y37" s="303" t="n"/>
      <c r="Z37" s="303" t="n"/>
      <c r="AA37" s="303" t="n"/>
      <c r="AB37" s="303" t="n"/>
      <c r="AC37" s="303" t="n"/>
      <c r="AD37" s="303">
        <f>IF(COUNTA(A37:O37)+COUNTA(Q37)+COUNTA(T37:W37)+COUNTA(Y37:AC37)=0,"",IF(AND(COUNTIF(Vocabulary!$J$5:$J$6,L37)=1,COUNTIF(Vocabulary!$J$5:$J$6,M37)=1,COUNTIF(Vocabulary!$J$5:$J$6,N37)=1,COUNTIF(Vocabulary!$J$5:$J$6,Y37)=1,COUNTIF(Vocabulary!$J$5:$J$6,Z37)=1,COUNTIF(Vocabulary!$J$5:$J$6,AA37)=1,COUNTIF(Vocabulary!$J$5:$J$6,AB37)=1,COUNTIF(Vocabulary!$J$5:$J$6,AC37)=1),"OK","UNRECOGNISED_BURDEN_VALUE"))</f>
        <v/>
      </c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56" t="n"/>
      <c r="I38" s="356" t="n"/>
      <c r="J38" s="356" t="n"/>
      <c r="K38" s="356" t="n"/>
      <c r="L38" s="356" t="n"/>
      <c r="M38" s="356" t="n"/>
      <c r="N38" s="356" t="n"/>
      <c r="O38" s="356" t="n"/>
      <c r="P38" s="302">
        <f>IF(COUNTA(A38:O38)+COUNTA(Q38)+COUNTA(T38:W38)+COUNTA(Y38:AC38)=0,"",IF(OR(NOT(ISNUMBER(D38)),NOT(ISNUMBER(E38)),NOT(ISNUMBER(F38)),NOT(ISNUMBER(G38)),NOT(ISNUMBER(H38)),NOT(ISNUMBER(I38)),NOT(ISNUMBER(J38)),NOT(ISNUMBER(K38)),AD38&lt;&gt;"OK"),"Not feasible",IF(OR(D38&lt;E38,F38&lt;G38,H38&lt;I38,J38&lt;K38,AND(L38="Yes",OR(M38&lt;&gt;"Yes",N38&lt;&gt;"Yes")),AND(Y38="Yes",OR(Z38&lt;&gt;"Yes",AA38&lt;&gt;"Yes")),AB38&lt;&gt;"Yes",AC38&lt;&gt;"Yes"),"Not feasible",IF(OR(L38="Yes",Y38="Yes"),"Feasible with verified support","Feasible"))))</f>
        <v/>
      </c>
      <c r="Q38" s="356" t="n"/>
      <c r="R38" s="302">
        <f>IF(AND(P38="",Q38=""),"",IF(AND(P38&lt;&gt;"",Q38=""),"UNRECORDED",IF(AND(P38="",Q38&lt;&gt;""),"ORPHAN_RECORDED",IF(P38=Q38,"MATCH","MISMATCH"))))</f>
        <v/>
      </c>
      <c r="S38" s="302">
        <f>IF(OR(NOT(ISNUMBER(E38)),NOT(ISNUMBER(G38))),"",E38+G38)</f>
        <v/>
      </c>
      <c r="T38" s="356" t="n"/>
      <c r="U38" s="356" t="n"/>
      <c r="V38" s="103" t="n"/>
      <c r="W38" s="253" t="n"/>
      <c r="X38" s="277">
        <f>IF(A38="","",IF(AND(W38="Completed",OR(P38="Feasible",P38="Feasible with verified support")),"Completed feasible",IF(OR(P38="Not feasible",W38="Stopped before rating",W38="Aborted during review"),"Infeasible or aborted","Incomplete")))</f>
        <v/>
      </c>
      <c r="Y38" s="303" t="n"/>
      <c r="Z38" s="303" t="n"/>
      <c r="AA38" s="303" t="n"/>
      <c r="AB38" s="303" t="n"/>
      <c r="AC38" s="303" t="n"/>
      <c r="AD38" s="303">
        <f>IF(COUNTA(A38:O38)+COUNTA(Q38)+COUNTA(T38:W38)+COUNTA(Y38:AC38)=0,"",IF(AND(COUNTIF(Vocabulary!$J$5:$J$6,L38)=1,COUNTIF(Vocabulary!$J$5:$J$6,M38)=1,COUNTIF(Vocabulary!$J$5:$J$6,N38)=1,COUNTIF(Vocabulary!$J$5:$J$6,Y38)=1,COUNTIF(Vocabulary!$J$5:$J$6,Z38)=1,COUNTIF(Vocabulary!$J$5:$J$6,AA38)=1,COUNTIF(Vocabulary!$J$5:$J$6,AB38)=1,COUNTIF(Vocabulary!$J$5:$J$6,AC38)=1),"OK","UNRECOGNISED_BURDEN_VALUE"))</f>
        <v/>
      </c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56" t="n"/>
      <c r="I39" s="356" t="n"/>
      <c r="J39" s="356" t="n"/>
      <c r="K39" s="356" t="n"/>
      <c r="L39" s="356" t="n"/>
      <c r="M39" s="356" t="n"/>
      <c r="N39" s="356" t="n"/>
      <c r="O39" s="356" t="n"/>
      <c r="P39" s="302">
        <f>IF(COUNTA(A39:O39)+COUNTA(Q39)+COUNTA(T39:W39)+COUNTA(Y39:AC39)=0,"",IF(OR(NOT(ISNUMBER(D39)),NOT(ISNUMBER(E39)),NOT(ISNUMBER(F39)),NOT(ISNUMBER(G39)),NOT(ISNUMBER(H39)),NOT(ISNUMBER(I39)),NOT(ISNUMBER(J39)),NOT(ISNUMBER(K39)),AD39&lt;&gt;"OK"),"Not feasible",IF(OR(D39&lt;E39,F39&lt;G39,H39&lt;I39,J39&lt;K39,AND(L39="Yes",OR(M39&lt;&gt;"Yes",N39&lt;&gt;"Yes")),AND(Y39="Yes",OR(Z39&lt;&gt;"Yes",AA39&lt;&gt;"Yes")),AB39&lt;&gt;"Yes",AC39&lt;&gt;"Yes"),"Not feasible",IF(OR(L39="Yes",Y39="Yes"),"Feasible with verified support","Feasible"))))</f>
        <v/>
      </c>
      <c r="Q39" s="356" t="n"/>
      <c r="R39" s="302">
        <f>IF(AND(P39="",Q39=""),"",IF(AND(P39&lt;&gt;"",Q39=""),"UNRECORDED",IF(AND(P39="",Q39&lt;&gt;""),"ORPHAN_RECORDED",IF(P39=Q39,"MATCH","MISMATCH"))))</f>
        <v/>
      </c>
      <c r="S39" s="302">
        <f>IF(OR(NOT(ISNUMBER(E39)),NOT(ISNUMBER(G39))),"",E39+G39)</f>
        <v/>
      </c>
      <c r="T39" s="356" t="n"/>
      <c r="U39" s="356" t="n"/>
      <c r="V39" s="103" t="n"/>
      <c r="W39" s="253" t="n"/>
      <c r="X39" s="277">
        <f>IF(A39="","",IF(AND(W39="Completed",OR(P39="Feasible",P39="Feasible with verified support")),"Completed feasible",IF(OR(P39="Not feasible",W39="Stopped before rating",W39="Aborted during review"),"Infeasible or aborted","Incomplete")))</f>
        <v/>
      </c>
      <c r="Y39" s="303" t="n"/>
      <c r="Z39" s="303" t="n"/>
      <c r="AA39" s="303" t="n"/>
      <c r="AB39" s="303" t="n"/>
      <c r="AC39" s="303" t="n"/>
      <c r="AD39" s="303">
        <f>IF(COUNTA(A39:O39)+COUNTA(Q39)+COUNTA(T39:W39)+COUNTA(Y39:AC39)=0,"",IF(AND(COUNTIF(Vocabulary!$J$5:$J$6,L39)=1,COUNTIF(Vocabulary!$J$5:$J$6,M39)=1,COUNTIF(Vocabulary!$J$5:$J$6,N39)=1,COUNTIF(Vocabulary!$J$5:$J$6,Y39)=1,COUNTIF(Vocabulary!$J$5:$J$6,Z39)=1,COUNTIF(Vocabulary!$J$5:$J$6,AA39)=1,COUNTIF(Vocabulary!$J$5:$J$6,AB39)=1,COUNTIF(Vocabulary!$J$5:$J$6,AC39)=1),"OK","UNRECOGNISED_BURDEN_VALUE"))</f>
        <v/>
      </c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56" t="n"/>
      <c r="I40" s="356" t="n"/>
      <c r="J40" s="356" t="n"/>
      <c r="K40" s="356" t="n"/>
      <c r="L40" s="356" t="n"/>
      <c r="M40" s="356" t="n"/>
      <c r="N40" s="356" t="n"/>
      <c r="O40" s="356" t="n"/>
      <c r="P40" s="302">
        <f>IF(COUNTA(A40:O40)+COUNTA(Q40)+COUNTA(T40:W40)+COUNTA(Y40:AC40)=0,"",IF(OR(NOT(ISNUMBER(D40)),NOT(ISNUMBER(E40)),NOT(ISNUMBER(F40)),NOT(ISNUMBER(G40)),NOT(ISNUMBER(H40)),NOT(ISNUMBER(I40)),NOT(ISNUMBER(J40)),NOT(ISNUMBER(K40)),AD40&lt;&gt;"OK"),"Not feasible",IF(OR(D40&lt;E40,F40&lt;G40,H40&lt;I40,J40&lt;K40,AND(L40="Yes",OR(M40&lt;&gt;"Yes",N40&lt;&gt;"Yes")),AND(Y40="Yes",OR(Z40&lt;&gt;"Yes",AA40&lt;&gt;"Yes")),AB40&lt;&gt;"Yes",AC40&lt;&gt;"Yes"),"Not feasible",IF(OR(L40="Yes",Y40="Yes"),"Feasible with verified support","Feasible"))))</f>
        <v/>
      </c>
      <c r="Q40" s="356" t="n"/>
      <c r="R40" s="302">
        <f>IF(AND(P40="",Q40=""),"",IF(AND(P40&lt;&gt;"",Q40=""),"UNRECORDED",IF(AND(P40="",Q40&lt;&gt;""),"ORPHAN_RECORDED",IF(P40=Q40,"MATCH","MISMATCH"))))</f>
        <v/>
      </c>
      <c r="S40" s="302">
        <f>IF(OR(NOT(ISNUMBER(E40)),NOT(ISNUMBER(G40))),"",E40+G40)</f>
        <v/>
      </c>
      <c r="T40" s="356" t="n"/>
      <c r="U40" s="356" t="n"/>
      <c r="V40" s="103" t="n"/>
      <c r="W40" s="253" t="n"/>
      <c r="X40" s="277">
        <f>IF(A40="","",IF(AND(W40="Completed",OR(P40="Feasible",P40="Feasible with verified support")),"Completed feasible",IF(OR(P40="Not feasible",W40="Stopped before rating",W40="Aborted during review"),"Infeasible or aborted","Incomplete")))</f>
        <v/>
      </c>
      <c r="Y40" s="303" t="n"/>
      <c r="Z40" s="303" t="n"/>
      <c r="AA40" s="303" t="n"/>
      <c r="AB40" s="303" t="n"/>
      <c r="AC40" s="303" t="n"/>
      <c r="AD40" s="303">
        <f>IF(COUNTA(A40:O40)+COUNTA(Q40)+COUNTA(T40:W40)+COUNTA(Y40:AC40)=0,"",IF(AND(COUNTIF(Vocabulary!$J$5:$J$6,L40)=1,COUNTIF(Vocabulary!$J$5:$J$6,M40)=1,COUNTIF(Vocabulary!$J$5:$J$6,N40)=1,COUNTIF(Vocabulary!$J$5:$J$6,Y40)=1,COUNTIF(Vocabulary!$J$5:$J$6,Z40)=1,COUNTIF(Vocabulary!$J$5:$J$6,AA40)=1,COUNTIF(Vocabulary!$J$5:$J$6,AB40)=1,COUNTIF(Vocabulary!$J$5:$J$6,AC40)=1),"OK","UNRECOGNISED_BURDEN_VALUE"))</f>
        <v/>
      </c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02">
        <f>IF(COUNTA(A41:O41)+COUNTA(Q41)+COUNTA(T41:W41)+COUNTA(Y41:AC41)=0,"",IF(OR(NOT(ISNUMBER(D41)),NOT(ISNUMBER(E41)),NOT(ISNUMBER(F41)),NOT(ISNUMBER(G41)),NOT(ISNUMBER(H41)),NOT(ISNUMBER(I41)),NOT(ISNUMBER(J41)),NOT(ISNUMBER(K41)),AD41&lt;&gt;"OK"),"Not feasible",IF(OR(D41&lt;E41,F41&lt;G41,H41&lt;I41,J41&lt;K41,AND(L41="Yes",OR(M41&lt;&gt;"Yes",N41&lt;&gt;"Yes")),AND(Y41="Yes",OR(Z41&lt;&gt;"Yes",AA41&lt;&gt;"Yes")),AB41&lt;&gt;"Yes",AC41&lt;&gt;"Yes"),"Not feasible",IF(OR(L41="Yes",Y41="Yes"),"Feasible with verified support","Feasible"))))</f>
        <v/>
      </c>
      <c r="Q41" s="356" t="n"/>
      <c r="R41" s="302">
        <f>IF(AND(P41="",Q41=""),"",IF(AND(P41&lt;&gt;"",Q41=""),"UNRECORDED",IF(AND(P41="",Q41&lt;&gt;""),"ORPHAN_RECORDED",IF(P41=Q41,"MATCH","MISMATCH"))))</f>
        <v/>
      </c>
      <c r="S41" s="302">
        <f>IF(OR(NOT(ISNUMBER(E41)),NOT(ISNUMBER(G41))),"",E41+G41)</f>
        <v/>
      </c>
      <c r="T41" s="356" t="n"/>
      <c r="U41" s="356" t="n"/>
      <c r="V41" s="103" t="n"/>
      <c r="W41" s="253" t="n"/>
      <c r="X41" s="277">
        <f>IF(A41="","",IF(AND(W41="Completed",OR(P41="Feasible",P41="Feasible with verified support")),"Completed feasible",IF(OR(P41="Not feasible",W41="Stopped before rating",W41="Aborted during review"),"Infeasible or aborted","Incomplete")))</f>
        <v/>
      </c>
      <c r="Y41" s="303" t="n"/>
      <c r="Z41" s="303" t="n"/>
      <c r="AA41" s="303" t="n"/>
      <c r="AB41" s="303" t="n"/>
      <c r="AC41" s="303" t="n"/>
      <c r="AD41" s="303">
        <f>IF(COUNTA(A41:O41)+COUNTA(Q41)+COUNTA(T41:W41)+COUNTA(Y41:AC41)=0,"",IF(AND(COUNTIF(Vocabulary!$J$5:$J$6,L41)=1,COUNTIF(Vocabulary!$J$5:$J$6,M41)=1,COUNTIF(Vocabulary!$J$5:$J$6,N41)=1,COUNTIF(Vocabulary!$J$5:$J$6,Y41)=1,COUNTIF(Vocabulary!$J$5:$J$6,Z41)=1,COUNTIF(Vocabulary!$J$5:$J$6,AA41)=1,COUNTIF(Vocabulary!$J$5:$J$6,AB41)=1,COUNTIF(Vocabulary!$J$5:$J$6,AC41)=1),"OK","UNRECOGNISED_BURDEN_VALUE"))</f>
        <v/>
      </c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02">
        <f>IF(COUNTA(A42:O42)+COUNTA(Q42)+COUNTA(T42:W42)+COUNTA(Y42:AC42)=0,"",IF(OR(NOT(ISNUMBER(D42)),NOT(ISNUMBER(E42)),NOT(ISNUMBER(F42)),NOT(ISNUMBER(G42)),NOT(ISNUMBER(H42)),NOT(ISNUMBER(I42)),NOT(ISNUMBER(J42)),NOT(ISNUMBER(K42)),AD42&lt;&gt;"OK"),"Not feasible",IF(OR(D42&lt;E42,F42&lt;G42,H42&lt;I42,J42&lt;K42,AND(L42="Yes",OR(M42&lt;&gt;"Yes",N42&lt;&gt;"Yes")),AND(Y42="Yes",OR(Z42&lt;&gt;"Yes",AA42&lt;&gt;"Yes")),AB42&lt;&gt;"Yes",AC42&lt;&gt;"Yes"),"Not feasible",IF(OR(L42="Yes",Y42="Yes"),"Feasible with verified support","Feasible"))))</f>
        <v/>
      </c>
      <c r="Q42" s="356" t="n"/>
      <c r="R42" s="302">
        <f>IF(AND(P42="",Q42=""),"",IF(AND(P42&lt;&gt;"",Q42=""),"UNRECORDED",IF(AND(P42="",Q42&lt;&gt;""),"ORPHAN_RECORDED",IF(P42=Q42,"MATCH","MISMATCH"))))</f>
        <v/>
      </c>
      <c r="S42" s="302">
        <f>IF(OR(NOT(ISNUMBER(E42)),NOT(ISNUMBER(G42))),"",E42+G42)</f>
        <v/>
      </c>
      <c r="T42" s="356" t="n"/>
      <c r="U42" s="356" t="n"/>
      <c r="V42" s="103" t="n"/>
      <c r="W42" s="253" t="n"/>
      <c r="X42" s="277">
        <f>IF(A42="","",IF(AND(W42="Completed",OR(P42="Feasible",P42="Feasible with verified support")),"Completed feasible",IF(OR(P42="Not feasible",W42="Stopped before rating",W42="Aborted during review"),"Infeasible or aborted","Incomplete")))</f>
        <v/>
      </c>
      <c r="Y42" s="303" t="n"/>
      <c r="Z42" s="303" t="n"/>
      <c r="AA42" s="303" t="n"/>
      <c r="AB42" s="303" t="n"/>
      <c r="AC42" s="303" t="n"/>
      <c r="AD42" s="303">
        <f>IF(COUNTA(A42:O42)+COUNTA(Q42)+COUNTA(T42:W42)+COUNTA(Y42:AC42)=0,"",IF(AND(COUNTIF(Vocabulary!$J$5:$J$6,L42)=1,COUNTIF(Vocabulary!$J$5:$J$6,M42)=1,COUNTIF(Vocabulary!$J$5:$J$6,N42)=1,COUNTIF(Vocabulary!$J$5:$J$6,Y42)=1,COUNTIF(Vocabulary!$J$5:$J$6,Z42)=1,COUNTIF(Vocabulary!$J$5:$J$6,AA42)=1,COUNTIF(Vocabulary!$J$5:$J$6,AB42)=1,COUNTIF(Vocabulary!$J$5:$J$6,AC42)=1),"OK","UNRECOGNISED_BURDEN_VALUE"))</f>
        <v/>
      </c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56" t="n"/>
      <c r="I43" s="356" t="n"/>
      <c r="J43" s="356" t="n"/>
      <c r="K43" s="356" t="n"/>
      <c r="L43" s="356" t="n"/>
      <c r="M43" s="356" t="n"/>
      <c r="N43" s="356" t="n"/>
      <c r="O43" s="356" t="n"/>
      <c r="P43" s="302">
        <f>IF(COUNTA(A43:O43)+COUNTA(Q43)+COUNTA(T43:W43)+COUNTA(Y43:AC43)=0,"",IF(OR(NOT(ISNUMBER(D43)),NOT(ISNUMBER(E43)),NOT(ISNUMBER(F43)),NOT(ISNUMBER(G43)),NOT(ISNUMBER(H43)),NOT(ISNUMBER(I43)),NOT(ISNUMBER(J43)),NOT(ISNUMBER(K43)),AD43&lt;&gt;"OK"),"Not feasible",IF(OR(D43&lt;E43,F43&lt;G43,H43&lt;I43,J43&lt;K43,AND(L43="Yes",OR(M43&lt;&gt;"Yes",N43&lt;&gt;"Yes")),AND(Y43="Yes",OR(Z43&lt;&gt;"Yes",AA43&lt;&gt;"Yes")),AB43&lt;&gt;"Yes",AC43&lt;&gt;"Yes"),"Not feasible",IF(OR(L43="Yes",Y43="Yes"),"Feasible with verified support","Feasible"))))</f>
        <v/>
      </c>
      <c r="Q43" s="356" t="n"/>
      <c r="R43" s="302">
        <f>IF(AND(P43="",Q43=""),"",IF(AND(P43&lt;&gt;"",Q43=""),"UNRECORDED",IF(AND(P43="",Q43&lt;&gt;""),"ORPHAN_RECORDED",IF(P43=Q43,"MATCH","MISMATCH"))))</f>
        <v/>
      </c>
      <c r="S43" s="302">
        <f>IF(OR(NOT(ISNUMBER(E43)),NOT(ISNUMBER(G43))),"",E43+G43)</f>
        <v/>
      </c>
      <c r="T43" s="356" t="n"/>
      <c r="U43" s="356" t="n"/>
      <c r="V43" s="103" t="n"/>
      <c r="W43" s="253" t="n"/>
      <c r="X43" s="277">
        <f>IF(A43="","",IF(AND(W43="Completed",OR(P43="Feasible",P43="Feasible with verified support")),"Completed feasible",IF(OR(P43="Not feasible",W43="Stopped before rating",W43="Aborted during review"),"Infeasible or aborted","Incomplete")))</f>
        <v/>
      </c>
      <c r="Y43" s="303" t="n"/>
      <c r="Z43" s="303" t="n"/>
      <c r="AA43" s="303" t="n"/>
      <c r="AB43" s="303" t="n"/>
      <c r="AC43" s="303" t="n"/>
      <c r="AD43" s="303">
        <f>IF(COUNTA(A43:O43)+COUNTA(Q43)+COUNTA(T43:W43)+COUNTA(Y43:AC43)=0,"",IF(AND(COUNTIF(Vocabulary!$J$5:$J$6,L43)=1,COUNTIF(Vocabulary!$J$5:$J$6,M43)=1,COUNTIF(Vocabulary!$J$5:$J$6,N43)=1,COUNTIF(Vocabulary!$J$5:$J$6,Y43)=1,COUNTIF(Vocabulary!$J$5:$J$6,Z43)=1,COUNTIF(Vocabulary!$J$5:$J$6,AA43)=1,COUNTIF(Vocabulary!$J$5:$J$6,AB43)=1,COUNTIF(Vocabulary!$J$5:$J$6,AC43)=1),"OK","UNRECOGNISED_BURDEN_VALUE"))</f>
        <v/>
      </c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56" t="n"/>
      <c r="I44" s="356" t="n"/>
      <c r="J44" s="356" t="n"/>
      <c r="K44" s="356" t="n"/>
      <c r="L44" s="356" t="n"/>
      <c r="M44" s="356" t="n"/>
      <c r="N44" s="356" t="n"/>
      <c r="O44" s="356" t="n"/>
      <c r="P44" s="302">
        <f>IF(COUNTA(A44:O44)+COUNTA(Q44)+COUNTA(T44:W44)+COUNTA(Y44:AC44)=0,"",IF(OR(NOT(ISNUMBER(D44)),NOT(ISNUMBER(E44)),NOT(ISNUMBER(F44)),NOT(ISNUMBER(G44)),NOT(ISNUMBER(H44)),NOT(ISNUMBER(I44)),NOT(ISNUMBER(J44)),NOT(ISNUMBER(K44)),AD44&lt;&gt;"OK"),"Not feasible",IF(OR(D44&lt;E44,F44&lt;G44,H44&lt;I44,J44&lt;K44,AND(L44="Yes",OR(M44&lt;&gt;"Yes",N44&lt;&gt;"Yes")),AND(Y44="Yes",OR(Z44&lt;&gt;"Yes",AA44&lt;&gt;"Yes")),AB44&lt;&gt;"Yes",AC44&lt;&gt;"Yes"),"Not feasible",IF(OR(L44="Yes",Y44="Yes"),"Feasible with verified support","Feasible"))))</f>
        <v/>
      </c>
      <c r="Q44" s="356" t="n"/>
      <c r="R44" s="302">
        <f>IF(AND(P44="",Q44=""),"",IF(AND(P44&lt;&gt;"",Q44=""),"UNRECORDED",IF(AND(P44="",Q44&lt;&gt;""),"ORPHAN_RECORDED",IF(P44=Q44,"MATCH","MISMATCH"))))</f>
        <v/>
      </c>
      <c r="S44" s="302">
        <f>IF(OR(NOT(ISNUMBER(E44)),NOT(ISNUMBER(G44))),"",E44+G44)</f>
        <v/>
      </c>
      <c r="T44" s="356" t="n"/>
      <c r="U44" s="356" t="n"/>
      <c r="V44" s="103" t="n"/>
      <c r="W44" s="253" t="n"/>
      <c r="X44" s="277">
        <f>IF(A44="","",IF(AND(W44="Completed",OR(P44="Feasible",P44="Feasible with verified support")),"Completed feasible",IF(OR(P44="Not feasible",W44="Stopped before rating",W44="Aborted during review"),"Infeasible or aborted","Incomplete")))</f>
        <v/>
      </c>
      <c r="Y44" s="303" t="n"/>
      <c r="Z44" s="303" t="n"/>
      <c r="AA44" s="303" t="n"/>
      <c r="AB44" s="303" t="n"/>
      <c r="AC44" s="303" t="n"/>
      <c r="AD44" s="303">
        <f>IF(COUNTA(A44:O44)+COUNTA(Q44)+COUNTA(T44:W44)+COUNTA(Y44:AC44)=0,"",IF(AND(COUNTIF(Vocabulary!$J$5:$J$6,L44)=1,COUNTIF(Vocabulary!$J$5:$J$6,M44)=1,COUNTIF(Vocabulary!$J$5:$J$6,N44)=1,COUNTIF(Vocabulary!$J$5:$J$6,Y44)=1,COUNTIF(Vocabulary!$J$5:$J$6,Z44)=1,COUNTIF(Vocabulary!$J$5:$J$6,AA44)=1,COUNTIF(Vocabulary!$J$5:$J$6,AB44)=1,COUNTIF(Vocabulary!$J$5:$J$6,AC44)=1),"OK","UNRECOGNISED_BURDEN_VALUE"))</f>
        <v/>
      </c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56" t="n"/>
      <c r="I45" s="356" t="n"/>
      <c r="J45" s="356" t="n"/>
      <c r="K45" s="356" t="n"/>
      <c r="L45" s="356" t="n"/>
      <c r="M45" s="356" t="n"/>
      <c r="N45" s="356" t="n"/>
      <c r="O45" s="356" t="n"/>
      <c r="P45" s="302">
        <f>IF(COUNTA(A45:O45)+COUNTA(Q45)+COUNTA(T45:W45)+COUNTA(Y45:AC45)=0,"",IF(OR(NOT(ISNUMBER(D45)),NOT(ISNUMBER(E45)),NOT(ISNUMBER(F45)),NOT(ISNUMBER(G45)),NOT(ISNUMBER(H45)),NOT(ISNUMBER(I45)),NOT(ISNUMBER(J45)),NOT(ISNUMBER(K45)),AD45&lt;&gt;"OK"),"Not feasible",IF(OR(D45&lt;E45,F45&lt;G45,H45&lt;I45,J45&lt;K45,AND(L45="Yes",OR(M45&lt;&gt;"Yes",N45&lt;&gt;"Yes")),AND(Y45="Yes",OR(Z45&lt;&gt;"Yes",AA45&lt;&gt;"Yes")),AB45&lt;&gt;"Yes",AC45&lt;&gt;"Yes"),"Not feasible",IF(OR(L45="Yes",Y45="Yes"),"Feasible with verified support","Feasible"))))</f>
        <v/>
      </c>
      <c r="Q45" s="356" t="n"/>
      <c r="R45" s="302">
        <f>IF(AND(P45="",Q45=""),"",IF(AND(P45&lt;&gt;"",Q45=""),"UNRECORDED",IF(AND(P45="",Q45&lt;&gt;""),"ORPHAN_RECORDED",IF(P45=Q45,"MATCH","MISMATCH"))))</f>
        <v/>
      </c>
      <c r="S45" s="302">
        <f>IF(OR(NOT(ISNUMBER(E45)),NOT(ISNUMBER(G45))),"",E45+G45)</f>
        <v/>
      </c>
      <c r="T45" s="356" t="n"/>
      <c r="U45" s="356" t="n"/>
      <c r="V45" s="103" t="n"/>
      <c r="W45" s="253" t="n"/>
      <c r="X45" s="277">
        <f>IF(A45="","",IF(AND(W45="Completed",OR(P45="Feasible",P45="Feasible with verified support")),"Completed feasible",IF(OR(P45="Not feasible",W45="Stopped before rating",W45="Aborted during review"),"Infeasible or aborted","Incomplete")))</f>
        <v/>
      </c>
      <c r="Y45" s="303" t="n"/>
      <c r="Z45" s="303" t="n"/>
      <c r="AA45" s="303" t="n"/>
      <c r="AB45" s="303" t="n"/>
      <c r="AC45" s="303" t="n"/>
      <c r="AD45" s="303">
        <f>IF(COUNTA(A45:O45)+COUNTA(Q45)+COUNTA(T45:W45)+COUNTA(Y45:AC45)=0,"",IF(AND(COUNTIF(Vocabulary!$J$5:$J$6,L45)=1,COUNTIF(Vocabulary!$J$5:$J$6,M45)=1,COUNTIF(Vocabulary!$J$5:$J$6,N45)=1,COUNTIF(Vocabulary!$J$5:$J$6,Y45)=1,COUNTIF(Vocabulary!$J$5:$J$6,Z45)=1,COUNTIF(Vocabulary!$J$5:$J$6,AA45)=1,COUNTIF(Vocabulary!$J$5:$J$6,AB45)=1,COUNTIF(Vocabulary!$J$5:$J$6,AC45)=1),"OK","UNRECOGNISED_BURDEN_VALUE"))</f>
        <v/>
      </c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356" t="n"/>
      <c r="N46" s="356" t="n"/>
      <c r="O46" s="356" t="n"/>
      <c r="P46" s="302">
        <f>IF(COUNTA(A46:O46)+COUNTA(Q46)+COUNTA(T46:W46)+COUNTA(Y46:AC46)=0,"",IF(OR(NOT(ISNUMBER(D46)),NOT(ISNUMBER(E46)),NOT(ISNUMBER(F46)),NOT(ISNUMBER(G46)),NOT(ISNUMBER(H46)),NOT(ISNUMBER(I46)),NOT(ISNUMBER(J46)),NOT(ISNUMBER(K46)),AD46&lt;&gt;"OK"),"Not feasible",IF(OR(D46&lt;E46,F46&lt;G46,H46&lt;I46,J46&lt;K46,AND(L46="Yes",OR(M46&lt;&gt;"Yes",N46&lt;&gt;"Yes")),AND(Y46="Yes",OR(Z46&lt;&gt;"Yes",AA46&lt;&gt;"Yes")),AB46&lt;&gt;"Yes",AC46&lt;&gt;"Yes"),"Not feasible",IF(OR(L46="Yes",Y46="Yes"),"Feasible with verified support","Feasible"))))</f>
        <v/>
      </c>
      <c r="Q46" s="356" t="n"/>
      <c r="R46" s="302">
        <f>IF(AND(P46="",Q46=""),"",IF(AND(P46&lt;&gt;"",Q46=""),"UNRECORDED",IF(AND(P46="",Q46&lt;&gt;""),"ORPHAN_RECORDED",IF(P46=Q46,"MATCH","MISMATCH"))))</f>
        <v/>
      </c>
      <c r="S46" s="302">
        <f>IF(OR(NOT(ISNUMBER(E46)),NOT(ISNUMBER(G46))),"",E46+G46)</f>
        <v/>
      </c>
      <c r="T46" s="356" t="n"/>
      <c r="U46" s="356" t="n"/>
      <c r="V46" s="103" t="n"/>
      <c r="W46" s="253" t="n"/>
      <c r="X46" s="277">
        <f>IF(A46="","",IF(AND(W46="Completed",OR(P46="Feasible",P46="Feasible with verified support")),"Completed feasible",IF(OR(P46="Not feasible",W46="Stopped before rating",W46="Aborted during review"),"Infeasible or aborted","Incomplete")))</f>
        <v/>
      </c>
      <c r="Y46" s="303" t="n"/>
      <c r="Z46" s="303" t="n"/>
      <c r="AA46" s="303" t="n"/>
      <c r="AB46" s="303" t="n"/>
      <c r="AC46" s="303" t="n"/>
      <c r="AD46" s="303">
        <f>IF(COUNTA(A46:O46)+COUNTA(Q46)+COUNTA(T46:W46)+COUNTA(Y46:AC46)=0,"",IF(AND(COUNTIF(Vocabulary!$J$5:$J$6,L46)=1,COUNTIF(Vocabulary!$J$5:$J$6,M46)=1,COUNTIF(Vocabulary!$J$5:$J$6,N46)=1,COUNTIF(Vocabulary!$J$5:$J$6,Y46)=1,COUNTIF(Vocabulary!$J$5:$J$6,Z46)=1,COUNTIF(Vocabulary!$J$5:$J$6,AA46)=1,COUNTIF(Vocabulary!$J$5:$J$6,AB46)=1,COUNTIF(Vocabulary!$J$5:$J$6,AC46)=1),"OK","UNRECOGNISED_BURDEN_VALUE"))</f>
        <v/>
      </c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56" t="n"/>
      <c r="I47" s="356" t="n"/>
      <c r="J47" s="356" t="n"/>
      <c r="K47" s="356" t="n"/>
      <c r="L47" s="356" t="n"/>
      <c r="M47" s="356" t="n"/>
      <c r="N47" s="356" t="n"/>
      <c r="O47" s="356" t="n"/>
      <c r="P47" s="302">
        <f>IF(COUNTA(A47:O47)+COUNTA(Q47)+COUNTA(T47:W47)+COUNTA(Y47:AC47)=0,"",IF(OR(NOT(ISNUMBER(D47)),NOT(ISNUMBER(E47)),NOT(ISNUMBER(F47)),NOT(ISNUMBER(G47)),NOT(ISNUMBER(H47)),NOT(ISNUMBER(I47)),NOT(ISNUMBER(J47)),NOT(ISNUMBER(K47)),AD47&lt;&gt;"OK"),"Not feasible",IF(OR(D47&lt;E47,F47&lt;G47,H47&lt;I47,J47&lt;K47,AND(L47="Yes",OR(M47&lt;&gt;"Yes",N47&lt;&gt;"Yes")),AND(Y47="Yes",OR(Z47&lt;&gt;"Yes",AA47&lt;&gt;"Yes")),AB47&lt;&gt;"Yes",AC47&lt;&gt;"Yes"),"Not feasible",IF(OR(L47="Yes",Y47="Yes"),"Feasible with verified support","Feasible"))))</f>
        <v/>
      </c>
      <c r="Q47" s="356" t="n"/>
      <c r="R47" s="302">
        <f>IF(AND(P47="",Q47=""),"",IF(AND(P47&lt;&gt;"",Q47=""),"UNRECORDED",IF(AND(P47="",Q47&lt;&gt;""),"ORPHAN_RECORDED",IF(P47=Q47,"MATCH","MISMATCH"))))</f>
        <v/>
      </c>
      <c r="S47" s="302">
        <f>IF(OR(NOT(ISNUMBER(E47)),NOT(ISNUMBER(G47))),"",E47+G47)</f>
        <v/>
      </c>
      <c r="T47" s="356" t="n"/>
      <c r="U47" s="356" t="n"/>
      <c r="V47" s="103" t="n"/>
      <c r="W47" s="253" t="n"/>
      <c r="X47" s="277">
        <f>IF(A47="","",IF(AND(W47="Completed",OR(P47="Feasible",P47="Feasible with verified support")),"Completed feasible",IF(OR(P47="Not feasible",W47="Stopped before rating",W47="Aborted during review"),"Infeasible or aborted","Incomplete")))</f>
        <v/>
      </c>
      <c r="Y47" s="303" t="n"/>
      <c r="Z47" s="303" t="n"/>
      <c r="AA47" s="303" t="n"/>
      <c r="AB47" s="303" t="n"/>
      <c r="AC47" s="303" t="n"/>
      <c r="AD47" s="303">
        <f>IF(COUNTA(A47:O47)+COUNTA(Q47)+COUNTA(T47:W47)+COUNTA(Y47:AC47)=0,"",IF(AND(COUNTIF(Vocabulary!$J$5:$J$6,L47)=1,COUNTIF(Vocabulary!$J$5:$J$6,M47)=1,COUNTIF(Vocabulary!$J$5:$J$6,N47)=1,COUNTIF(Vocabulary!$J$5:$J$6,Y47)=1,COUNTIF(Vocabulary!$J$5:$J$6,Z47)=1,COUNTIF(Vocabulary!$J$5:$J$6,AA47)=1,COUNTIF(Vocabulary!$J$5:$J$6,AB47)=1,COUNTIF(Vocabulary!$J$5:$J$6,AC47)=1),"OK","UNRECOGNISED_BURDEN_VALUE"))</f>
        <v/>
      </c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356" t="n"/>
      <c r="N48" s="356" t="n"/>
      <c r="O48" s="356" t="n"/>
      <c r="P48" s="302">
        <f>IF(COUNTA(A48:O48)+COUNTA(Q48)+COUNTA(T48:W48)+COUNTA(Y48:AC48)=0,"",IF(OR(NOT(ISNUMBER(D48)),NOT(ISNUMBER(E48)),NOT(ISNUMBER(F48)),NOT(ISNUMBER(G48)),NOT(ISNUMBER(H48)),NOT(ISNUMBER(I48)),NOT(ISNUMBER(J48)),NOT(ISNUMBER(K48)),AD48&lt;&gt;"OK"),"Not feasible",IF(OR(D48&lt;E48,F48&lt;G48,H48&lt;I48,J48&lt;K48,AND(L48="Yes",OR(M48&lt;&gt;"Yes",N48&lt;&gt;"Yes")),AND(Y48="Yes",OR(Z48&lt;&gt;"Yes",AA48&lt;&gt;"Yes")),AB48&lt;&gt;"Yes",AC48&lt;&gt;"Yes"),"Not feasible",IF(OR(L48="Yes",Y48="Yes"),"Feasible with verified support","Feasible"))))</f>
        <v/>
      </c>
      <c r="Q48" s="356" t="n"/>
      <c r="R48" s="302">
        <f>IF(AND(P48="",Q48=""),"",IF(AND(P48&lt;&gt;"",Q48=""),"UNRECORDED",IF(AND(P48="",Q48&lt;&gt;""),"ORPHAN_RECORDED",IF(P48=Q48,"MATCH","MISMATCH"))))</f>
        <v/>
      </c>
      <c r="S48" s="302">
        <f>IF(OR(NOT(ISNUMBER(E48)),NOT(ISNUMBER(G48))),"",E48+G48)</f>
        <v/>
      </c>
      <c r="T48" s="356" t="n"/>
      <c r="U48" s="356" t="n"/>
      <c r="V48" s="103" t="n"/>
      <c r="W48" s="253" t="n"/>
      <c r="X48" s="277">
        <f>IF(A48="","",IF(AND(W48="Completed",OR(P48="Feasible",P48="Feasible with verified support")),"Completed feasible",IF(OR(P48="Not feasible",W48="Stopped before rating",W48="Aborted during review"),"Infeasible or aborted","Incomplete")))</f>
        <v/>
      </c>
      <c r="Y48" s="303" t="n"/>
      <c r="Z48" s="303" t="n"/>
      <c r="AA48" s="303" t="n"/>
      <c r="AB48" s="303" t="n"/>
      <c r="AC48" s="303" t="n"/>
      <c r="AD48" s="303">
        <f>IF(COUNTA(A48:O48)+COUNTA(Q48)+COUNTA(T48:W48)+COUNTA(Y48:AC48)=0,"",IF(AND(COUNTIF(Vocabulary!$J$5:$J$6,L48)=1,COUNTIF(Vocabulary!$J$5:$J$6,M48)=1,COUNTIF(Vocabulary!$J$5:$J$6,N48)=1,COUNTIF(Vocabulary!$J$5:$J$6,Y48)=1,COUNTIF(Vocabulary!$J$5:$J$6,Z48)=1,COUNTIF(Vocabulary!$J$5:$J$6,AA48)=1,COUNTIF(Vocabulary!$J$5:$J$6,AB48)=1,COUNTIF(Vocabulary!$J$5:$J$6,AC48)=1),"OK","UNRECOGNISED_BURDEN_VALUE"))</f>
        <v/>
      </c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56" t="n"/>
      <c r="I49" s="356" t="n"/>
      <c r="J49" s="356" t="n"/>
      <c r="K49" s="356" t="n"/>
      <c r="L49" s="356" t="n"/>
      <c r="M49" s="356" t="n"/>
      <c r="N49" s="356" t="n"/>
      <c r="O49" s="356" t="n"/>
      <c r="P49" s="302">
        <f>IF(COUNTA(A49:O49)+COUNTA(Q49)+COUNTA(T49:W49)+COUNTA(Y49:AC49)=0,"",IF(OR(NOT(ISNUMBER(D49)),NOT(ISNUMBER(E49)),NOT(ISNUMBER(F49)),NOT(ISNUMBER(G49)),NOT(ISNUMBER(H49)),NOT(ISNUMBER(I49)),NOT(ISNUMBER(J49)),NOT(ISNUMBER(K49)),AD49&lt;&gt;"OK"),"Not feasible",IF(OR(D49&lt;E49,F49&lt;G49,H49&lt;I49,J49&lt;K49,AND(L49="Yes",OR(M49&lt;&gt;"Yes",N49&lt;&gt;"Yes")),AND(Y49="Yes",OR(Z49&lt;&gt;"Yes",AA49&lt;&gt;"Yes")),AB49&lt;&gt;"Yes",AC49&lt;&gt;"Yes"),"Not feasible",IF(OR(L49="Yes",Y49="Yes"),"Feasible with verified support","Feasible"))))</f>
        <v/>
      </c>
      <c r="Q49" s="356" t="n"/>
      <c r="R49" s="302">
        <f>IF(AND(P49="",Q49=""),"",IF(AND(P49&lt;&gt;"",Q49=""),"UNRECORDED",IF(AND(P49="",Q49&lt;&gt;""),"ORPHAN_RECORDED",IF(P49=Q49,"MATCH","MISMATCH"))))</f>
        <v/>
      </c>
      <c r="S49" s="302">
        <f>IF(OR(NOT(ISNUMBER(E49)),NOT(ISNUMBER(G49))),"",E49+G49)</f>
        <v/>
      </c>
      <c r="T49" s="356" t="n"/>
      <c r="U49" s="356" t="n"/>
      <c r="V49" s="103" t="n"/>
      <c r="W49" s="253" t="n"/>
      <c r="X49" s="277">
        <f>IF(A49="","",IF(AND(W49="Completed",OR(P49="Feasible",P49="Feasible with verified support")),"Completed feasible",IF(OR(P49="Not feasible",W49="Stopped before rating",W49="Aborted during review"),"Infeasible or aborted","Incomplete")))</f>
        <v/>
      </c>
      <c r="Y49" s="303" t="n"/>
      <c r="Z49" s="303" t="n"/>
      <c r="AA49" s="303" t="n"/>
      <c r="AB49" s="303" t="n"/>
      <c r="AC49" s="303" t="n"/>
      <c r="AD49" s="303">
        <f>IF(COUNTA(A49:O49)+COUNTA(Q49)+COUNTA(T49:W49)+COUNTA(Y49:AC49)=0,"",IF(AND(COUNTIF(Vocabulary!$J$5:$J$6,L49)=1,COUNTIF(Vocabulary!$J$5:$J$6,M49)=1,COUNTIF(Vocabulary!$J$5:$J$6,N49)=1,COUNTIF(Vocabulary!$J$5:$J$6,Y49)=1,COUNTIF(Vocabulary!$J$5:$J$6,Z49)=1,COUNTIF(Vocabulary!$J$5:$J$6,AA49)=1,COUNTIF(Vocabulary!$J$5:$J$6,AB49)=1,COUNTIF(Vocabulary!$J$5:$J$6,AC49)=1),"OK","UNRECOGNISED_BURDEN_VALUE"))</f>
        <v/>
      </c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56" t="n"/>
      <c r="I50" s="356" t="n"/>
      <c r="J50" s="356" t="n"/>
      <c r="K50" s="356" t="n"/>
      <c r="L50" s="356" t="n"/>
      <c r="M50" s="356" t="n"/>
      <c r="N50" s="356" t="n"/>
      <c r="O50" s="356" t="n"/>
      <c r="P50" s="302">
        <f>IF(COUNTA(A50:O50)+COUNTA(Q50)+COUNTA(T50:W50)+COUNTA(Y50:AC50)=0,"",IF(OR(NOT(ISNUMBER(D50)),NOT(ISNUMBER(E50)),NOT(ISNUMBER(F50)),NOT(ISNUMBER(G50)),NOT(ISNUMBER(H50)),NOT(ISNUMBER(I50)),NOT(ISNUMBER(J50)),NOT(ISNUMBER(K50)),AD50&lt;&gt;"OK"),"Not feasible",IF(OR(D50&lt;E50,F50&lt;G50,H50&lt;I50,J50&lt;K50,AND(L50="Yes",OR(M50&lt;&gt;"Yes",N50&lt;&gt;"Yes")),AND(Y50="Yes",OR(Z50&lt;&gt;"Yes",AA50&lt;&gt;"Yes")),AB50&lt;&gt;"Yes",AC50&lt;&gt;"Yes"),"Not feasible",IF(OR(L50="Yes",Y50="Yes"),"Feasible with verified support","Feasible"))))</f>
        <v/>
      </c>
      <c r="Q50" s="356" t="n"/>
      <c r="R50" s="302">
        <f>IF(AND(P50="",Q50=""),"",IF(AND(P50&lt;&gt;"",Q50=""),"UNRECORDED",IF(AND(P50="",Q50&lt;&gt;""),"ORPHAN_RECORDED",IF(P50=Q50,"MATCH","MISMATCH"))))</f>
        <v/>
      </c>
      <c r="S50" s="302">
        <f>IF(OR(NOT(ISNUMBER(E50)),NOT(ISNUMBER(G50))),"",E50+G50)</f>
        <v/>
      </c>
      <c r="T50" s="356" t="n"/>
      <c r="U50" s="356" t="n"/>
      <c r="V50" s="103" t="n"/>
      <c r="W50" s="253" t="n"/>
      <c r="X50" s="277">
        <f>IF(A50="","",IF(AND(W50="Completed",OR(P50="Feasible",P50="Feasible with verified support")),"Completed feasible",IF(OR(P50="Not feasible",W50="Stopped before rating",W50="Aborted during review"),"Infeasible or aborted","Incomplete")))</f>
        <v/>
      </c>
      <c r="Y50" s="303" t="n"/>
      <c r="Z50" s="303" t="n"/>
      <c r="AA50" s="303" t="n"/>
      <c r="AB50" s="303" t="n"/>
      <c r="AC50" s="303" t="n"/>
      <c r="AD50" s="303">
        <f>IF(COUNTA(A50:O50)+COUNTA(Q50)+COUNTA(T50:W50)+COUNTA(Y50:AC50)=0,"",IF(AND(COUNTIF(Vocabulary!$J$5:$J$6,L50)=1,COUNTIF(Vocabulary!$J$5:$J$6,M50)=1,COUNTIF(Vocabulary!$J$5:$J$6,N50)=1,COUNTIF(Vocabulary!$J$5:$J$6,Y50)=1,COUNTIF(Vocabulary!$J$5:$J$6,Z50)=1,COUNTIF(Vocabulary!$J$5:$J$6,AA50)=1,COUNTIF(Vocabulary!$J$5:$J$6,AB50)=1,COUNTIF(Vocabulary!$J$5:$J$6,AC50)=1),"OK","UNRECOGNISED_BURDEN_VALUE"))</f>
        <v/>
      </c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56" t="n"/>
      <c r="I51" s="356" t="n"/>
      <c r="J51" s="356" t="n"/>
      <c r="K51" s="356" t="n"/>
      <c r="L51" s="356" t="n"/>
      <c r="M51" s="356" t="n"/>
      <c r="N51" s="356" t="n"/>
      <c r="O51" s="356" t="n"/>
      <c r="P51" s="302">
        <f>IF(COUNTA(A51:O51)+COUNTA(Q51)+COUNTA(T51:W51)+COUNTA(Y51:AC51)=0,"",IF(OR(NOT(ISNUMBER(D51)),NOT(ISNUMBER(E51)),NOT(ISNUMBER(F51)),NOT(ISNUMBER(G51)),NOT(ISNUMBER(H51)),NOT(ISNUMBER(I51)),NOT(ISNUMBER(J51)),NOT(ISNUMBER(K51)),AD51&lt;&gt;"OK"),"Not feasible",IF(OR(D51&lt;E51,F51&lt;G51,H51&lt;I51,J51&lt;K51,AND(L51="Yes",OR(M51&lt;&gt;"Yes",N51&lt;&gt;"Yes")),AND(Y51="Yes",OR(Z51&lt;&gt;"Yes",AA51&lt;&gt;"Yes")),AB51&lt;&gt;"Yes",AC51&lt;&gt;"Yes"),"Not feasible",IF(OR(L51="Yes",Y51="Yes"),"Feasible with verified support","Feasible"))))</f>
        <v/>
      </c>
      <c r="Q51" s="356" t="n"/>
      <c r="R51" s="302">
        <f>IF(AND(P51="",Q51=""),"",IF(AND(P51&lt;&gt;"",Q51=""),"UNRECORDED",IF(AND(P51="",Q51&lt;&gt;""),"ORPHAN_RECORDED",IF(P51=Q51,"MATCH","MISMATCH"))))</f>
        <v/>
      </c>
      <c r="S51" s="302">
        <f>IF(OR(NOT(ISNUMBER(E51)),NOT(ISNUMBER(G51))),"",E51+G51)</f>
        <v/>
      </c>
      <c r="T51" s="356" t="n"/>
      <c r="U51" s="356" t="n"/>
      <c r="V51" s="103" t="n"/>
      <c r="W51" s="253" t="n"/>
      <c r="X51" s="277">
        <f>IF(A51="","",IF(AND(W51="Completed",OR(P51="Feasible",P51="Feasible with verified support")),"Completed feasible",IF(OR(P51="Not feasible",W51="Stopped before rating",W51="Aborted during review"),"Infeasible or aborted","Incomplete")))</f>
        <v/>
      </c>
      <c r="Y51" s="303" t="n"/>
      <c r="Z51" s="303" t="n"/>
      <c r="AA51" s="303" t="n"/>
      <c r="AB51" s="303" t="n"/>
      <c r="AC51" s="303" t="n"/>
      <c r="AD51" s="303">
        <f>IF(COUNTA(A51:O51)+COUNTA(Q51)+COUNTA(T51:W51)+COUNTA(Y51:AC51)=0,"",IF(AND(COUNTIF(Vocabulary!$J$5:$J$6,L51)=1,COUNTIF(Vocabulary!$J$5:$J$6,M51)=1,COUNTIF(Vocabulary!$J$5:$J$6,N51)=1,COUNTIF(Vocabulary!$J$5:$J$6,Y51)=1,COUNTIF(Vocabulary!$J$5:$J$6,Z51)=1,COUNTIF(Vocabulary!$J$5:$J$6,AA51)=1,COUNTIF(Vocabulary!$J$5:$J$6,AB51)=1,COUNTIF(Vocabulary!$J$5:$J$6,AC51)=1),"OK","UNRECOGNISED_BURDEN_VALUE"))</f>
        <v/>
      </c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56" t="n"/>
      <c r="I52" s="356" t="n"/>
      <c r="J52" s="356" t="n"/>
      <c r="K52" s="356" t="n"/>
      <c r="L52" s="356" t="n"/>
      <c r="M52" s="356" t="n"/>
      <c r="N52" s="356" t="n"/>
      <c r="O52" s="356" t="n"/>
      <c r="P52" s="302">
        <f>IF(COUNTA(A52:O52)+COUNTA(Q52)+COUNTA(T52:W52)+COUNTA(Y52:AC52)=0,"",IF(OR(NOT(ISNUMBER(D52)),NOT(ISNUMBER(E52)),NOT(ISNUMBER(F52)),NOT(ISNUMBER(G52)),NOT(ISNUMBER(H52)),NOT(ISNUMBER(I52)),NOT(ISNUMBER(J52)),NOT(ISNUMBER(K52)),AD52&lt;&gt;"OK"),"Not feasible",IF(OR(D52&lt;E52,F52&lt;G52,H52&lt;I52,J52&lt;K52,AND(L52="Yes",OR(M52&lt;&gt;"Yes",N52&lt;&gt;"Yes")),AND(Y52="Yes",OR(Z52&lt;&gt;"Yes",AA52&lt;&gt;"Yes")),AB52&lt;&gt;"Yes",AC52&lt;&gt;"Yes"),"Not feasible",IF(OR(L52="Yes",Y52="Yes"),"Feasible with verified support","Feasible"))))</f>
        <v/>
      </c>
      <c r="Q52" s="356" t="n"/>
      <c r="R52" s="302">
        <f>IF(AND(P52="",Q52=""),"",IF(AND(P52&lt;&gt;"",Q52=""),"UNRECORDED",IF(AND(P52="",Q52&lt;&gt;""),"ORPHAN_RECORDED",IF(P52=Q52,"MATCH","MISMATCH"))))</f>
        <v/>
      </c>
      <c r="S52" s="302">
        <f>IF(OR(NOT(ISNUMBER(E52)),NOT(ISNUMBER(G52))),"",E52+G52)</f>
        <v/>
      </c>
      <c r="T52" s="356" t="n"/>
      <c r="U52" s="356" t="n"/>
      <c r="V52" s="103" t="n"/>
      <c r="W52" s="253" t="n"/>
      <c r="X52" s="277">
        <f>IF(A52="","",IF(AND(W52="Completed",OR(P52="Feasible",P52="Feasible with verified support")),"Completed feasible",IF(OR(P52="Not feasible",W52="Stopped before rating",W52="Aborted during review"),"Infeasible or aborted","Incomplete")))</f>
        <v/>
      </c>
      <c r="Y52" s="303" t="n"/>
      <c r="Z52" s="303" t="n"/>
      <c r="AA52" s="303" t="n"/>
      <c r="AB52" s="303" t="n"/>
      <c r="AC52" s="303" t="n"/>
      <c r="AD52" s="303">
        <f>IF(COUNTA(A52:O52)+COUNTA(Q52)+COUNTA(T52:W52)+COUNTA(Y52:AC52)=0,"",IF(AND(COUNTIF(Vocabulary!$J$5:$J$6,L52)=1,COUNTIF(Vocabulary!$J$5:$J$6,M52)=1,COUNTIF(Vocabulary!$J$5:$J$6,N52)=1,COUNTIF(Vocabulary!$J$5:$J$6,Y52)=1,COUNTIF(Vocabulary!$J$5:$J$6,Z52)=1,COUNTIF(Vocabulary!$J$5:$J$6,AA52)=1,COUNTIF(Vocabulary!$J$5:$J$6,AB52)=1,COUNTIF(Vocabulary!$J$5:$J$6,AC52)=1),"OK","UNRECOGNISED_BURDEN_VALUE"))</f>
        <v/>
      </c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56" t="n"/>
      <c r="I53" s="356" t="n"/>
      <c r="J53" s="356" t="n"/>
      <c r="K53" s="356" t="n"/>
      <c r="L53" s="356" t="n"/>
      <c r="M53" s="356" t="n"/>
      <c r="N53" s="356" t="n"/>
      <c r="O53" s="356" t="n"/>
      <c r="P53" s="302">
        <f>IF(COUNTA(A53:O53)+COUNTA(Q53)+COUNTA(T53:W53)+COUNTA(Y53:AC53)=0,"",IF(OR(NOT(ISNUMBER(D53)),NOT(ISNUMBER(E53)),NOT(ISNUMBER(F53)),NOT(ISNUMBER(G53)),NOT(ISNUMBER(H53)),NOT(ISNUMBER(I53)),NOT(ISNUMBER(J53)),NOT(ISNUMBER(K53)),AD53&lt;&gt;"OK"),"Not feasible",IF(OR(D53&lt;E53,F53&lt;G53,H53&lt;I53,J53&lt;K53,AND(L53="Yes",OR(M53&lt;&gt;"Yes",N53&lt;&gt;"Yes")),AND(Y53="Yes",OR(Z53&lt;&gt;"Yes",AA53&lt;&gt;"Yes")),AB53&lt;&gt;"Yes",AC53&lt;&gt;"Yes"),"Not feasible",IF(OR(L53="Yes",Y53="Yes"),"Feasible with verified support","Feasible"))))</f>
        <v/>
      </c>
      <c r="Q53" s="356" t="n"/>
      <c r="R53" s="302">
        <f>IF(AND(P53="",Q53=""),"",IF(AND(P53&lt;&gt;"",Q53=""),"UNRECORDED",IF(AND(P53="",Q53&lt;&gt;""),"ORPHAN_RECORDED",IF(P53=Q53,"MATCH","MISMATCH"))))</f>
        <v/>
      </c>
      <c r="S53" s="302">
        <f>IF(OR(NOT(ISNUMBER(E53)),NOT(ISNUMBER(G53))),"",E53+G53)</f>
        <v/>
      </c>
      <c r="T53" s="356" t="n"/>
      <c r="U53" s="356" t="n"/>
      <c r="V53" s="103" t="n"/>
      <c r="W53" s="253" t="n"/>
      <c r="X53" s="277">
        <f>IF(A53="","",IF(AND(W53="Completed",OR(P53="Feasible",P53="Feasible with verified support")),"Completed feasible",IF(OR(P53="Not feasible",W53="Stopped before rating",W53="Aborted during review"),"Infeasible or aborted","Incomplete")))</f>
        <v/>
      </c>
      <c r="Y53" s="303" t="n"/>
      <c r="Z53" s="303" t="n"/>
      <c r="AA53" s="303" t="n"/>
      <c r="AB53" s="303" t="n"/>
      <c r="AC53" s="303" t="n"/>
      <c r="AD53" s="303">
        <f>IF(COUNTA(A53:O53)+COUNTA(Q53)+COUNTA(T53:W53)+COUNTA(Y53:AC53)=0,"",IF(AND(COUNTIF(Vocabulary!$J$5:$J$6,L53)=1,COUNTIF(Vocabulary!$J$5:$J$6,M53)=1,COUNTIF(Vocabulary!$J$5:$J$6,N53)=1,COUNTIF(Vocabulary!$J$5:$J$6,Y53)=1,COUNTIF(Vocabulary!$J$5:$J$6,Z53)=1,COUNTIF(Vocabulary!$J$5:$J$6,AA53)=1,COUNTIF(Vocabulary!$J$5:$J$6,AB53)=1,COUNTIF(Vocabulary!$J$5:$J$6,AC53)=1),"OK","UNRECOGNISED_BURDEN_VALUE"))</f>
        <v/>
      </c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56" t="n"/>
      <c r="I54" s="356" t="n"/>
      <c r="J54" s="356" t="n"/>
      <c r="K54" s="356" t="n"/>
      <c r="L54" s="356" t="n"/>
      <c r="M54" s="356" t="n"/>
      <c r="N54" s="356" t="n"/>
      <c r="O54" s="356" t="n"/>
      <c r="P54" s="302">
        <f>IF(COUNTA(A54:O54)+COUNTA(Q54)+COUNTA(T54:W54)+COUNTA(Y54:AC54)=0,"",IF(OR(NOT(ISNUMBER(D54)),NOT(ISNUMBER(E54)),NOT(ISNUMBER(F54)),NOT(ISNUMBER(G54)),NOT(ISNUMBER(H54)),NOT(ISNUMBER(I54)),NOT(ISNUMBER(J54)),NOT(ISNUMBER(K54)),AD54&lt;&gt;"OK"),"Not feasible",IF(OR(D54&lt;E54,F54&lt;G54,H54&lt;I54,J54&lt;K54,AND(L54="Yes",OR(M54&lt;&gt;"Yes",N54&lt;&gt;"Yes")),AND(Y54="Yes",OR(Z54&lt;&gt;"Yes",AA54&lt;&gt;"Yes")),AB54&lt;&gt;"Yes",AC54&lt;&gt;"Yes"),"Not feasible",IF(OR(L54="Yes",Y54="Yes"),"Feasible with verified support","Feasible"))))</f>
        <v/>
      </c>
      <c r="Q54" s="356" t="n"/>
      <c r="R54" s="302">
        <f>IF(AND(P54="",Q54=""),"",IF(AND(P54&lt;&gt;"",Q54=""),"UNRECORDED",IF(AND(P54="",Q54&lt;&gt;""),"ORPHAN_RECORDED",IF(P54=Q54,"MATCH","MISMATCH"))))</f>
        <v/>
      </c>
      <c r="S54" s="302">
        <f>IF(OR(NOT(ISNUMBER(E54)),NOT(ISNUMBER(G54))),"",E54+G54)</f>
        <v/>
      </c>
      <c r="T54" s="356" t="n"/>
      <c r="U54" s="356" t="n"/>
      <c r="V54" s="103" t="n"/>
      <c r="W54" s="253" t="n"/>
      <c r="X54" s="277">
        <f>IF(A54="","",IF(AND(W54="Completed",OR(P54="Feasible",P54="Feasible with verified support")),"Completed feasible",IF(OR(P54="Not feasible",W54="Stopped before rating",W54="Aborted during review"),"Infeasible or aborted","Incomplete")))</f>
        <v/>
      </c>
      <c r="Y54" s="303" t="n"/>
      <c r="Z54" s="303" t="n"/>
      <c r="AA54" s="303" t="n"/>
      <c r="AB54" s="303" t="n"/>
      <c r="AC54" s="303" t="n"/>
      <c r="AD54" s="303">
        <f>IF(COUNTA(A54:O54)+COUNTA(Q54)+COUNTA(T54:W54)+COUNTA(Y54:AC54)=0,"",IF(AND(COUNTIF(Vocabulary!$J$5:$J$6,L54)=1,COUNTIF(Vocabulary!$J$5:$J$6,M54)=1,COUNTIF(Vocabulary!$J$5:$J$6,N54)=1,COUNTIF(Vocabulary!$J$5:$J$6,Y54)=1,COUNTIF(Vocabulary!$J$5:$J$6,Z54)=1,COUNTIF(Vocabulary!$J$5:$J$6,AA54)=1,COUNTIF(Vocabulary!$J$5:$J$6,AB54)=1,COUNTIF(Vocabulary!$J$5:$J$6,AC54)=1),"OK","UNRECOGNISED_BURDEN_VALUE"))</f>
        <v/>
      </c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56" t="n"/>
      <c r="I55" s="356" t="n"/>
      <c r="J55" s="356" t="n"/>
      <c r="K55" s="356" t="n"/>
      <c r="L55" s="356" t="n"/>
      <c r="M55" s="356" t="n"/>
      <c r="N55" s="356" t="n"/>
      <c r="O55" s="356" t="n"/>
      <c r="P55" s="302">
        <f>IF(COUNTA(A55:O55)+COUNTA(Q55)+COUNTA(T55:W55)+COUNTA(Y55:AC55)=0,"",IF(OR(NOT(ISNUMBER(D55)),NOT(ISNUMBER(E55)),NOT(ISNUMBER(F55)),NOT(ISNUMBER(G55)),NOT(ISNUMBER(H55)),NOT(ISNUMBER(I55)),NOT(ISNUMBER(J55)),NOT(ISNUMBER(K55)),AD55&lt;&gt;"OK"),"Not feasible",IF(OR(D55&lt;E55,F55&lt;G55,H55&lt;I55,J55&lt;K55,AND(L55="Yes",OR(M55&lt;&gt;"Yes",N55&lt;&gt;"Yes")),AND(Y55="Yes",OR(Z55&lt;&gt;"Yes",AA55&lt;&gt;"Yes")),AB55&lt;&gt;"Yes",AC55&lt;&gt;"Yes"),"Not feasible",IF(OR(L55="Yes",Y55="Yes"),"Feasible with verified support","Feasible"))))</f>
        <v/>
      </c>
      <c r="Q55" s="356" t="n"/>
      <c r="R55" s="302">
        <f>IF(AND(P55="",Q55=""),"",IF(AND(P55&lt;&gt;"",Q55=""),"UNRECORDED",IF(AND(P55="",Q55&lt;&gt;""),"ORPHAN_RECORDED",IF(P55=Q55,"MATCH","MISMATCH"))))</f>
        <v/>
      </c>
      <c r="S55" s="302">
        <f>IF(OR(NOT(ISNUMBER(E55)),NOT(ISNUMBER(G55))),"",E55+G55)</f>
        <v/>
      </c>
      <c r="T55" s="356" t="n"/>
      <c r="U55" s="356" t="n"/>
      <c r="V55" s="103" t="n"/>
      <c r="W55" s="253" t="n"/>
      <c r="X55" s="277">
        <f>IF(A55="","",IF(AND(W55="Completed",OR(P55="Feasible",P55="Feasible with verified support")),"Completed feasible",IF(OR(P55="Not feasible",W55="Stopped before rating",W55="Aborted during review"),"Infeasible or aborted","Incomplete")))</f>
        <v/>
      </c>
      <c r="Y55" s="303" t="n"/>
      <c r="Z55" s="303" t="n"/>
      <c r="AA55" s="303" t="n"/>
      <c r="AB55" s="303" t="n"/>
      <c r="AC55" s="303" t="n"/>
      <c r="AD55" s="303">
        <f>IF(COUNTA(A55:O55)+COUNTA(Q55)+COUNTA(T55:W55)+COUNTA(Y55:AC55)=0,"",IF(AND(COUNTIF(Vocabulary!$J$5:$J$6,L55)=1,COUNTIF(Vocabulary!$J$5:$J$6,M55)=1,COUNTIF(Vocabulary!$J$5:$J$6,N55)=1,COUNTIF(Vocabulary!$J$5:$J$6,Y55)=1,COUNTIF(Vocabulary!$J$5:$J$6,Z55)=1,COUNTIF(Vocabulary!$J$5:$J$6,AA55)=1,COUNTIF(Vocabulary!$J$5:$J$6,AB55)=1,COUNTIF(Vocabulary!$J$5:$J$6,AC55)=1),"OK","UNRECOGNISED_BURDEN_VALUE"))</f>
        <v/>
      </c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356" t="n"/>
      <c r="N56" s="356" t="n"/>
      <c r="O56" s="356" t="n"/>
      <c r="P56" s="302">
        <f>IF(COUNTA(A56:O56)+COUNTA(Q56)+COUNTA(T56:W56)+COUNTA(Y56:AC56)=0,"",IF(OR(NOT(ISNUMBER(D56)),NOT(ISNUMBER(E56)),NOT(ISNUMBER(F56)),NOT(ISNUMBER(G56)),NOT(ISNUMBER(H56)),NOT(ISNUMBER(I56)),NOT(ISNUMBER(J56)),NOT(ISNUMBER(K56)),AD56&lt;&gt;"OK"),"Not feasible",IF(OR(D56&lt;E56,F56&lt;G56,H56&lt;I56,J56&lt;K56,AND(L56="Yes",OR(M56&lt;&gt;"Yes",N56&lt;&gt;"Yes")),AND(Y56="Yes",OR(Z56&lt;&gt;"Yes",AA56&lt;&gt;"Yes")),AB56&lt;&gt;"Yes",AC56&lt;&gt;"Yes"),"Not feasible",IF(OR(L56="Yes",Y56="Yes"),"Feasible with verified support","Feasible"))))</f>
        <v/>
      </c>
      <c r="Q56" s="356" t="n"/>
      <c r="R56" s="302">
        <f>IF(AND(P56="",Q56=""),"",IF(AND(P56&lt;&gt;"",Q56=""),"UNRECORDED",IF(AND(P56="",Q56&lt;&gt;""),"ORPHAN_RECORDED",IF(P56=Q56,"MATCH","MISMATCH"))))</f>
        <v/>
      </c>
      <c r="S56" s="302">
        <f>IF(OR(NOT(ISNUMBER(E56)),NOT(ISNUMBER(G56))),"",E56+G56)</f>
        <v/>
      </c>
      <c r="T56" s="356" t="n"/>
      <c r="U56" s="356" t="n"/>
      <c r="V56" s="103" t="n"/>
      <c r="W56" s="253" t="n"/>
      <c r="X56" s="277">
        <f>IF(A56="","",IF(AND(W56="Completed",OR(P56="Feasible",P56="Feasible with verified support")),"Completed feasible",IF(OR(P56="Not feasible",W56="Stopped before rating",W56="Aborted during review"),"Infeasible or aborted","Incomplete")))</f>
        <v/>
      </c>
      <c r="Y56" s="303" t="n"/>
      <c r="Z56" s="303" t="n"/>
      <c r="AA56" s="303" t="n"/>
      <c r="AB56" s="303" t="n"/>
      <c r="AC56" s="303" t="n"/>
      <c r="AD56" s="303">
        <f>IF(COUNTA(A56:O56)+COUNTA(Q56)+COUNTA(T56:W56)+COUNTA(Y56:AC56)=0,"",IF(AND(COUNTIF(Vocabulary!$J$5:$J$6,L56)=1,COUNTIF(Vocabulary!$J$5:$J$6,M56)=1,COUNTIF(Vocabulary!$J$5:$J$6,N56)=1,COUNTIF(Vocabulary!$J$5:$J$6,Y56)=1,COUNTIF(Vocabulary!$J$5:$J$6,Z56)=1,COUNTIF(Vocabulary!$J$5:$J$6,AA56)=1,COUNTIF(Vocabulary!$J$5:$J$6,AB56)=1,COUNTIF(Vocabulary!$J$5:$J$6,AC56)=1),"OK","UNRECOGNISED_BURDEN_VALUE"))</f>
        <v/>
      </c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56" t="n"/>
      <c r="I57" s="356" t="n"/>
      <c r="J57" s="356" t="n"/>
      <c r="K57" s="356" t="n"/>
      <c r="L57" s="356" t="n"/>
      <c r="M57" s="356" t="n"/>
      <c r="N57" s="356" t="n"/>
      <c r="O57" s="356" t="n"/>
      <c r="P57" s="302">
        <f>IF(COUNTA(A57:O57)+COUNTA(Q57)+COUNTA(T57:W57)+COUNTA(Y57:AC57)=0,"",IF(OR(NOT(ISNUMBER(D57)),NOT(ISNUMBER(E57)),NOT(ISNUMBER(F57)),NOT(ISNUMBER(G57)),NOT(ISNUMBER(H57)),NOT(ISNUMBER(I57)),NOT(ISNUMBER(J57)),NOT(ISNUMBER(K57)),AD57&lt;&gt;"OK"),"Not feasible",IF(OR(D57&lt;E57,F57&lt;G57,H57&lt;I57,J57&lt;K57,AND(L57="Yes",OR(M57&lt;&gt;"Yes",N57&lt;&gt;"Yes")),AND(Y57="Yes",OR(Z57&lt;&gt;"Yes",AA57&lt;&gt;"Yes")),AB57&lt;&gt;"Yes",AC57&lt;&gt;"Yes"),"Not feasible",IF(OR(L57="Yes",Y57="Yes"),"Feasible with verified support","Feasible"))))</f>
        <v/>
      </c>
      <c r="Q57" s="356" t="n"/>
      <c r="R57" s="302">
        <f>IF(AND(P57="",Q57=""),"",IF(AND(P57&lt;&gt;"",Q57=""),"UNRECORDED",IF(AND(P57="",Q57&lt;&gt;""),"ORPHAN_RECORDED",IF(P57=Q57,"MATCH","MISMATCH"))))</f>
        <v/>
      </c>
      <c r="S57" s="302">
        <f>IF(OR(NOT(ISNUMBER(E57)),NOT(ISNUMBER(G57))),"",E57+G57)</f>
        <v/>
      </c>
      <c r="T57" s="356" t="n"/>
      <c r="U57" s="356" t="n"/>
      <c r="V57" s="103" t="n"/>
      <c r="W57" s="253" t="n"/>
      <c r="X57" s="277">
        <f>IF(A57="","",IF(AND(W57="Completed",OR(P57="Feasible",P57="Feasible with verified support")),"Completed feasible",IF(OR(P57="Not feasible",W57="Stopped before rating",W57="Aborted during review"),"Infeasible or aborted","Incomplete")))</f>
        <v/>
      </c>
      <c r="Y57" s="303" t="n"/>
      <c r="Z57" s="303" t="n"/>
      <c r="AA57" s="303" t="n"/>
      <c r="AB57" s="303" t="n"/>
      <c r="AC57" s="303" t="n"/>
      <c r="AD57" s="303">
        <f>IF(COUNTA(A57:O57)+COUNTA(Q57)+COUNTA(T57:W57)+COUNTA(Y57:AC57)=0,"",IF(AND(COUNTIF(Vocabulary!$J$5:$J$6,L57)=1,COUNTIF(Vocabulary!$J$5:$J$6,M57)=1,COUNTIF(Vocabulary!$J$5:$J$6,N57)=1,COUNTIF(Vocabulary!$J$5:$J$6,Y57)=1,COUNTIF(Vocabulary!$J$5:$J$6,Z57)=1,COUNTIF(Vocabulary!$J$5:$J$6,AA57)=1,COUNTIF(Vocabulary!$J$5:$J$6,AB57)=1,COUNTIF(Vocabulary!$J$5:$J$6,AC57)=1),"OK","UNRECOGNISED_BURDEN_VALUE"))</f>
        <v/>
      </c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356" t="n"/>
      <c r="N58" s="356" t="n"/>
      <c r="O58" s="356" t="n"/>
      <c r="P58" s="302">
        <f>IF(COUNTA(A58:O58)+COUNTA(Q58)+COUNTA(T58:W58)+COUNTA(Y58:AC58)=0,"",IF(OR(NOT(ISNUMBER(D58)),NOT(ISNUMBER(E58)),NOT(ISNUMBER(F58)),NOT(ISNUMBER(G58)),NOT(ISNUMBER(H58)),NOT(ISNUMBER(I58)),NOT(ISNUMBER(J58)),NOT(ISNUMBER(K58)),AD58&lt;&gt;"OK"),"Not feasible",IF(OR(D58&lt;E58,F58&lt;G58,H58&lt;I58,J58&lt;K58,AND(L58="Yes",OR(M58&lt;&gt;"Yes",N58&lt;&gt;"Yes")),AND(Y58="Yes",OR(Z58&lt;&gt;"Yes",AA58&lt;&gt;"Yes")),AB58&lt;&gt;"Yes",AC58&lt;&gt;"Yes"),"Not feasible",IF(OR(L58="Yes",Y58="Yes"),"Feasible with verified support","Feasible"))))</f>
        <v/>
      </c>
      <c r="Q58" s="356" t="n"/>
      <c r="R58" s="302">
        <f>IF(AND(P58="",Q58=""),"",IF(AND(P58&lt;&gt;"",Q58=""),"UNRECORDED",IF(AND(P58="",Q58&lt;&gt;""),"ORPHAN_RECORDED",IF(P58=Q58,"MATCH","MISMATCH"))))</f>
        <v/>
      </c>
      <c r="S58" s="302">
        <f>IF(OR(NOT(ISNUMBER(E58)),NOT(ISNUMBER(G58))),"",E58+G58)</f>
        <v/>
      </c>
      <c r="T58" s="356" t="n"/>
      <c r="U58" s="356" t="n"/>
      <c r="V58" s="103" t="n"/>
      <c r="W58" s="253" t="n"/>
      <c r="X58" s="277">
        <f>IF(A58="","",IF(AND(W58="Completed",OR(P58="Feasible",P58="Feasible with verified support")),"Completed feasible",IF(OR(P58="Not feasible",W58="Stopped before rating",W58="Aborted during review"),"Infeasible or aborted","Incomplete")))</f>
        <v/>
      </c>
      <c r="Y58" s="303" t="n"/>
      <c r="Z58" s="303" t="n"/>
      <c r="AA58" s="303" t="n"/>
      <c r="AB58" s="303" t="n"/>
      <c r="AC58" s="303" t="n"/>
      <c r="AD58" s="303">
        <f>IF(COUNTA(A58:O58)+COUNTA(Q58)+COUNTA(T58:W58)+COUNTA(Y58:AC58)=0,"",IF(AND(COUNTIF(Vocabulary!$J$5:$J$6,L58)=1,COUNTIF(Vocabulary!$J$5:$J$6,M58)=1,COUNTIF(Vocabulary!$J$5:$J$6,N58)=1,COUNTIF(Vocabulary!$J$5:$J$6,Y58)=1,COUNTIF(Vocabulary!$J$5:$J$6,Z58)=1,COUNTIF(Vocabulary!$J$5:$J$6,AA58)=1,COUNTIF(Vocabulary!$J$5:$J$6,AB58)=1,COUNTIF(Vocabulary!$J$5:$J$6,AC58)=1),"OK","UNRECOGNISED_BURDEN_VALUE"))</f>
        <v/>
      </c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56" t="n"/>
      <c r="I59" s="356" t="n"/>
      <c r="J59" s="356" t="n"/>
      <c r="K59" s="356" t="n"/>
      <c r="L59" s="356" t="n"/>
      <c r="M59" s="356" t="n"/>
      <c r="N59" s="356" t="n"/>
      <c r="O59" s="356" t="n"/>
      <c r="P59" s="302">
        <f>IF(COUNTA(A59:O59)+COUNTA(Q59)+COUNTA(T59:W59)+COUNTA(Y59:AC59)=0,"",IF(OR(NOT(ISNUMBER(D59)),NOT(ISNUMBER(E59)),NOT(ISNUMBER(F59)),NOT(ISNUMBER(G59)),NOT(ISNUMBER(H59)),NOT(ISNUMBER(I59)),NOT(ISNUMBER(J59)),NOT(ISNUMBER(K59)),AD59&lt;&gt;"OK"),"Not feasible",IF(OR(D59&lt;E59,F59&lt;G59,H59&lt;I59,J59&lt;K59,AND(L59="Yes",OR(M59&lt;&gt;"Yes",N59&lt;&gt;"Yes")),AND(Y59="Yes",OR(Z59&lt;&gt;"Yes",AA59&lt;&gt;"Yes")),AB59&lt;&gt;"Yes",AC59&lt;&gt;"Yes"),"Not feasible",IF(OR(L59="Yes",Y59="Yes"),"Feasible with verified support","Feasible"))))</f>
        <v/>
      </c>
      <c r="Q59" s="356" t="n"/>
      <c r="R59" s="302">
        <f>IF(AND(P59="",Q59=""),"",IF(AND(P59&lt;&gt;"",Q59=""),"UNRECORDED",IF(AND(P59="",Q59&lt;&gt;""),"ORPHAN_RECORDED",IF(P59=Q59,"MATCH","MISMATCH"))))</f>
        <v/>
      </c>
      <c r="S59" s="302">
        <f>IF(OR(NOT(ISNUMBER(E59)),NOT(ISNUMBER(G59))),"",E59+G59)</f>
        <v/>
      </c>
      <c r="T59" s="356" t="n"/>
      <c r="U59" s="356" t="n"/>
      <c r="V59" s="103" t="n"/>
      <c r="W59" s="253" t="n"/>
      <c r="X59" s="277">
        <f>IF(A59="","",IF(AND(W59="Completed",OR(P59="Feasible",P59="Feasible with verified support")),"Completed feasible",IF(OR(P59="Not feasible",W59="Stopped before rating",W59="Aborted during review"),"Infeasible or aborted","Incomplete")))</f>
        <v/>
      </c>
      <c r="Y59" s="303" t="n"/>
      <c r="Z59" s="303" t="n"/>
      <c r="AA59" s="303" t="n"/>
      <c r="AB59" s="303" t="n"/>
      <c r="AC59" s="303" t="n"/>
      <c r="AD59" s="303">
        <f>IF(COUNTA(A59:O59)+COUNTA(Q59)+COUNTA(T59:W59)+COUNTA(Y59:AC59)=0,"",IF(AND(COUNTIF(Vocabulary!$J$5:$J$6,L59)=1,COUNTIF(Vocabulary!$J$5:$J$6,M59)=1,COUNTIF(Vocabulary!$J$5:$J$6,N59)=1,COUNTIF(Vocabulary!$J$5:$J$6,Y59)=1,COUNTIF(Vocabulary!$J$5:$J$6,Z59)=1,COUNTIF(Vocabulary!$J$5:$J$6,AA59)=1,COUNTIF(Vocabulary!$J$5:$J$6,AB59)=1,COUNTIF(Vocabulary!$J$5:$J$6,AC59)=1),"OK","UNRECOGNISED_BURDEN_VALUE"))</f>
        <v/>
      </c>
    </row>
    <row r="60">
      <c r="A60" s="83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96">
        <f>IF(COUNTA(A60:O60)+COUNTA(Q60)+COUNTA(T60:W60)+COUNTA(Y60:AC60)=0,"",IF(OR(NOT(ISNUMBER(D60)),NOT(ISNUMBER(E60)),NOT(ISNUMBER(F60)),NOT(ISNUMBER(G60)),NOT(ISNUMBER(H60)),NOT(ISNUMBER(I60)),NOT(ISNUMBER(J60)),NOT(ISNUMBER(K60)),AD60&lt;&gt;"OK"),"Not feasible",IF(OR(D60&lt;E60,F60&lt;G60,H60&lt;I60,J60&lt;K60,AND(L60="Yes",OR(M60&lt;&gt;"Yes",N60&lt;&gt;"Yes")),AND(Y60="Yes",OR(Z60&lt;&gt;"Yes",AA60&lt;&gt;"Yes")),AB60&lt;&gt;"Yes",AC60&lt;&gt;"Yes"),"Not feasible",IF(OR(L60="Yes",Y60="Yes"),"Feasible with verified support","Feasible"))))</f>
        <v/>
      </c>
      <c r="Q60" s="84" t="n"/>
      <c r="R60" s="96">
        <f>IF(AND(P60="",Q60=""),"",IF(AND(P60&lt;&gt;"",Q60=""),"UNRECORDED",IF(AND(P60="",Q60&lt;&gt;""),"ORPHAN_RECORDED",IF(P60=Q60,"MATCH","MISMATCH"))))</f>
        <v/>
      </c>
      <c r="S60" s="96">
        <f>IF(OR(NOT(ISNUMBER(E60)),NOT(ISNUMBER(G60))),"",E60+G60)</f>
        <v/>
      </c>
      <c r="T60" s="84" t="n"/>
      <c r="U60" s="84" t="n"/>
      <c r="V60" s="104" t="n"/>
      <c r="W60" s="256" t="n"/>
      <c r="X60" s="279">
        <f>IF(A60="","",IF(AND(W60="Completed",OR(P60="Feasible",P60="Feasible with verified support")),"Completed feasible",IF(OR(P60="Not feasible",W60="Stopped before rating",W60="Aborted during review"),"Infeasible or aborted","Incomplete")))</f>
        <v/>
      </c>
      <c r="Y60" s="303" t="n"/>
      <c r="Z60" s="303" t="n"/>
      <c r="AA60" s="303" t="n"/>
      <c r="AB60" s="303" t="n"/>
      <c r="AC60" s="303" t="n"/>
      <c r="AD60" s="303">
        <f>IF(COUNTA(A60:O60)+COUNTA(Q60)+COUNTA(T60:W60)+COUNTA(Y60:AC60)=0,"",IF(AND(COUNTIF(Vocabulary!$J$5:$J$6,L60)=1,COUNTIF(Vocabulary!$J$5:$J$6,M60)=1,COUNTIF(Vocabulary!$J$5:$J$6,N60)=1,COUNTIF(Vocabulary!$J$5:$J$6,Y60)=1,COUNTIF(Vocabulary!$J$5:$J$6,Z60)=1,COUNTIF(Vocabulary!$J$5:$J$6,AA60)=1,COUNTIF(Vocabulary!$J$5:$J$6,AB60)=1,COUNTIF(Vocabulary!$J$5:$J$6,AC60)=1),"OK","UNRECOGNISED_BURDEN_VALUE"))</f>
        <v/>
      </c>
    </row>
    <row r="61">
      <c r="P61">
        <f>IF(COUNTA(A61:O61)+COUNTA(Q61)+COUNTA(T61:W61)+COUNTA(Y61:AC61)=0,"",IF(OR(NOT(ISNUMBER(D61)),NOT(ISNUMBER(E61)),NOT(ISNUMBER(F61)),NOT(ISNUMBER(G61)),NOT(ISNUMBER(H61)),NOT(ISNUMBER(I61)),NOT(ISNUMBER(J61)),NOT(ISNUMBER(K61)),AD61&lt;&gt;"OK"),"Not feasible",IF(OR(D61&lt;E61,F61&lt;G61,H61&lt;I61,J61&lt;K61,AND(L61="Yes",OR(M61&lt;&gt;"Yes",N61&lt;&gt;"Yes")),AND(Y61="Yes",OR(Z61&lt;&gt;"Yes",AA61&lt;&gt;"Yes")),AB61&lt;&gt;"Yes",AC61&lt;&gt;"Yes"),"Not feasible",IF(OR(L61="Yes",Y61="Yes"),"Feasible with verified support","Feasible"))))</f>
        <v/>
      </c>
      <c r="R61">
        <f>IF(AND(P61="",Q61=""),"",IF(AND(P61&lt;&gt;"",Q61=""),"UNRECORDED",IF(AND(P61="",Q61&lt;&gt;""),"ORPHAN_RECORDED",IF(P61=Q61,"MATCH","MISMATCH"))))</f>
        <v/>
      </c>
      <c r="S61">
        <f>IF(OR(NOT(ISNUMBER(E61)),NOT(ISNUMBER(G61))),"",E61+G61)</f>
        <v/>
      </c>
      <c r="X61">
        <f>IF(A61="","",IF(AND(W61="Completed",OR(P61="Feasible",P61="Feasible with verified support")),"Completed feasible",IF(OR(P61="Not feasible",W61="Stopped before rating",W61="Aborted during review"),"Infeasible or aborted","Incomplete")))</f>
        <v/>
      </c>
      <c r="Y61" s="303" t="n"/>
      <c r="Z61" s="303" t="n"/>
      <c r="AA61" s="303" t="n"/>
      <c r="AB61" s="303" t="n"/>
      <c r="AC61" s="303" t="n"/>
      <c r="AD61" s="303">
        <f>IF(COUNTA(A61:O61)+COUNTA(Q61)+COUNTA(T61:W61)+COUNTA(Y61:AC61)=0,"",IF(AND(COUNTIF(Vocabulary!$J$5:$J$6,L61)=1,COUNTIF(Vocabulary!$J$5:$J$6,M61)=1,COUNTIF(Vocabulary!$J$5:$J$6,N61)=1,COUNTIF(Vocabulary!$J$5:$J$6,Y61)=1,COUNTIF(Vocabulary!$J$5:$J$6,Z61)=1,COUNTIF(Vocabulary!$J$5:$J$6,AA61)=1,COUNTIF(Vocabulary!$J$5:$J$6,AB61)=1,COUNTIF(Vocabulary!$J$5:$J$6,AC61)=1),"OK","UNRECOGNISED_BURDEN_VALUE"))</f>
        <v/>
      </c>
    </row>
    <row r="62">
      <c r="P62">
        <f>IF(COUNTA(A62:O62)+COUNTA(Q62)+COUNTA(T62:W62)+COUNTA(Y62:AC62)=0,"",IF(OR(NOT(ISNUMBER(D62)),NOT(ISNUMBER(E62)),NOT(ISNUMBER(F62)),NOT(ISNUMBER(G62)),NOT(ISNUMBER(H62)),NOT(ISNUMBER(I62)),NOT(ISNUMBER(J62)),NOT(ISNUMBER(K62)),AD62&lt;&gt;"OK"),"Not feasible",IF(OR(D62&lt;E62,F62&lt;G62,H62&lt;I62,J62&lt;K62,AND(L62="Yes",OR(M62&lt;&gt;"Yes",N62&lt;&gt;"Yes")),AND(Y62="Yes",OR(Z62&lt;&gt;"Yes",AA62&lt;&gt;"Yes")),AB62&lt;&gt;"Yes",AC62&lt;&gt;"Yes"),"Not feasible",IF(OR(L62="Yes",Y62="Yes"),"Feasible with verified support","Feasible"))))</f>
        <v/>
      </c>
      <c r="R62">
        <f>IF(AND(P62="",Q62=""),"",IF(AND(P62&lt;&gt;"",Q62=""),"UNRECORDED",IF(AND(P62="",Q62&lt;&gt;""),"ORPHAN_RECORDED",IF(P62=Q62,"MATCH","MISMATCH"))))</f>
        <v/>
      </c>
      <c r="S62">
        <f>IF(OR(NOT(ISNUMBER(E62)),NOT(ISNUMBER(G62))),"",E62+G62)</f>
        <v/>
      </c>
      <c r="X62">
        <f>IF(A62="","",IF(AND(W62="Completed",OR(P62="Feasible",P62="Feasible with verified support")),"Completed feasible",IF(OR(P62="Not feasible",W62="Stopped before rating",W62="Aborted during review"),"Infeasible or aborted","Incomplete")))</f>
        <v/>
      </c>
      <c r="Y62" s="303" t="n"/>
      <c r="Z62" s="303" t="n"/>
      <c r="AA62" s="303" t="n"/>
      <c r="AB62" s="303" t="n"/>
      <c r="AC62" s="303" t="n"/>
      <c r="AD62" s="303">
        <f>IF(COUNTA(A62:O62)+COUNTA(Q62)+COUNTA(T62:W62)+COUNTA(Y62:AC62)=0,"",IF(AND(COUNTIF(Vocabulary!$J$5:$J$6,L62)=1,COUNTIF(Vocabulary!$J$5:$J$6,M62)=1,COUNTIF(Vocabulary!$J$5:$J$6,N62)=1,COUNTIF(Vocabulary!$J$5:$J$6,Y62)=1,COUNTIF(Vocabulary!$J$5:$J$6,Z62)=1,COUNTIF(Vocabulary!$J$5:$J$6,AA62)=1,COUNTIF(Vocabulary!$J$5:$J$6,AB62)=1,COUNTIF(Vocabulary!$J$5:$J$6,AC62)=1),"OK","UNRECOGNISED_BURDEN_VALUE"))</f>
        <v/>
      </c>
    </row>
    <row r="63">
      <c r="P63">
        <f>IF(COUNTA(A63:O63)+COUNTA(Q63)+COUNTA(T63:W63)+COUNTA(Y63:AC63)=0,"",IF(OR(NOT(ISNUMBER(D63)),NOT(ISNUMBER(E63)),NOT(ISNUMBER(F63)),NOT(ISNUMBER(G63)),NOT(ISNUMBER(H63)),NOT(ISNUMBER(I63)),NOT(ISNUMBER(J63)),NOT(ISNUMBER(K63)),AD63&lt;&gt;"OK"),"Not feasible",IF(OR(D63&lt;E63,F63&lt;G63,H63&lt;I63,J63&lt;K63,AND(L63="Yes",OR(M63&lt;&gt;"Yes",N63&lt;&gt;"Yes")),AND(Y63="Yes",OR(Z63&lt;&gt;"Yes",AA63&lt;&gt;"Yes")),AB63&lt;&gt;"Yes",AC63&lt;&gt;"Yes"),"Not feasible",IF(OR(L63="Yes",Y63="Yes"),"Feasible with verified support","Feasible"))))</f>
        <v/>
      </c>
      <c r="R63">
        <f>IF(AND(P63="",Q63=""),"",IF(AND(P63&lt;&gt;"",Q63=""),"UNRECORDED",IF(AND(P63="",Q63&lt;&gt;""),"ORPHAN_RECORDED",IF(P63=Q63,"MATCH","MISMATCH"))))</f>
        <v/>
      </c>
      <c r="S63">
        <f>IF(OR(NOT(ISNUMBER(E63)),NOT(ISNUMBER(G63))),"",E63+G63)</f>
        <v/>
      </c>
      <c r="X63">
        <f>IF(A63="","",IF(AND(W63="Completed",OR(P63="Feasible",P63="Feasible with verified support")),"Completed feasible",IF(OR(P63="Not feasible",W63="Stopped before rating",W63="Aborted during review"),"Infeasible or aborted","Incomplete")))</f>
        <v/>
      </c>
      <c r="Y63" s="303" t="n"/>
      <c r="Z63" s="303" t="n"/>
      <c r="AA63" s="303" t="n"/>
      <c r="AB63" s="303" t="n"/>
      <c r="AC63" s="303" t="n"/>
      <c r="AD63" s="303">
        <f>IF(COUNTA(A63:O63)+COUNTA(Q63)+COUNTA(T63:W63)+COUNTA(Y63:AC63)=0,"",IF(AND(COUNTIF(Vocabulary!$J$5:$J$6,L63)=1,COUNTIF(Vocabulary!$J$5:$J$6,M63)=1,COUNTIF(Vocabulary!$J$5:$J$6,N63)=1,COUNTIF(Vocabulary!$J$5:$J$6,Y63)=1,COUNTIF(Vocabulary!$J$5:$J$6,Z63)=1,COUNTIF(Vocabulary!$J$5:$J$6,AA63)=1,COUNTIF(Vocabulary!$J$5:$J$6,AB63)=1,COUNTIF(Vocabulary!$J$5:$J$6,AC63)=1),"OK","UNRECOGNISED_BURDEN_VALUE"))</f>
        <v/>
      </c>
    </row>
    <row r="64">
      <c r="P64">
        <f>IF(COUNTA(A64:O64)+COUNTA(Q64)+COUNTA(T64:W64)+COUNTA(Y64:AC64)=0,"",IF(OR(NOT(ISNUMBER(D64)),NOT(ISNUMBER(E64)),NOT(ISNUMBER(F64)),NOT(ISNUMBER(G64)),NOT(ISNUMBER(H64)),NOT(ISNUMBER(I64)),NOT(ISNUMBER(J64)),NOT(ISNUMBER(K64)),AD64&lt;&gt;"OK"),"Not feasible",IF(OR(D64&lt;E64,F64&lt;G64,H64&lt;I64,J64&lt;K64,AND(L64="Yes",OR(M64&lt;&gt;"Yes",N64&lt;&gt;"Yes")),AND(Y64="Yes",OR(Z64&lt;&gt;"Yes",AA64&lt;&gt;"Yes")),AB64&lt;&gt;"Yes",AC64&lt;&gt;"Yes"),"Not feasible",IF(OR(L64="Yes",Y64="Yes"),"Feasible with verified support","Feasible"))))</f>
        <v/>
      </c>
      <c r="R64">
        <f>IF(AND(P64="",Q64=""),"",IF(AND(P64&lt;&gt;"",Q64=""),"UNRECORDED",IF(AND(P64="",Q64&lt;&gt;""),"ORPHAN_RECORDED",IF(P64=Q64,"MATCH","MISMATCH"))))</f>
        <v/>
      </c>
      <c r="S64">
        <f>IF(OR(NOT(ISNUMBER(E64)),NOT(ISNUMBER(G64))),"",E64+G64)</f>
        <v/>
      </c>
      <c r="X64">
        <f>IF(A64="","",IF(AND(W64="Completed",OR(P64="Feasible",P64="Feasible with verified support")),"Completed feasible",IF(OR(P64="Not feasible",W64="Stopped before rating",W64="Aborted during review"),"Infeasible or aborted","Incomplete")))</f>
        <v/>
      </c>
      <c r="Y64" s="303" t="n"/>
      <c r="Z64" s="303" t="n"/>
      <c r="AA64" s="303" t="n"/>
      <c r="AB64" s="303" t="n"/>
      <c r="AC64" s="303" t="n"/>
      <c r="AD64" s="303">
        <f>IF(COUNTA(A64:O64)+COUNTA(Q64)+COUNTA(T64:W64)+COUNTA(Y64:AC64)=0,"",IF(AND(COUNTIF(Vocabulary!$J$5:$J$6,L64)=1,COUNTIF(Vocabulary!$J$5:$J$6,M64)=1,COUNTIF(Vocabulary!$J$5:$J$6,N64)=1,COUNTIF(Vocabulary!$J$5:$J$6,Y64)=1,COUNTIF(Vocabulary!$J$5:$J$6,Z64)=1,COUNTIF(Vocabulary!$J$5:$J$6,AA64)=1,COUNTIF(Vocabulary!$J$5:$J$6,AB64)=1,COUNTIF(Vocabulary!$J$5:$J$6,AC64)=1),"OK","UNRECOGNISED_BURDEN_VALUE"))</f>
        <v/>
      </c>
    </row>
    <row r="65">
      <c r="P65">
        <f>IF(COUNTA(A65:O65)+COUNTA(Q65)+COUNTA(T65:W65)+COUNTA(Y65:AC65)=0,"",IF(OR(NOT(ISNUMBER(D65)),NOT(ISNUMBER(E65)),NOT(ISNUMBER(F65)),NOT(ISNUMBER(G65)),NOT(ISNUMBER(H65)),NOT(ISNUMBER(I65)),NOT(ISNUMBER(J65)),NOT(ISNUMBER(K65)),AD65&lt;&gt;"OK"),"Not feasible",IF(OR(D65&lt;E65,F65&lt;G65,H65&lt;I65,J65&lt;K65,AND(L65="Yes",OR(M65&lt;&gt;"Yes",N65&lt;&gt;"Yes")),AND(Y65="Yes",OR(Z65&lt;&gt;"Yes",AA65&lt;&gt;"Yes")),AB65&lt;&gt;"Yes",AC65&lt;&gt;"Yes"),"Not feasible",IF(OR(L65="Yes",Y65="Yes"),"Feasible with verified support","Feasible"))))</f>
        <v/>
      </c>
      <c r="R65">
        <f>IF(AND(P65="",Q65=""),"",IF(AND(P65&lt;&gt;"",Q65=""),"UNRECORDED",IF(AND(P65="",Q65&lt;&gt;""),"ORPHAN_RECORDED",IF(P65=Q65,"MATCH","MISMATCH"))))</f>
        <v/>
      </c>
      <c r="S65">
        <f>IF(OR(NOT(ISNUMBER(E65)),NOT(ISNUMBER(G65))),"",E65+G65)</f>
        <v/>
      </c>
      <c r="X65">
        <f>IF(A65="","",IF(AND(W65="Completed",OR(P65="Feasible",P65="Feasible with verified support")),"Completed feasible",IF(OR(P65="Not feasible",W65="Stopped before rating",W65="Aborted during review"),"Infeasible or aborted","Incomplete")))</f>
        <v/>
      </c>
      <c r="Y65" s="303" t="n"/>
      <c r="Z65" s="303" t="n"/>
      <c r="AA65" s="303" t="n"/>
      <c r="AB65" s="303" t="n"/>
      <c r="AC65" s="303" t="n"/>
      <c r="AD65" s="303">
        <f>IF(COUNTA(A65:O65)+COUNTA(Q65)+COUNTA(T65:W65)+COUNTA(Y65:AC65)=0,"",IF(AND(COUNTIF(Vocabulary!$J$5:$J$6,L65)=1,COUNTIF(Vocabulary!$J$5:$J$6,M65)=1,COUNTIF(Vocabulary!$J$5:$J$6,N65)=1,COUNTIF(Vocabulary!$J$5:$J$6,Y65)=1,COUNTIF(Vocabulary!$J$5:$J$6,Z65)=1,COUNTIF(Vocabulary!$J$5:$J$6,AA65)=1,COUNTIF(Vocabulary!$J$5:$J$6,AB65)=1,COUNTIF(Vocabulary!$J$5:$J$6,AC65)=1),"OK","UNRECOGNISED_BURDEN_VALUE"))</f>
        <v/>
      </c>
    </row>
    <row r="66">
      <c r="P66">
        <f>IF(COUNTA(A66:O66)+COUNTA(Q66)+COUNTA(T66:W66)+COUNTA(Y66:AC66)=0,"",IF(OR(NOT(ISNUMBER(D66)),NOT(ISNUMBER(E66)),NOT(ISNUMBER(F66)),NOT(ISNUMBER(G66)),NOT(ISNUMBER(H66)),NOT(ISNUMBER(I66)),NOT(ISNUMBER(J66)),NOT(ISNUMBER(K66)),AD66&lt;&gt;"OK"),"Not feasible",IF(OR(D66&lt;E66,F66&lt;G66,H66&lt;I66,J66&lt;K66,AND(L66="Yes",OR(M66&lt;&gt;"Yes",N66&lt;&gt;"Yes")),AND(Y66="Yes",OR(Z66&lt;&gt;"Yes",AA66&lt;&gt;"Yes")),AB66&lt;&gt;"Yes",AC66&lt;&gt;"Yes"),"Not feasible",IF(OR(L66="Yes",Y66="Yes"),"Feasible with verified support","Feasible"))))</f>
        <v/>
      </c>
      <c r="R66">
        <f>IF(AND(P66="",Q66=""),"",IF(AND(P66&lt;&gt;"",Q66=""),"UNRECORDED",IF(AND(P66="",Q66&lt;&gt;""),"ORPHAN_RECORDED",IF(P66=Q66,"MATCH","MISMATCH"))))</f>
        <v/>
      </c>
      <c r="S66">
        <f>IF(OR(NOT(ISNUMBER(E66)),NOT(ISNUMBER(G66))),"",E66+G66)</f>
        <v/>
      </c>
      <c r="X66">
        <f>IF(A66="","",IF(AND(W66="Completed",OR(P66="Feasible",P66="Feasible with verified support")),"Completed feasible",IF(OR(P66="Not feasible",W66="Stopped before rating",W66="Aborted during review"),"Infeasible or aborted","Incomplete")))</f>
        <v/>
      </c>
      <c r="Y66" s="303" t="n"/>
      <c r="Z66" s="303" t="n"/>
      <c r="AA66" s="303" t="n"/>
      <c r="AB66" s="303" t="n"/>
      <c r="AC66" s="303" t="n"/>
      <c r="AD66" s="303">
        <f>IF(COUNTA(A66:O66)+COUNTA(Q66)+COUNTA(T66:W66)+COUNTA(Y66:AC66)=0,"",IF(AND(COUNTIF(Vocabulary!$J$5:$J$6,L66)=1,COUNTIF(Vocabulary!$J$5:$J$6,M66)=1,COUNTIF(Vocabulary!$J$5:$J$6,N66)=1,COUNTIF(Vocabulary!$J$5:$J$6,Y66)=1,COUNTIF(Vocabulary!$J$5:$J$6,Z66)=1,COUNTIF(Vocabulary!$J$5:$J$6,AA66)=1,COUNTIF(Vocabulary!$J$5:$J$6,AB66)=1,COUNTIF(Vocabulary!$J$5:$J$6,AC66)=1),"OK","UNRECOGNISED_BURDEN_VALUE"))</f>
        <v/>
      </c>
    </row>
    <row r="67">
      <c r="P67">
        <f>IF(COUNTA(A67:O67)+COUNTA(Q67)+COUNTA(T67:W67)+COUNTA(Y67:AC67)=0,"",IF(OR(NOT(ISNUMBER(D67)),NOT(ISNUMBER(E67)),NOT(ISNUMBER(F67)),NOT(ISNUMBER(G67)),NOT(ISNUMBER(H67)),NOT(ISNUMBER(I67)),NOT(ISNUMBER(J67)),NOT(ISNUMBER(K67)),AD67&lt;&gt;"OK"),"Not feasible",IF(OR(D67&lt;E67,F67&lt;G67,H67&lt;I67,J67&lt;K67,AND(L67="Yes",OR(M67&lt;&gt;"Yes",N67&lt;&gt;"Yes")),AND(Y67="Yes",OR(Z67&lt;&gt;"Yes",AA67&lt;&gt;"Yes")),AB67&lt;&gt;"Yes",AC67&lt;&gt;"Yes"),"Not feasible",IF(OR(L67="Yes",Y67="Yes"),"Feasible with verified support","Feasible"))))</f>
        <v/>
      </c>
      <c r="R67">
        <f>IF(AND(P67="",Q67=""),"",IF(AND(P67&lt;&gt;"",Q67=""),"UNRECORDED",IF(AND(P67="",Q67&lt;&gt;""),"ORPHAN_RECORDED",IF(P67=Q67,"MATCH","MISMATCH"))))</f>
        <v/>
      </c>
      <c r="S67">
        <f>IF(OR(NOT(ISNUMBER(E67)),NOT(ISNUMBER(G67))),"",E67+G67)</f>
        <v/>
      </c>
      <c r="X67">
        <f>IF(A67="","",IF(AND(W67="Completed",OR(P67="Feasible",P67="Feasible with verified support")),"Completed feasible",IF(OR(P67="Not feasible",W67="Stopped before rating",W67="Aborted during review"),"Infeasible or aborted","Incomplete")))</f>
        <v/>
      </c>
      <c r="Y67" s="303" t="n"/>
      <c r="Z67" s="303" t="n"/>
      <c r="AA67" s="303" t="n"/>
      <c r="AB67" s="303" t="n"/>
      <c r="AC67" s="303" t="n"/>
      <c r="AD67" s="303">
        <f>IF(COUNTA(A67:O67)+COUNTA(Q67)+COUNTA(T67:W67)+COUNTA(Y67:AC67)=0,"",IF(AND(COUNTIF(Vocabulary!$J$5:$J$6,L67)=1,COUNTIF(Vocabulary!$J$5:$J$6,M67)=1,COUNTIF(Vocabulary!$J$5:$J$6,N67)=1,COUNTIF(Vocabulary!$J$5:$J$6,Y67)=1,COUNTIF(Vocabulary!$J$5:$J$6,Z67)=1,COUNTIF(Vocabulary!$J$5:$J$6,AA67)=1,COUNTIF(Vocabulary!$J$5:$J$6,AB67)=1,COUNTIF(Vocabulary!$J$5:$J$6,AC67)=1),"OK","UNRECOGNISED_BURDEN_VALUE"))</f>
        <v/>
      </c>
    </row>
    <row r="68">
      <c r="P68">
        <f>IF(COUNTA(A68:O68)+COUNTA(Q68)+COUNTA(T68:W68)+COUNTA(Y68:AC68)=0,"",IF(OR(NOT(ISNUMBER(D68)),NOT(ISNUMBER(E68)),NOT(ISNUMBER(F68)),NOT(ISNUMBER(G68)),NOT(ISNUMBER(H68)),NOT(ISNUMBER(I68)),NOT(ISNUMBER(J68)),NOT(ISNUMBER(K68)),AD68&lt;&gt;"OK"),"Not feasible",IF(OR(D68&lt;E68,F68&lt;G68,H68&lt;I68,J68&lt;K68,AND(L68="Yes",OR(M68&lt;&gt;"Yes",N68&lt;&gt;"Yes")),AND(Y68="Yes",OR(Z68&lt;&gt;"Yes",AA68&lt;&gt;"Yes")),AB68&lt;&gt;"Yes",AC68&lt;&gt;"Yes"),"Not feasible",IF(OR(L68="Yes",Y68="Yes"),"Feasible with verified support","Feasible"))))</f>
        <v/>
      </c>
      <c r="R68">
        <f>IF(AND(P68="",Q68=""),"",IF(AND(P68&lt;&gt;"",Q68=""),"UNRECORDED",IF(AND(P68="",Q68&lt;&gt;""),"ORPHAN_RECORDED",IF(P68=Q68,"MATCH","MISMATCH"))))</f>
        <v/>
      </c>
      <c r="S68">
        <f>IF(OR(NOT(ISNUMBER(E68)),NOT(ISNUMBER(G68))),"",E68+G68)</f>
        <v/>
      </c>
      <c r="X68">
        <f>IF(A68="","",IF(AND(W68="Completed",OR(P68="Feasible",P68="Feasible with verified support")),"Completed feasible",IF(OR(P68="Not feasible",W68="Stopped before rating",W68="Aborted during review"),"Infeasible or aborted","Incomplete")))</f>
        <v/>
      </c>
      <c r="Y68" s="303" t="n"/>
      <c r="Z68" s="303" t="n"/>
      <c r="AA68" s="303" t="n"/>
      <c r="AB68" s="303" t="n"/>
      <c r="AC68" s="303" t="n"/>
      <c r="AD68" s="303">
        <f>IF(COUNTA(A68:O68)+COUNTA(Q68)+COUNTA(T68:W68)+COUNTA(Y68:AC68)=0,"",IF(AND(COUNTIF(Vocabulary!$J$5:$J$6,L68)=1,COUNTIF(Vocabulary!$J$5:$J$6,M68)=1,COUNTIF(Vocabulary!$J$5:$J$6,N68)=1,COUNTIF(Vocabulary!$J$5:$J$6,Y68)=1,COUNTIF(Vocabulary!$J$5:$J$6,Z68)=1,COUNTIF(Vocabulary!$J$5:$J$6,AA68)=1,COUNTIF(Vocabulary!$J$5:$J$6,AB68)=1,COUNTIF(Vocabulary!$J$5:$J$6,AC68)=1),"OK","UNRECOGNISED_BURDEN_VALUE"))</f>
        <v/>
      </c>
    </row>
    <row r="69">
      <c r="P69">
        <f>IF(COUNTA(A69:O69)+COUNTA(Q69)+COUNTA(T69:W69)+COUNTA(Y69:AC69)=0,"",IF(OR(NOT(ISNUMBER(D69)),NOT(ISNUMBER(E69)),NOT(ISNUMBER(F69)),NOT(ISNUMBER(G69)),NOT(ISNUMBER(H69)),NOT(ISNUMBER(I69)),NOT(ISNUMBER(J69)),NOT(ISNUMBER(K69)),AD69&lt;&gt;"OK"),"Not feasible",IF(OR(D69&lt;E69,F69&lt;G69,H69&lt;I69,J69&lt;K69,AND(L69="Yes",OR(M69&lt;&gt;"Yes",N69&lt;&gt;"Yes")),AND(Y69="Yes",OR(Z69&lt;&gt;"Yes",AA69&lt;&gt;"Yes")),AB69&lt;&gt;"Yes",AC69&lt;&gt;"Yes"),"Not feasible",IF(OR(L69="Yes",Y69="Yes"),"Feasible with verified support","Feasible"))))</f>
        <v/>
      </c>
      <c r="R69">
        <f>IF(AND(P69="",Q69=""),"",IF(AND(P69&lt;&gt;"",Q69=""),"UNRECORDED",IF(AND(P69="",Q69&lt;&gt;""),"ORPHAN_RECORDED",IF(P69=Q69,"MATCH","MISMATCH"))))</f>
        <v/>
      </c>
      <c r="S69">
        <f>IF(OR(NOT(ISNUMBER(E69)),NOT(ISNUMBER(G69))),"",E69+G69)</f>
        <v/>
      </c>
      <c r="X69">
        <f>IF(A69="","",IF(AND(W69="Completed",OR(P69="Feasible",P69="Feasible with verified support")),"Completed feasible",IF(OR(P69="Not feasible",W69="Stopped before rating",W69="Aborted during review"),"Infeasible or aborted","Incomplete")))</f>
        <v/>
      </c>
      <c r="Y69" s="303" t="n"/>
      <c r="Z69" s="303" t="n"/>
      <c r="AA69" s="303" t="n"/>
      <c r="AB69" s="303" t="n"/>
      <c r="AC69" s="303" t="n"/>
      <c r="AD69" s="303">
        <f>IF(COUNTA(A69:O69)+COUNTA(Q69)+COUNTA(T69:W69)+COUNTA(Y69:AC69)=0,"",IF(AND(COUNTIF(Vocabulary!$J$5:$J$6,L69)=1,COUNTIF(Vocabulary!$J$5:$J$6,M69)=1,COUNTIF(Vocabulary!$J$5:$J$6,N69)=1,COUNTIF(Vocabulary!$J$5:$J$6,Y69)=1,COUNTIF(Vocabulary!$J$5:$J$6,Z69)=1,COUNTIF(Vocabulary!$J$5:$J$6,AA69)=1,COUNTIF(Vocabulary!$J$5:$J$6,AB69)=1,COUNTIF(Vocabulary!$J$5:$J$6,AC69)=1),"OK","UNRECOGNISED_BURDEN_VALUE"))</f>
        <v/>
      </c>
    </row>
    <row r="70">
      <c r="P70">
        <f>IF(COUNTA(A70:O70)+COUNTA(Q70)+COUNTA(T70:W70)+COUNTA(Y70:AC70)=0,"",IF(OR(NOT(ISNUMBER(D70)),NOT(ISNUMBER(E70)),NOT(ISNUMBER(F70)),NOT(ISNUMBER(G70)),NOT(ISNUMBER(H70)),NOT(ISNUMBER(I70)),NOT(ISNUMBER(J70)),NOT(ISNUMBER(K70)),AD70&lt;&gt;"OK"),"Not feasible",IF(OR(D70&lt;E70,F70&lt;G70,H70&lt;I70,J70&lt;K70,AND(L70="Yes",OR(M70&lt;&gt;"Yes",N70&lt;&gt;"Yes")),AND(Y70="Yes",OR(Z70&lt;&gt;"Yes",AA70&lt;&gt;"Yes")),AB70&lt;&gt;"Yes",AC70&lt;&gt;"Yes"),"Not feasible",IF(OR(L70="Yes",Y70="Yes"),"Feasible with verified support","Feasible"))))</f>
        <v/>
      </c>
      <c r="R70">
        <f>IF(AND(P70="",Q70=""),"",IF(AND(P70&lt;&gt;"",Q70=""),"UNRECORDED",IF(AND(P70="",Q70&lt;&gt;""),"ORPHAN_RECORDED",IF(P70=Q70,"MATCH","MISMATCH"))))</f>
        <v/>
      </c>
      <c r="S70">
        <f>IF(OR(NOT(ISNUMBER(E70)),NOT(ISNUMBER(G70))),"",E70+G70)</f>
        <v/>
      </c>
      <c r="X70">
        <f>IF(A70="","",IF(AND(W70="Completed",OR(P70="Feasible",P70="Feasible with verified support")),"Completed feasible",IF(OR(P70="Not feasible",W70="Stopped before rating",W70="Aborted during review"),"Infeasible or aborted","Incomplete")))</f>
        <v/>
      </c>
      <c r="Y70" s="303" t="n"/>
      <c r="Z70" s="303" t="n"/>
      <c r="AA70" s="303" t="n"/>
      <c r="AB70" s="303" t="n"/>
      <c r="AC70" s="303" t="n"/>
      <c r="AD70" s="303">
        <f>IF(COUNTA(A70:O70)+COUNTA(Q70)+COUNTA(T70:W70)+COUNTA(Y70:AC70)=0,"",IF(AND(COUNTIF(Vocabulary!$J$5:$J$6,L70)=1,COUNTIF(Vocabulary!$J$5:$J$6,M70)=1,COUNTIF(Vocabulary!$J$5:$J$6,N70)=1,COUNTIF(Vocabulary!$J$5:$J$6,Y70)=1,COUNTIF(Vocabulary!$J$5:$J$6,Z70)=1,COUNTIF(Vocabulary!$J$5:$J$6,AA70)=1,COUNTIF(Vocabulary!$J$5:$J$6,AB70)=1,COUNTIF(Vocabulary!$J$5:$J$6,AC70)=1),"OK","UNRECOGNISED_BURDEN_VALUE"))</f>
        <v/>
      </c>
    </row>
    <row r="71">
      <c r="P71">
        <f>IF(COUNTA(A71:O71)+COUNTA(Q71)+COUNTA(T71:W71)+COUNTA(Y71:AC71)=0,"",IF(OR(NOT(ISNUMBER(D71)),NOT(ISNUMBER(E71)),NOT(ISNUMBER(F71)),NOT(ISNUMBER(G71)),NOT(ISNUMBER(H71)),NOT(ISNUMBER(I71)),NOT(ISNUMBER(J71)),NOT(ISNUMBER(K71)),AD71&lt;&gt;"OK"),"Not feasible",IF(OR(D71&lt;E71,F71&lt;G71,H71&lt;I71,J71&lt;K71,AND(L71="Yes",OR(M71&lt;&gt;"Yes",N71&lt;&gt;"Yes")),AND(Y71="Yes",OR(Z71&lt;&gt;"Yes",AA71&lt;&gt;"Yes")),AB71&lt;&gt;"Yes",AC71&lt;&gt;"Yes"),"Not feasible",IF(OR(L71="Yes",Y71="Yes"),"Feasible with verified support","Feasible"))))</f>
        <v/>
      </c>
      <c r="R71">
        <f>IF(AND(P71="",Q71=""),"",IF(AND(P71&lt;&gt;"",Q71=""),"UNRECORDED",IF(AND(P71="",Q71&lt;&gt;""),"ORPHAN_RECORDED",IF(P71=Q71,"MATCH","MISMATCH"))))</f>
        <v/>
      </c>
      <c r="S71">
        <f>IF(OR(NOT(ISNUMBER(E71)),NOT(ISNUMBER(G71))),"",E71+G71)</f>
        <v/>
      </c>
      <c r="X71">
        <f>IF(A71="","",IF(AND(W71="Completed",OR(P71="Feasible",P71="Feasible with verified support")),"Completed feasible",IF(OR(P71="Not feasible",W71="Stopped before rating",W71="Aborted during review"),"Infeasible or aborted","Incomplete")))</f>
        <v/>
      </c>
      <c r="Y71" s="303" t="n"/>
      <c r="Z71" s="303" t="n"/>
      <c r="AA71" s="303" t="n"/>
      <c r="AB71" s="303" t="n"/>
      <c r="AC71" s="303" t="n"/>
      <c r="AD71" s="303">
        <f>IF(COUNTA(A71:O71)+COUNTA(Q71)+COUNTA(T71:W71)+COUNTA(Y71:AC71)=0,"",IF(AND(COUNTIF(Vocabulary!$J$5:$J$6,L71)=1,COUNTIF(Vocabulary!$J$5:$J$6,M71)=1,COUNTIF(Vocabulary!$J$5:$J$6,N71)=1,COUNTIF(Vocabulary!$J$5:$J$6,Y71)=1,COUNTIF(Vocabulary!$J$5:$J$6,Z71)=1,COUNTIF(Vocabulary!$J$5:$J$6,AA71)=1,COUNTIF(Vocabulary!$J$5:$J$6,AB71)=1,COUNTIF(Vocabulary!$J$5:$J$6,AC71)=1),"OK","UNRECOGNISED_BURDEN_VALUE"))</f>
        <v/>
      </c>
    </row>
    <row r="72">
      <c r="P72">
        <f>IF(COUNTA(A72:O72)+COUNTA(Q72)+COUNTA(T72:W72)+COUNTA(Y72:AC72)=0,"",IF(OR(NOT(ISNUMBER(D72)),NOT(ISNUMBER(E72)),NOT(ISNUMBER(F72)),NOT(ISNUMBER(G72)),NOT(ISNUMBER(H72)),NOT(ISNUMBER(I72)),NOT(ISNUMBER(J72)),NOT(ISNUMBER(K72)),AD72&lt;&gt;"OK"),"Not feasible",IF(OR(D72&lt;E72,F72&lt;G72,H72&lt;I72,J72&lt;K72,AND(L72="Yes",OR(M72&lt;&gt;"Yes",N72&lt;&gt;"Yes")),AND(Y72="Yes",OR(Z72&lt;&gt;"Yes",AA72&lt;&gt;"Yes")),AB72&lt;&gt;"Yes",AC72&lt;&gt;"Yes"),"Not feasible",IF(OR(L72="Yes",Y72="Yes"),"Feasible with verified support","Feasible"))))</f>
        <v/>
      </c>
      <c r="R72">
        <f>IF(AND(P72="",Q72=""),"",IF(AND(P72&lt;&gt;"",Q72=""),"UNRECORDED",IF(AND(P72="",Q72&lt;&gt;""),"ORPHAN_RECORDED",IF(P72=Q72,"MATCH","MISMATCH"))))</f>
        <v/>
      </c>
      <c r="S72">
        <f>IF(OR(NOT(ISNUMBER(E72)),NOT(ISNUMBER(G72))),"",E72+G72)</f>
        <v/>
      </c>
      <c r="X72">
        <f>IF(A72="","",IF(AND(W72="Completed",OR(P72="Feasible",P72="Feasible with verified support")),"Completed feasible",IF(OR(P72="Not feasible",W72="Stopped before rating",W72="Aborted during review"),"Infeasible or aborted","Incomplete")))</f>
        <v/>
      </c>
      <c r="Y72" s="303" t="n"/>
      <c r="Z72" s="303" t="n"/>
      <c r="AA72" s="303" t="n"/>
      <c r="AB72" s="303" t="n"/>
      <c r="AC72" s="303" t="n"/>
      <c r="AD72" s="303">
        <f>IF(COUNTA(A72:O72)+COUNTA(Q72)+COUNTA(T72:W72)+COUNTA(Y72:AC72)=0,"",IF(AND(COUNTIF(Vocabulary!$J$5:$J$6,L72)=1,COUNTIF(Vocabulary!$J$5:$J$6,M72)=1,COUNTIF(Vocabulary!$J$5:$J$6,N72)=1,COUNTIF(Vocabulary!$J$5:$J$6,Y72)=1,COUNTIF(Vocabulary!$J$5:$J$6,Z72)=1,COUNTIF(Vocabulary!$J$5:$J$6,AA72)=1,COUNTIF(Vocabulary!$J$5:$J$6,AB72)=1,COUNTIF(Vocabulary!$J$5:$J$6,AC72)=1),"OK","UNRECOGNISED_BURDEN_VALUE"))</f>
        <v/>
      </c>
    </row>
    <row r="73">
      <c r="P73">
        <f>IF(COUNTA(A73:O73)+COUNTA(Q73)+COUNTA(T73:W73)+COUNTA(Y73:AC73)=0,"",IF(OR(NOT(ISNUMBER(D73)),NOT(ISNUMBER(E73)),NOT(ISNUMBER(F73)),NOT(ISNUMBER(G73)),NOT(ISNUMBER(H73)),NOT(ISNUMBER(I73)),NOT(ISNUMBER(J73)),NOT(ISNUMBER(K73)),AD73&lt;&gt;"OK"),"Not feasible",IF(OR(D73&lt;E73,F73&lt;G73,H73&lt;I73,J73&lt;K73,AND(L73="Yes",OR(M73&lt;&gt;"Yes",N73&lt;&gt;"Yes")),AND(Y73="Yes",OR(Z73&lt;&gt;"Yes",AA73&lt;&gt;"Yes")),AB73&lt;&gt;"Yes",AC73&lt;&gt;"Yes"),"Not feasible",IF(OR(L73="Yes",Y73="Yes"),"Feasible with verified support","Feasible"))))</f>
        <v/>
      </c>
      <c r="R73">
        <f>IF(AND(P73="",Q73=""),"",IF(AND(P73&lt;&gt;"",Q73=""),"UNRECORDED",IF(AND(P73="",Q73&lt;&gt;""),"ORPHAN_RECORDED",IF(P73=Q73,"MATCH","MISMATCH"))))</f>
        <v/>
      </c>
      <c r="S73">
        <f>IF(OR(NOT(ISNUMBER(E73)),NOT(ISNUMBER(G73))),"",E73+G73)</f>
        <v/>
      </c>
      <c r="X73">
        <f>IF(A73="","",IF(AND(W73="Completed",OR(P73="Feasible",P73="Feasible with verified support")),"Completed feasible",IF(OR(P73="Not feasible",W73="Stopped before rating",W73="Aborted during review"),"Infeasible or aborted","Incomplete")))</f>
        <v/>
      </c>
      <c r="Y73" s="303" t="n"/>
      <c r="Z73" s="303" t="n"/>
      <c r="AA73" s="303" t="n"/>
      <c r="AB73" s="303" t="n"/>
      <c r="AC73" s="303" t="n"/>
      <c r="AD73" s="303">
        <f>IF(COUNTA(A73:O73)+COUNTA(Q73)+COUNTA(T73:W73)+COUNTA(Y73:AC73)=0,"",IF(AND(COUNTIF(Vocabulary!$J$5:$J$6,L73)=1,COUNTIF(Vocabulary!$J$5:$J$6,M73)=1,COUNTIF(Vocabulary!$J$5:$J$6,N73)=1,COUNTIF(Vocabulary!$J$5:$J$6,Y73)=1,COUNTIF(Vocabulary!$J$5:$J$6,Z73)=1,COUNTIF(Vocabulary!$J$5:$J$6,AA73)=1,COUNTIF(Vocabulary!$J$5:$J$6,AB73)=1,COUNTIF(Vocabulary!$J$5:$J$6,AC73)=1),"OK","UNRECOGNISED_BURDEN_VALUE"))</f>
        <v/>
      </c>
    </row>
    <row r="74">
      <c r="P74">
        <f>IF(COUNTA(A74:O74)+COUNTA(Q74)+COUNTA(T74:W74)+COUNTA(Y74:AC74)=0,"",IF(OR(NOT(ISNUMBER(D74)),NOT(ISNUMBER(E74)),NOT(ISNUMBER(F74)),NOT(ISNUMBER(G74)),NOT(ISNUMBER(H74)),NOT(ISNUMBER(I74)),NOT(ISNUMBER(J74)),NOT(ISNUMBER(K74)),AD74&lt;&gt;"OK"),"Not feasible",IF(OR(D74&lt;E74,F74&lt;G74,H74&lt;I74,J74&lt;K74,AND(L74="Yes",OR(M74&lt;&gt;"Yes",N74&lt;&gt;"Yes")),AND(Y74="Yes",OR(Z74&lt;&gt;"Yes",AA74&lt;&gt;"Yes")),AB74&lt;&gt;"Yes",AC74&lt;&gt;"Yes"),"Not feasible",IF(OR(L74="Yes",Y74="Yes"),"Feasible with verified support","Feasible"))))</f>
        <v/>
      </c>
      <c r="R74">
        <f>IF(AND(P74="",Q74=""),"",IF(AND(P74&lt;&gt;"",Q74=""),"UNRECORDED",IF(AND(P74="",Q74&lt;&gt;""),"ORPHAN_RECORDED",IF(P74=Q74,"MATCH","MISMATCH"))))</f>
        <v/>
      </c>
      <c r="S74">
        <f>IF(OR(NOT(ISNUMBER(E74)),NOT(ISNUMBER(G74))),"",E74+G74)</f>
        <v/>
      </c>
      <c r="X74">
        <f>IF(A74="","",IF(AND(W74="Completed",OR(P74="Feasible",P74="Feasible with verified support")),"Completed feasible",IF(OR(P74="Not feasible",W74="Stopped before rating",W74="Aborted during review"),"Infeasible or aborted","Incomplete")))</f>
        <v/>
      </c>
      <c r="Y74" s="303" t="n"/>
      <c r="Z74" s="303" t="n"/>
      <c r="AA74" s="303" t="n"/>
      <c r="AB74" s="303" t="n"/>
      <c r="AC74" s="303" t="n"/>
      <c r="AD74" s="303">
        <f>IF(COUNTA(A74:O74)+COUNTA(Q74)+COUNTA(T74:W74)+COUNTA(Y74:AC74)=0,"",IF(AND(COUNTIF(Vocabulary!$J$5:$J$6,L74)=1,COUNTIF(Vocabulary!$J$5:$J$6,M74)=1,COUNTIF(Vocabulary!$J$5:$J$6,N74)=1,COUNTIF(Vocabulary!$J$5:$J$6,Y74)=1,COUNTIF(Vocabulary!$J$5:$J$6,Z74)=1,COUNTIF(Vocabulary!$J$5:$J$6,AA74)=1,COUNTIF(Vocabulary!$J$5:$J$6,AB74)=1,COUNTIF(Vocabulary!$J$5:$J$6,AC74)=1),"OK","UNRECOGNISED_BURDEN_VALUE"))</f>
        <v/>
      </c>
    </row>
    <row r="75">
      <c r="P75">
        <f>IF(COUNTA(A75:O75)+COUNTA(Q75)+COUNTA(T75:W75)+COUNTA(Y75:AC75)=0,"",IF(OR(NOT(ISNUMBER(D75)),NOT(ISNUMBER(E75)),NOT(ISNUMBER(F75)),NOT(ISNUMBER(G75)),NOT(ISNUMBER(H75)),NOT(ISNUMBER(I75)),NOT(ISNUMBER(J75)),NOT(ISNUMBER(K75)),AD75&lt;&gt;"OK"),"Not feasible",IF(OR(D75&lt;E75,F75&lt;G75,H75&lt;I75,J75&lt;K75,AND(L75="Yes",OR(M75&lt;&gt;"Yes",N75&lt;&gt;"Yes")),AND(Y75="Yes",OR(Z75&lt;&gt;"Yes",AA75&lt;&gt;"Yes")),AB75&lt;&gt;"Yes",AC75&lt;&gt;"Yes"),"Not feasible",IF(OR(L75="Yes",Y75="Yes"),"Feasible with verified support","Feasible"))))</f>
        <v/>
      </c>
      <c r="R75">
        <f>IF(AND(P75="",Q75=""),"",IF(AND(P75&lt;&gt;"",Q75=""),"UNRECORDED",IF(AND(P75="",Q75&lt;&gt;""),"ORPHAN_RECORDED",IF(P75=Q75,"MATCH","MISMATCH"))))</f>
        <v/>
      </c>
      <c r="S75">
        <f>IF(OR(NOT(ISNUMBER(E75)),NOT(ISNUMBER(G75))),"",E75+G75)</f>
        <v/>
      </c>
      <c r="X75">
        <f>IF(A75="","",IF(AND(W75="Completed",OR(P75="Feasible",P75="Feasible with verified support")),"Completed feasible",IF(OR(P75="Not feasible",W75="Stopped before rating",W75="Aborted during review"),"Infeasible or aborted","Incomplete")))</f>
        <v/>
      </c>
      <c r="Y75" s="303" t="n"/>
      <c r="Z75" s="303" t="n"/>
      <c r="AA75" s="303" t="n"/>
      <c r="AB75" s="303" t="n"/>
      <c r="AC75" s="303" t="n"/>
      <c r="AD75" s="303">
        <f>IF(COUNTA(A75:O75)+COUNTA(Q75)+COUNTA(T75:W75)+COUNTA(Y75:AC75)=0,"",IF(AND(COUNTIF(Vocabulary!$J$5:$J$6,L75)=1,COUNTIF(Vocabulary!$J$5:$J$6,M75)=1,COUNTIF(Vocabulary!$J$5:$J$6,N75)=1,COUNTIF(Vocabulary!$J$5:$J$6,Y75)=1,COUNTIF(Vocabulary!$J$5:$J$6,Z75)=1,COUNTIF(Vocabulary!$J$5:$J$6,AA75)=1,COUNTIF(Vocabulary!$J$5:$J$6,AB75)=1,COUNTIF(Vocabulary!$J$5:$J$6,AC75)=1),"OK","UNRECOGNISED_BURDEN_VALUE"))</f>
        <v/>
      </c>
    </row>
    <row r="76">
      <c r="P76">
        <f>IF(COUNTA(A76:O76)+COUNTA(Q76)+COUNTA(T76:W76)+COUNTA(Y76:AC76)=0,"",IF(OR(NOT(ISNUMBER(D76)),NOT(ISNUMBER(E76)),NOT(ISNUMBER(F76)),NOT(ISNUMBER(G76)),NOT(ISNUMBER(H76)),NOT(ISNUMBER(I76)),NOT(ISNUMBER(J76)),NOT(ISNUMBER(K76)),AD76&lt;&gt;"OK"),"Not feasible",IF(OR(D76&lt;E76,F76&lt;G76,H76&lt;I76,J76&lt;K76,AND(L76="Yes",OR(M76&lt;&gt;"Yes",N76&lt;&gt;"Yes")),AND(Y76="Yes",OR(Z76&lt;&gt;"Yes",AA76&lt;&gt;"Yes")),AB76&lt;&gt;"Yes",AC76&lt;&gt;"Yes"),"Not feasible",IF(OR(L76="Yes",Y76="Yes"),"Feasible with verified support","Feasible"))))</f>
        <v/>
      </c>
      <c r="R76">
        <f>IF(AND(P76="",Q76=""),"",IF(AND(P76&lt;&gt;"",Q76=""),"UNRECORDED",IF(AND(P76="",Q76&lt;&gt;""),"ORPHAN_RECORDED",IF(P76=Q76,"MATCH","MISMATCH"))))</f>
        <v/>
      </c>
      <c r="S76">
        <f>IF(OR(NOT(ISNUMBER(E76)),NOT(ISNUMBER(G76))),"",E76+G76)</f>
        <v/>
      </c>
      <c r="X76">
        <f>IF(A76="","",IF(AND(W76="Completed",OR(P76="Feasible",P76="Feasible with verified support")),"Completed feasible",IF(OR(P76="Not feasible",W76="Stopped before rating",W76="Aborted during review"),"Infeasible or aborted","Incomplete")))</f>
        <v/>
      </c>
      <c r="Y76" s="303" t="n"/>
      <c r="Z76" s="303" t="n"/>
      <c r="AA76" s="303" t="n"/>
      <c r="AB76" s="303" t="n"/>
      <c r="AC76" s="303" t="n"/>
      <c r="AD76" s="303">
        <f>IF(COUNTA(A76:O76)+COUNTA(Q76)+COUNTA(T76:W76)+COUNTA(Y76:AC76)=0,"",IF(AND(COUNTIF(Vocabulary!$J$5:$J$6,L76)=1,COUNTIF(Vocabulary!$J$5:$J$6,M76)=1,COUNTIF(Vocabulary!$J$5:$J$6,N76)=1,COUNTIF(Vocabulary!$J$5:$J$6,Y76)=1,COUNTIF(Vocabulary!$J$5:$J$6,Z76)=1,COUNTIF(Vocabulary!$J$5:$J$6,AA76)=1,COUNTIF(Vocabulary!$J$5:$J$6,AB76)=1,COUNTIF(Vocabulary!$J$5:$J$6,AC76)=1),"OK","UNRECOGNISED_BURDEN_VALUE"))</f>
        <v/>
      </c>
    </row>
    <row r="77">
      <c r="P77">
        <f>IF(COUNTA(A77:O77)+COUNTA(Q77)+COUNTA(T77:W77)+COUNTA(Y77:AC77)=0,"",IF(OR(NOT(ISNUMBER(D77)),NOT(ISNUMBER(E77)),NOT(ISNUMBER(F77)),NOT(ISNUMBER(G77)),NOT(ISNUMBER(H77)),NOT(ISNUMBER(I77)),NOT(ISNUMBER(J77)),NOT(ISNUMBER(K77)),AD77&lt;&gt;"OK"),"Not feasible",IF(OR(D77&lt;E77,F77&lt;G77,H77&lt;I77,J77&lt;K77,AND(L77="Yes",OR(M77&lt;&gt;"Yes",N77&lt;&gt;"Yes")),AND(Y77="Yes",OR(Z77&lt;&gt;"Yes",AA77&lt;&gt;"Yes")),AB77&lt;&gt;"Yes",AC77&lt;&gt;"Yes"),"Not feasible",IF(OR(L77="Yes",Y77="Yes"),"Feasible with verified support","Feasible"))))</f>
        <v/>
      </c>
      <c r="R77">
        <f>IF(AND(P77="",Q77=""),"",IF(AND(P77&lt;&gt;"",Q77=""),"UNRECORDED",IF(AND(P77="",Q77&lt;&gt;""),"ORPHAN_RECORDED",IF(P77=Q77,"MATCH","MISMATCH"))))</f>
        <v/>
      </c>
      <c r="S77">
        <f>IF(OR(NOT(ISNUMBER(E77)),NOT(ISNUMBER(G77))),"",E77+G77)</f>
        <v/>
      </c>
      <c r="X77">
        <f>IF(A77="","",IF(AND(W77="Completed",OR(P77="Feasible",P77="Feasible with verified support")),"Completed feasible",IF(OR(P77="Not feasible",W77="Stopped before rating",W77="Aborted during review"),"Infeasible or aborted","Incomplete")))</f>
        <v/>
      </c>
      <c r="Y77" s="303" t="n"/>
      <c r="Z77" s="303" t="n"/>
      <c r="AA77" s="303" t="n"/>
      <c r="AB77" s="303" t="n"/>
      <c r="AC77" s="303" t="n"/>
      <c r="AD77" s="303">
        <f>IF(COUNTA(A77:O77)+COUNTA(Q77)+COUNTA(T77:W77)+COUNTA(Y77:AC77)=0,"",IF(AND(COUNTIF(Vocabulary!$J$5:$J$6,L77)=1,COUNTIF(Vocabulary!$J$5:$J$6,M77)=1,COUNTIF(Vocabulary!$J$5:$J$6,N77)=1,COUNTIF(Vocabulary!$J$5:$J$6,Y77)=1,COUNTIF(Vocabulary!$J$5:$J$6,Z77)=1,COUNTIF(Vocabulary!$J$5:$J$6,AA77)=1,COUNTIF(Vocabulary!$J$5:$J$6,AB77)=1,COUNTIF(Vocabulary!$J$5:$J$6,AC77)=1),"OK","UNRECOGNISED_BURDEN_VALUE"))</f>
        <v/>
      </c>
    </row>
    <row r="78">
      <c r="P78">
        <f>IF(COUNTA(A78:O78)+COUNTA(Q78)+COUNTA(T78:W78)+COUNTA(Y78:AC78)=0,"",IF(OR(NOT(ISNUMBER(D78)),NOT(ISNUMBER(E78)),NOT(ISNUMBER(F78)),NOT(ISNUMBER(G78)),NOT(ISNUMBER(H78)),NOT(ISNUMBER(I78)),NOT(ISNUMBER(J78)),NOT(ISNUMBER(K78)),AD78&lt;&gt;"OK"),"Not feasible",IF(OR(D78&lt;E78,F78&lt;G78,H78&lt;I78,J78&lt;K78,AND(L78="Yes",OR(M78&lt;&gt;"Yes",N78&lt;&gt;"Yes")),AND(Y78="Yes",OR(Z78&lt;&gt;"Yes",AA78&lt;&gt;"Yes")),AB78&lt;&gt;"Yes",AC78&lt;&gt;"Yes"),"Not feasible",IF(OR(L78="Yes",Y78="Yes"),"Feasible with verified support","Feasible"))))</f>
        <v/>
      </c>
      <c r="R78">
        <f>IF(AND(P78="",Q78=""),"",IF(AND(P78&lt;&gt;"",Q78=""),"UNRECORDED",IF(AND(P78="",Q78&lt;&gt;""),"ORPHAN_RECORDED",IF(P78=Q78,"MATCH","MISMATCH"))))</f>
        <v/>
      </c>
      <c r="S78">
        <f>IF(OR(NOT(ISNUMBER(E78)),NOT(ISNUMBER(G78))),"",E78+G78)</f>
        <v/>
      </c>
      <c r="X78">
        <f>IF(A78="","",IF(AND(W78="Completed",OR(P78="Feasible",P78="Feasible with verified support")),"Completed feasible",IF(OR(P78="Not feasible",W78="Stopped before rating",W78="Aborted during review"),"Infeasible or aborted","Incomplete")))</f>
        <v/>
      </c>
      <c r="Y78" s="303" t="n"/>
      <c r="Z78" s="303" t="n"/>
      <c r="AA78" s="303" t="n"/>
      <c r="AB78" s="303" t="n"/>
      <c r="AC78" s="303" t="n"/>
      <c r="AD78" s="303">
        <f>IF(COUNTA(A78:O78)+COUNTA(Q78)+COUNTA(T78:W78)+COUNTA(Y78:AC78)=0,"",IF(AND(COUNTIF(Vocabulary!$J$5:$J$6,L78)=1,COUNTIF(Vocabulary!$J$5:$J$6,M78)=1,COUNTIF(Vocabulary!$J$5:$J$6,N78)=1,COUNTIF(Vocabulary!$J$5:$J$6,Y78)=1,COUNTIF(Vocabulary!$J$5:$J$6,Z78)=1,COUNTIF(Vocabulary!$J$5:$J$6,AA78)=1,COUNTIF(Vocabulary!$J$5:$J$6,AB78)=1,COUNTIF(Vocabulary!$J$5:$J$6,AC78)=1),"OK","UNRECOGNISED_BURDEN_VALUE"))</f>
        <v/>
      </c>
    </row>
    <row r="79">
      <c r="P79">
        <f>IF(COUNTA(A79:O79)+COUNTA(Q79)+COUNTA(T79:W79)+COUNTA(Y79:AC79)=0,"",IF(OR(NOT(ISNUMBER(D79)),NOT(ISNUMBER(E79)),NOT(ISNUMBER(F79)),NOT(ISNUMBER(G79)),NOT(ISNUMBER(H79)),NOT(ISNUMBER(I79)),NOT(ISNUMBER(J79)),NOT(ISNUMBER(K79)),AD79&lt;&gt;"OK"),"Not feasible",IF(OR(D79&lt;E79,F79&lt;G79,H79&lt;I79,J79&lt;K79,AND(L79="Yes",OR(M79&lt;&gt;"Yes",N79&lt;&gt;"Yes")),AND(Y79="Yes",OR(Z79&lt;&gt;"Yes",AA79&lt;&gt;"Yes")),AB79&lt;&gt;"Yes",AC79&lt;&gt;"Yes"),"Not feasible",IF(OR(L79="Yes",Y79="Yes"),"Feasible with verified support","Feasible"))))</f>
        <v/>
      </c>
      <c r="R79">
        <f>IF(AND(P79="",Q79=""),"",IF(AND(P79&lt;&gt;"",Q79=""),"UNRECORDED",IF(AND(P79="",Q79&lt;&gt;""),"ORPHAN_RECORDED",IF(P79=Q79,"MATCH","MISMATCH"))))</f>
        <v/>
      </c>
      <c r="S79">
        <f>IF(OR(NOT(ISNUMBER(E79)),NOT(ISNUMBER(G79))),"",E79+G79)</f>
        <v/>
      </c>
      <c r="X79">
        <f>IF(A79="","",IF(AND(W79="Completed",OR(P79="Feasible",P79="Feasible with verified support")),"Completed feasible",IF(OR(P79="Not feasible",W79="Stopped before rating",W79="Aborted during review"),"Infeasible or aborted","Incomplete")))</f>
        <v/>
      </c>
      <c r="Y79" s="303" t="n"/>
      <c r="Z79" s="303" t="n"/>
      <c r="AA79" s="303" t="n"/>
      <c r="AB79" s="303" t="n"/>
      <c r="AC79" s="303" t="n"/>
      <c r="AD79" s="303">
        <f>IF(COUNTA(A79:O79)+COUNTA(Q79)+COUNTA(T79:W79)+COUNTA(Y79:AC79)=0,"",IF(AND(COUNTIF(Vocabulary!$J$5:$J$6,L79)=1,COUNTIF(Vocabulary!$J$5:$J$6,M79)=1,COUNTIF(Vocabulary!$J$5:$J$6,N79)=1,COUNTIF(Vocabulary!$J$5:$J$6,Y79)=1,COUNTIF(Vocabulary!$J$5:$J$6,Z79)=1,COUNTIF(Vocabulary!$J$5:$J$6,AA79)=1,COUNTIF(Vocabulary!$J$5:$J$6,AB79)=1,COUNTIF(Vocabulary!$J$5:$J$6,AC79)=1),"OK","UNRECOGNISED_BURDEN_VALUE"))</f>
        <v/>
      </c>
    </row>
    <row r="80">
      <c r="P80">
        <f>IF(COUNTA(A80:O80)+COUNTA(Q80)+COUNTA(T80:W80)+COUNTA(Y80:AC80)=0,"",IF(OR(NOT(ISNUMBER(D80)),NOT(ISNUMBER(E80)),NOT(ISNUMBER(F80)),NOT(ISNUMBER(G80)),NOT(ISNUMBER(H80)),NOT(ISNUMBER(I80)),NOT(ISNUMBER(J80)),NOT(ISNUMBER(K80)),AD80&lt;&gt;"OK"),"Not feasible",IF(OR(D80&lt;E80,F80&lt;G80,H80&lt;I80,J80&lt;K80,AND(L80="Yes",OR(M80&lt;&gt;"Yes",N80&lt;&gt;"Yes")),AND(Y80="Yes",OR(Z80&lt;&gt;"Yes",AA80&lt;&gt;"Yes")),AB80&lt;&gt;"Yes",AC80&lt;&gt;"Yes"),"Not feasible",IF(OR(L80="Yes",Y80="Yes"),"Feasible with verified support","Feasible"))))</f>
        <v/>
      </c>
      <c r="R80">
        <f>IF(AND(P80="",Q80=""),"",IF(AND(P80&lt;&gt;"",Q80=""),"UNRECORDED",IF(AND(P80="",Q80&lt;&gt;""),"ORPHAN_RECORDED",IF(P80=Q80,"MATCH","MISMATCH"))))</f>
        <v/>
      </c>
      <c r="S80">
        <f>IF(OR(NOT(ISNUMBER(E80)),NOT(ISNUMBER(G80))),"",E80+G80)</f>
        <v/>
      </c>
      <c r="X80">
        <f>IF(A80="","",IF(AND(W80="Completed",OR(P80="Feasible",P80="Feasible with verified support")),"Completed feasible",IF(OR(P80="Not feasible",W80="Stopped before rating",W80="Aborted during review"),"Infeasible or aborted","Incomplete")))</f>
        <v/>
      </c>
      <c r="Y80" s="303" t="n"/>
      <c r="Z80" s="303" t="n"/>
      <c r="AA80" s="303" t="n"/>
      <c r="AB80" s="303" t="n"/>
      <c r="AC80" s="303" t="n"/>
      <c r="AD80" s="303">
        <f>IF(COUNTA(A80:O80)+COUNTA(Q80)+COUNTA(T80:W80)+COUNTA(Y80:AC80)=0,"",IF(AND(COUNTIF(Vocabulary!$J$5:$J$6,L80)=1,COUNTIF(Vocabulary!$J$5:$J$6,M80)=1,COUNTIF(Vocabulary!$J$5:$J$6,N80)=1,COUNTIF(Vocabulary!$J$5:$J$6,Y80)=1,COUNTIF(Vocabulary!$J$5:$J$6,Z80)=1,COUNTIF(Vocabulary!$J$5:$J$6,AA80)=1,COUNTIF(Vocabulary!$J$5:$J$6,AB80)=1,COUNTIF(Vocabulary!$J$5:$J$6,AC80)=1),"OK","UNRECOGNISED_BURDEN_VALUE"))</f>
        <v/>
      </c>
    </row>
    <row r="81">
      <c r="P81">
        <f>IF(COUNTA(A81:O81)+COUNTA(Q81)+COUNTA(T81:W81)+COUNTA(Y81:AC81)=0,"",IF(OR(NOT(ISNUMBER(D81)),NOT(ISNUMBER(E81)),NOT(ISNUMBER(F81)),NOT(ISNUMBER(G81)),NOT(ISNUMBER(H81)),NOT(ISNUMBER(I81)),NOT(ISNUMBER(J81)),NOT(ISNUMBER(K81)),AD81&lt;&gt;"OK"),"Not feasible",IF(OR(D81&lt;E81,F81&lt;G81,H81&lt;I81,J81&lt;K81,AND(L81="Yes",OR(M81&lt;&gt;"Yes",N81&lt;&gt;"Yes")),AND(Y81="Yes",OR(Z81&lt;&gt;"Yes",AA81&lt;&gt;"Yes")),AB81&lt;&gt;"Yes",AC81&lt;&gt;"Yes"),"Not feasible",IF(OR(L81="Yes",Y81="Yes"),"Feasible with verified support","Feasible"))))</f>
        <v/>
      </c>
      <c r="R81">
        <f>IF(AND(P81="",Q81=""),"",IF(AND(P81&lt;&gt;"",Q81=""),"UNRECORDED",IF(AND(P81="",Q81&lt;&gt;""),"ORPHAN_RECORDED",IF(P81=Q81,"MATCH","MISMATCH"))))</f>
        <v/>
      </c>
      <c r="S81">
        <f>IF(OR(NOT(ISNUMBER(E81)),NOT(ISNUMBER(G81))),"",E81+G81)</f>
        <v/>
      </c>
      <c r="X81">
        <f>IF(A81="","",IF(AND(W81="Completed",OR(P81="Feasible",P81="Feasible with verified support")),"Completed feasible",IF(OR(P81="Not feasible",W81="Stopped before rating",W81="Aborted during review"),"Infeasible or aborted","Incomplete")))</f>
        <v/>
      </c>
      <c r="Y81" s="303" t="n"/>
      <c r="Z81" s="303" t="n"/>
      <c r="AA81" s="303" t="n"/>
      <c r="AB81" s="303" t="n"/>
      <c r="AC81" s="303" t="n"/>
      <c r="AD81" s="303">
        <f>IF(COUNTA(A81:O81)+COUNTA(Q81)+COUNTA(T81:W81)+COUNTA(Y81:AC81)=0,"",IF(AND(COUNTIF(Vocabulary!$J$5:$J$6,L81)=1,COUNTIF(Vocabulary!$J$5:$J$6,M81)=1,COUNTIF(Vocabulary!$J$5:$J$6,N81)=1,COUNTIF(Vocabulary!$J$5:$J$6,Y81)=1,COUNTIF(Vocabulary!$J$5:$J$6,Z81)=1,COUNTIF(Vocabulary!$J$5:$J$6,AA81)=1,COUNTIF(Vocabulary!$J$5:$J$6,AB81)=1,COUNTIF(Vocabulary!$J$5:$J$6,AC81)=1),"OK","UNRECOGNISED_BURDEN_VALUE"))</f>
        <v/>
      </c>
    </row>
    <row r="82">
      <c r="P82">
        <f>IF(COUNTA(A82:O82)+COUNTA(Q82)+COUNTA(T82:W82)+COUNTA(Y82:AC82)=0,"",IF(OR(NOT(ISNUMBER(D82)),NOT(ISNUMBER(E82)),NOT(ISNUMBER(F82)),NOT(ISNUMBER(G82)),NOT(ISNUMBER(H82)),NOT(ISNUMBER(I82)),NOT(ISNUMBER(J82)),NOT(ISNUMBER(K82)),AD82&lt;&gt;"OK"),"Not feasible",IF(OR(D82&lt;E82,F82&lt;G82,H82&lt;I82,J82&lt;K82,AND(L82="Yes",OR(M82&lt;&gt;"Yes",N82&lt;&gt;"Yes")),AND(Y82="Yes",OR(Z82&lt;&gt;"Yes",AA82&lt;&gt;"Yes")),AB82&lt;&gt;"Yes",AC82&lt;&gt;"Yes"),"Not feasible",IF(OR(L82="Yes",Y82="Yes"),"Feasible with verified support","Feasible"))))</f>
        <v/>
      </c>
      <c r="R82">
        <f>IF(AND(P82="",Q82=""),"",IF(AND(P82&lt;&gt;"",Q82=""),"UNRECORDED",IF(AND(P82="",Q82&lt;&gt;""),"ORPHAN_RECORDED",IF(P82=Q82,"MATCH","MISMATCH"))))</f>
        <v/>
      </c>
      <c r="S82">
        <f>IF(OR(NOT(ISNUMBER(E82)),NOT(ISNUMBER(G82))),"",E82+G82)</f>
        <v/>
      </c>
      <c r="X82">
        <f>IF(A82="","",IF(AND(W82="Completed",OR(P82="Feasible",P82="Feasible with verified support")),"Completed feasible",IF(OR(P82="Not feasible",W82="Stopped before rating",W82="Aborted during review"),"Infeasible or aborted","Incomplete")))</f>
        <v/>
      </c>
      <c r="Y82" s="303" t="n"/>
      <c r="Z82" s="303" t="n"/>
      <c r="AA82" s="303" t="n"/>
      <c r="AB82" s="303" t="n"/>
      <c r="AC82" s="303" t="n"/>
      <c r="AD82" s="303">
        <f>IF(COUNTA(A82:O82)+COUNTA(Q82)+COUNTA(T82:W82)+COUNTA(Y82:AC82)=0,"",IF(AND(COUNTIF(Vocabulary!$J$5:$J$6,L82)=1,COUNTIF(Vocabulary!$J$5:$J$6,M82)=1,COUNTIF(Vocabulary!$J$5:$J$6,N82)=1,COUNTIF(Vocabulary!$J$5:$J$6,Y82)=1,COUNTIF(Vocabulary!$J$5:$J$6,Z82)=1,COUNTIF(Vocabulary!$J$5:$J$6,AA82)=1,COUNTIF(Vocabulary!$J$5:$J$6,AB82)=1,COUNTIF(Vocabulary!$J$5:$J$6,AC82)=1),"OK","UNRECOGNISED_BURDEN_VALUE"))</f>
        <v/>
      </c>
    </row>
    <row r="83">
      <c r="P83">
        <f>IF(COUNTA(A83:O83)+COUNTA(Q83)+COUNTA(T83:W83)+COUNTA(Y83:AC83)=0,"",IF(OR(NOT(ISNUMBER(D83)),NOT(ISNUMBER(E83)),NOT(ISNUMBER(F83)),NOT(ISNUMBER(G83)),NOT(ISNUMBER(H83)),NOT(ISNUMBER(I83)),NOT(ISNUMBER(J83)),NOT(ISNUMBER(K83)),AD83&lt;&gt;"OK"),"Not feasible",IF(OR(D83&lt;E83,F83&lt;G83,H83&lt;I83,J83&lt;K83,AND(L83="Yes",OR(M83&lt;&gt;"Yes",N83&lt;&gt;"Yes")),AND(Y83="Yes",OR(Z83&lt;&gt;"Yes",AA83&lt;&gt;"Yes")),AB83&lt;&gt;"Yes",AC83&lt;&gt;"Yes"),"Not feasible",IF(OR(L83="Yes",Y83="Yes"),"Feasible with verified support","Feasible"))))</f>
        <v/>
      </c>
      <c r="R83">
        <f>IF(AND(P83="",Q83=""),"",IF(AND(P83&lt;&gt;"",Q83=""),"UNRECORDED",IF(AND(P83="",Q83&lt;&gt;""),"ORPHAN_RECORDED",IF(P83=Q83,"MATCH","MISMATCH"))))</f>
        <v/>
      </c>
      <c r="S83">
        <f>IF(OR(NOT(ISNUMBER(E83)),NOT(ISNUMBER(G83))),"",E83+G83)</f>
        <v/>
      </c>
      <c r="X83">
        <f>IF(A83="","",IF(AND(W83="Completed",OR(P83="Feasible",P83="Feasible with verified support")),"Completed feasible",IF(OR(P83="Not feasible",W83="Stopped before rating",W83="Aborted during review"),"Infeasible or aborted","Incomplete")))</f>
        <v/>
      </c>
      <c r="Y83" s="303" t="n"/>
      <c r="Z83" s="303" t="n"/>
      <c r="AA83" s="303" t="n"/>
      <c r="AB83" s="303" t="n"/>
      <c r="AC83" s="303" t="n"/>
      <c r="AD83" s="303">
        <f>IF(COUNTA(A83:O83)+COUNTA(Q83)+COUNTA(T83:W83)+COUNTA(Y83:AC83)=0,"",IF(AND(COUNTIF(Vocabulary!$J$5:$J$6,L83)=1,COUNTIF(Vocabulary!$J$5:$J$6,M83)=1,COUNTIF(Vocabulary!$J$5:$J$6,N83)=1,COUNTIF(Vocabulary!$J$5:$J$6,Y83)=1,COUNTIF(Vocabulary!$J$5:$J$6,Z83)=1,COUNTIF(Vocabulary!$J$5:$J$6,AA83)=1,COUNTIF(Vocabulary!$J$5:$J$6,AB83)=1,COUNTIF(Vocabulary!$J$5:$J$6,AC83)=1),"OK","UNRECOGNISED_BURDEN_VALUE"))</f>
        <v/>
      </c>
    </row>
    <row r="84">
      <c r="P84">
        <f>IF(COUNTA(A84:O84)+COUNTA(Q84)+COUNTA(T84:W84)+COUNTA(Y84:AC84)=0,"",IF(OR(NOT(ISNUMBER(D84)),NOT(ISNUMBER(E84)),NOT(ISNUMBER(F84)),NOT(ISNUMBER(G84)),NOT(ISNUMBER(H84)),NOT(ISNUMBER(I84)),NOT(ISNUMBER(J84)),NOT(ISNUMBER(K84)),AD84&lt;&gt;"OK"),"Not feasible",IF(OR(D84&lt;E84,F84&lt;G84,H84&lt;I84,J84&lt;K84,AND(L84="Yes",OR(M84&lt;&gt;"Yes",N84&lt;&gt;"Yes")),AND(Y84="Yes",OR(Z84&lt;&gt;"Yes",AA84&lt;&gt;"Yes")),AB84&lt;&gt;"Yes",AC84&lt;&gt;"Yes"),"Not feasible",IF(OR(L84="Yes",Y84="Yes"),"Feasible with verified support","Feasible"))))</f>
        <v/>
      </c>
      <c r="R84">
        <f>IF(AND(P84="",Q84=""),"",IF(AND(P84&lt;&gt;"",Q84=""),"UNRECORDED",IF(AND(P84="",Q84&lt;&gt;""),"ORPHAN_RECORDED",IF(P84=Q84,"MATCH","MISMATCH"))))</f>
        <v/>
      </c>
      <c r="S84">
        <f>IF(OR(NOT(ISNUMBER(E84)),NOT(ISNUMBER(G84))),"",E84+G84)</f>
        <v/>
      </c>
      <c r="X84">
        <f>IF(A84="","",IF(AND(W84="Completed",OR(P84="Feasible",P84="Feasible with verified support")),"Completed feasible",IF(OR(P84="Not feasible",W84="Stopped before rating",W84="Aborted during review"),"Infeasible or aborted","Incomplete")))</f>
        <v/>
      </c>
      <c r="Y84" s="303" t="n"/>
      <c r="Z84" s="303" t="n"/>
      <c r="AA84" s="303" t="n"/>
      <c r="AB84" s="303" t="n"/>
      <c r="AC84" s="303" t="n"/>
      <c r="AD84" s="303">
        <f>IF(COUNTA(A84:O84)+COUNTA(Q84)+COUNTA(T84:W84)+COUNTA(Y84:AC84)=0,"",IF(AND(COUNTIF(Vocabulary!$J$5:$J$6,L84)=1,COUNTIF(Vocabulary!$J$5:$J$6,M84)=1,COUNTIF(Vocabulary!$J$5:$J$6,N84)=1,COUNTIF(Vocabulary!$J$5:$J$6,Y84)=1,COUNTIF(Vocabulary!$J$5:$J$6,Z84)=1,COUNTIF(Vocabulary!$J$5:$J$6,AA84)=1,COUNTIF(Vocabulary!$J$5:$J$6,AB84)=1,COUNTIF(Vocabulary!$J$5:$J$6,AC84)=1),"OK","UNRECOGNISED_BURDEN_VALUE"))</f>
        <v/>
      </c>
    </row>
    <row r="85">
      <c r="P85">
        <f>IF(COUNTA(A85:O85)+COUNTA(Q85)+COUNTA(T85:W85)+COUNTA(Y85:AC85)=0,"",IF(OR(NOT(ISNUMBER(D85)),NOT(ISNUMBER(E85)),NOT(ISNUMBER(F85)),NOT(ISNUMBER(G85)),NOT(ISNUMBER(H85)),NOT(ISNUMBER(I85)),NOT(ISNUMBER(J85)),NOT(ISNUMBER(K85)),AD85&lt;&gt;"OK"),"Not feasible",IF(OR(D85&lt;E85,F85&lt;G85,H85&lt;I85,J85&lt;K85,AND(L85="Yes",OR(M85&lt;&gt;"Yes",N85&lt;&gt;"Yes")),AND(Y85="Yes",OR(Z85&lt;&gt;"Yes",AA85&lt;&gt;"Yes")),AB85&lt;&gt;"Yes",AC85&lt;&gt;"Yes"),"Not feasible",IF(OR(L85="Yes",Y85="Yes"),"Feasible with verified support","Feasible"))))</f>
        <v/>
      </c>
      <c r="R85">
        <f>IF(AND(P85="",Q85=""),"",IF(AND(P85&lt;&gt;"",Q85=""),"UNRECORDED",IF(AND(P85="",Q85&lt;&gt;""),"ORPHAN_RECORDED",IF(P85=Q85,"MATCH","MISMATCH"))))</f>
        <v/>
      </c>
      <c r="S85">
        <f>IF(OR(NOT(ISNUMBER(E85)),NOT(ISNUMBER(G85))),"",E85+G85)</f>
        <v/>
      </c>
      <c r="X85">
        <f>IF(A85="","",IF(AND(W85="Completed",OR(P85="Feasible",P85="Feasible with verified support")),"Completed feasible",IF(OR(P85="Not feasible",W85="Stopped before rating",W85="Aborted during review"),"Infeasible or aborted","Incomplete")))</f>
        <v/>
      </c>
      <c r="Y85" s="303" t="n"/>
      <c r="Z85" s="303" t="n"/>
      <c r="AA85" s="303" t="n"/>
      <c r="AB85" s="303" t="n"/>
      <c r="AC85" s="303" t="n"/>
      <c r="AD85" s="303">
        <f>IF(COUNTA(A85:O85)+COUNTA(Q85)+COUNTA(T85:W85)+COUNTA(Y85:AC85)=0,"",IF(AND(COUNTIF(Vocabulary!$J$5:$J$6,L85)=1,COUNTIF(Vocabulary!$J$5:$J$6,M85)=1,COUNTIF(Vocabulary!$J$5:$J$6,N85)=1,COUNTIF(Vocabulary!$J$5:$J$6,Y85)=1,COUNTIF(Vocabulary!$J$5:$J$6,Z85)=1,COUNTIF(Vocabulary!$J$5:$J$6,AA85)=1,COUNTIF(Vocabulary!$J$5:$J$6,AB85)=1,COUNTIF(Vocabulary!$J$5:$J$6,AC85)=1),"OK","UNRECOGNISED_BURDEN_VALUE"))</f>
        <v/>
      </c>
    </row>
    <row r="86">
      <c r="P86">
        <f>IF(COUNTA(A86:O86)+COUNTA(Q86)+COUNTA(T86:W86)+COUNTA(Y86:AC86)=0,"",IF(OR(NOT(ISNUMBER(D86)),NOT(ISNUMBER(E86)),NOT(ISNUMBER(F86)),NOT(ISNUMBER(G86)),NOT(ISNUMBER(H86)),NOT(ISNUMBER(I86)),NOT(ISNUMBER(J86)),NOT(ISNUMBER(K86)),AD86&lt;&gt;"OK"),"Not feasible",IF(OR(D86&lt;E86,F86&lt;G86,H86&lt;I86,J86&lt;K86,AND(L86="Yes",OR(M86&lt;&gt;"Yes",N86&lt;&gt;"Yes")),AND(Y86="Yes",OR(Z86&lt;&gt;"Yes",AA86&lt;&gt;"Yes")),AB86&lt;&gt;"Yes",AC86&lt;&gt;"Yes"),"Not feasible",IF(OR(L86="Yes",Y86="Yes"),"Feasible with verified support","Feasible"))))</f>
        <v/>
      </c>
      <c r="R86">
        <f>IF(AND(P86="",Q86=""),"",IF(AND(P86&lt;&gt;"",Q86=""),"UNRECORDED",IF(AND(P86="",Q86&lt;&gt;""),"ORPHAN_RECORDED",IF(P86=Q86,"MATCH","MISMATCH"))))</f>
        <v/>
      </c>
      <c r="S86">
        <f>IF(OR(NOT(ISNUMBER(E86)),NOT(ISNUMBER(G86))),"",E86+G86)</f>
        <v/>
      </c>
      <c r="X86">
        <f>IF(A86="","",IF(AND(W86="Completed",OR(P86="Feasible",P86="Feasible with verified support")),"Completed feasible",IF(OR(P86="Not feasible",W86="Stopped before rating",W86="Aborted during review"),"Infeasible or aborted","Incomplete")))</f>
        <v/>
      </c>
      <c r="Y86" s="303" t="n"/>
      <c r="Z86" s="303" t="n"/>
      <c r="AA86" s="303" t="n"/>
      <c r="AB86" s="303" t="n"/>
      <c r="AC86" s="303" t="n"/>
      <c r="AD86" s="303">
        <f>IF(COUNTA(A86:O86)+COUNTA(Q86)+COUNTA(T86:W86)+COUNTA(Y86:AC86)=0,"",IF(AND(COUNTIF(Vocabulary!$J$5:$J$6,L86)=1,COUNTIF(Vocabulary!$J$5:$J$6,M86)=1,COUNTIF(Vocabulary!$J$5:$J$6,N86)=1,COUNTIF(Vocabulary!$J$5:$J$6,Y86)=1,COUNTIF(Vocabulary!$J$5:$J$6,Z86)=1,COUNTIF(Vocabulary!$J$5:$J$6,AA86)=1,COUNTIF(Vocabulary!$J$5:$J$6,AB86)=1,COUNTIF(Vocabulary!$J$5:$J$6,AC86)=1),"OK","UNRECOGNISED_BURDEN_VALUE"))</f>
        <v/>
      </c>
    </row>
    <row r="87">
      <c r="P87">
        <f>IF(COUNTA(A87:O87)+COUNTA(Q87)+COUNTA(T87:W87)+COUNTA(Y87:AC87)=0,"",IF(OR(NOT(ISNUMBER(D87)),NOT(ISNUMBER(E87)),NOT(ISNUMBER(F87)),NOT(ISNUMBER(G87)),NOT(ISNUMBER(H87)),NOT(ISNUMBER(I87)),NOT(ISNUMBER(J87)),NOT(ISNUMBER(K87)),AD87&lt;&gt;"OK"),"Not feasible",IF(OR(D87&lt;E87,F87&lt;G87,H87&lt;I87,J87&lt;K87,AND(L87="Yes",OR(M87&lt;&gt;"Yes",N87&lt;&gt;"Yes")),AND(Y87="Yes",OR(Z87&lt;&gt;"Yes",AA87&lt;&gt;"Yes")),AB87&lt;&gt;"Yes",AC87&lt;&gt;"Yes"),"Not feasible",IF(OR(L87="Yes",Y87="Yes"),"Feasible with verified support","Feasible"))))</f>
        <v/>
      </c>
      <c r="R87">
        <f>IF(AND(P87="",Q87=""),"",IF(AND(P87&lt;&gt;"",Q87=""),"UNRECORDED",IF(AND(P87="",Q87&lt;&gt;""),"ORPHAN_RECORDED",IF(P87=Q87,"MATCH","MISMATCH"))))</f>
        <v/>
      </c>
      <c r="S87">
        <f>IF(OR(NOT(ISNUMBER(E87)),NOT(ISNUMBER(G87))),"",E87+G87)</f>
        <v/>
      </c>
      <c r="X87">
        <f>IF(A87="","",IF(AND(W87="Completed",OR(P87="Feasible",P87="Feasible with verified support")),"Completed feasible",IF(OR(P87="Not feasible",W87="Stopped before rating",W87="Aborted during review"),"Infeasible or aborted","Incomplete")))</f>
        <v/>
      </c>
      <c r="Y87" s="303" t="n"/>
      <c r="Z87" s="303" t="n"/>
      <c r="AA87" s="303" t="n"/>
      <c r="AB87" s="303" t="n"/>
      <c r="AC87" s="303" t="n"/>
      <c r="AD87" s="303">
        <f>IF(COUNTA(A87:O87)+COUNTA(Q87)+COUNTA(T87:W87)+COUNTA(Y87:AC87)=0,"",IF(AND(COUNTIF(Vocabulary!$J$5:$J$6,L87)=1,COUNTIF(Vocabulary!$J$5:$J$6,M87)=1,COUNTIF(Vocabulary!$J$5:$J$6,N87)=1,COUNTIF(Vocabulary!$J$5:$J$6,Y87)=1,COUNTIF(Vocabulary!$J$5:$J$6,Z87)=1,COUNTIF(Vocabulary!$J$5:$J$6,AA87)=1,COUNTIF(Vocabulary!$J$5:$J$6,AB87)=1,COUNTIF(Vocabulary!$J$5:$J$6,AC87)=1),"OK","UNRECOGNISED_BURDEN_VALUE"))</f>
        <v/>
      </c>
    </row>
    <row r="88">
      <c r="P88">
        <f>IF(COUNTA(A88:O88)+COUNTA(Q88)+COUNTA(T88:W88)+COUNTA(Y88:AC88)=0,"",IF(OR(NOT(ISNUMBER(D88)),NOT(ISNUMBER(E88)),NOT(ISNUMBER(F88)),NOT(ISNUMBER(G88)),NOT(ISNUMBER(H88)),NOT(ISNUMBER(I88)),NOT(ISNUMBER(J88)),NOT(ISNUMBER(K88)),AD88&lt;&gt;"OK"),"Not feasible",IF(OR(D88&lt;E88,F88&lt;G88,H88&lt;I88,J88&lt;K88,AND(L88="Yes",OR(M88&lt;&gt;"Yes",N88&lt;&gt;"Yes")),AND(Y88="Yes",OR(Z88&lt;&gt;"Yes",AA88&lt;&gt;"Yes")),AB88&lt;&gt;"Yes",AC88&lt;&gt;"Yes"),"Not feasible",IF(OR(L88="Yes",Y88="Yes"),"Feasible with verified support","Feasible"))))</f>
        <v/>
      </c>
      <c r="R88">
        <f>IF(AND(P88="",Q88=""),"",IF(AND(P88&lt;&gt;"",Q88=""),"UNRECORDED",IF(AND(P88="",Q88&lt;&gt;""),"ORPHAN_RECORDED",IF(P88=Q88,"MATCH","MISMATCH"))))</f>
        <v/>
      </c>
      <c r="S88">
        <f>IF(OR(NOT(ISNUMBER(E88)),NOT(ISNUMBER(G88))),"",E88+G88)</f>
        <v/>
      </c>
      <c r="X88">
        <f>IF(A88="","",IF(AND(W88="Completed",OR(P88="Feasible",P88="Feasible with verified support")),"Completed feasible",IF(OR(P88="Not feasible",W88="Stopped before rating",W88="Aborted during review"),"Infeasible or aborted","Incomplete")))</f>
        <v/>
      </c>
      <c r="Y88" s="303" t="n"/>
      <c r="Z88" s="303" t="n"/>
      <c r="AA88" s="303" t="n"/>
      <c r="AB88" s="303" t="n"/>
      <c r="AC88" s="303" t="n"/>
      <c r="AD88" s="303">
        <f>IF(COUNTA(A88:O88)+COUNTA(Q88)+COUNTA(T88:W88)+COUNTA(Y88:AC88)=0,"",IF(AND(COUNTIF(Vocabulary!$J$5:$J$6,L88)=1,COUNTIF(Vocabulary!$J$5:$J$6,M88)=1,COUNTIF(Vocabulary!$J$5:$J$6,N88)=1,COUNTIF(Vocabulary!$J$5:$J$6,Y88)=1,COUNTIF(Vocabulary!$J$5:$J$6,Z88)=1,COUNTIF(Vocabulary!$J$5:$J$6,AA88)=1,COUNTIF(Vocabulary!$J$5:$J$6,AB88)=1,COUNTIF(Vocabulary!$J$5:$J$6,AC88)=1),"OK","UNRECOGNISED_BURDEN_VALUE"))</f>
        <v/>
      </c>
    </row>
    <row r="89">
      <c r="P89">
        <f>IF(COUNTA(A89:O89)+COUNTA(Q89)+COUNTA(T89:W89)+COUNTA(Y89:AC89)=0,"",IF(OR(NOT(ISNUMBER(D89)),NOT(ISNUMBER(E89)),NOT(ISNUMBER(F89)),NOT(ISNUMBER(G89)),NOT(ISNUMBER(H89)),NOT(ISNUMBER(I89)),NOT(ISNUMBER(J89)),NOT(ISNUMBER(K89)),AD89&lt;&gt;"OK"),"Not feasible",IF(OR(D89&lt;E89,F89&lt;G89,H89&lt;I89,J89&lt;K89,AND(L89="Yes",OR(M89&lt;&gt;"Yes",N89&lt;&gt;"Yes")),AND(Y89="Yes",OR(Z89&lt;&gt;"Yes",AA89&lt;&gt;"Yes")),AB89&lt;&gt;"Yes",AC89&lt;&gt;"Yes"),"Not feasible",IF(OR(L89="Yes",Y89="Yes"),"Feasible with verified support","Feasible"))))</f>
        <v/>
      </c>
      <c r="R89">
        <f>IF(AND(P89="",Q89=""),"",IF(AND(P89&lt;&gt;"",Q89=""),"UNRECORDED",IF(AND(P89="",Q89&lt;&gt;""),"ORPHAN_RECORDED",IF(P89=Q89,"MATCH","MISMATCH"))))</f>
        <v/>
      </c>
      <c r="S89">
        <f>IF(OR(NOT(ISNUMBER(E89)),NOT(ISNUMBER(G89))),"",E89+G89)</f>
        <v/>
      </c>
      <c r="X89">
        <f>IF(A89="","",IF(AND(W89="Completed",OR(P89="Feasible",P89="Feasible with verified support")),"Completed feasible",IF(OR(P89="Not feasible",W89="Stopped before rating",W89="Aborted during review"),"Infeasible or aborted","Incomplete")))</f>
        <v/>
      </c>
      <c r="Y89" s="303" t="n"/>
      <c r="Z89" s="303" t="n"/>
      <c r="AA89" s="303" t="n"/>
      <c r="AB89" s="303" t="n"/>
      <c r="AC89" s="303" t="n"/>
      <c r="AD89" s="303">
        <f>IF(COUNTA(A89:O89)+COUNTA(Q89)+COUNTA(T89:W89)+COUNTA(Y89:AC89)=0,"",IF(AND(COUNTIF(Vocabulary!$J$5:$J$6,L89)=1,COUNTIF(Vocabulary!$J$5:$J$6,M89)=1,COUNTIF(Vocabulary!$J$5:$J$6,N89)=1,COUNTIF(Vocabulary!$J$5:$J$6,Y89)=1,COUNTIF(Vocabulary!$J$5:$J$6,Z89)=1,COUNTIF(Vocabulary!$J$5:$J$6,AA89)=1,COUNTIF(Vocabulary!$J$5:$J$6,AB89)=1,COUNTIF(Vocabulary!$J$5:$J$6,AC89)=1),"OK","UNRECOGNISED_BURDEN_VALUE"))</f>
        <v/>
      </c>
    </row>
    <row r="90">
      <c r="P90">
        <f>IF(COUNTA(A90:O90)+COUNTA(Q90)+COUNTA(T90:W90)+COUNTA(Y90:AC90)=0,"",IF(OR(NOT(ISNUMBER(D90)),NOT(ISNUMBER(E90)),NOT(ISNUMBER(F90)),NOT(ISNUMBER(G90)),NOT(ISNUMBER(H90)),NOT(ISNUMBER(I90)),NOT(ISNUMBER(J90)),NOT(ISNUMBER(K90)),AD90&lt;&gt;"OK"),"Not feasible",IF(OR(D90&lt;E90,F90&lt;G90,H90&lt;I90,J90&lt;K90,AND(L90="Yes",OR(M90&lt;&gt;"Yes",N90&lt;&gt;"Yes")),AND(Y90="Yes",OR(Z90&lt;&gt;"Yes",AA90&lt;&gt;"Yes")),AB90&lt;&gt;"Yes",AC90&lt;&gt;"Yes"),"Not feasible",IF(OR(L90="Yes",Y90="Yes"),"Feasible with verified support","Feasible"))))</f>
        <v/>
      </c>
      <c r="R90">
        <f>IF(AND(P90="",Q90=""),"",IF(AND(P90&lt;&gt;"",Q90=""),"UNRECORDED",IF(AND(P90="",Q90&lt;&gt;""),"ORPHAN_RECORDED",IF(P90=Q90,"MATCH","MISMATCH"))))</f>
        <v/>
      </c>
      <c r="S90">
        <f>IF(OR(NOT(ISNUMBER(E90)),NOT(ISNUMBER(G90))),"",E90+G90)</f>
        <v/>
      </c>
      <c r="X90">
        <f>IF(A90="","",IF(AND(W90="Completed",OR(P90="Feasible",P90="Feasible with verified support")),"Completed feasible",IF(OR(P90="Not feasible",W90="Stopped before rating",W90="Aborted during review"),"Infeasible or aborted","Incomplete")))</f>
        <v/>
      </c>
      <c r="Y90" s="303" t="n"/>
      <c r="Z90" s="303" t="n"/>
      <c r="AA90" s="303" t="n"/>
      <c r="AB90" s="303" t="n"/>
      <c r="AC90" s="303" t="n"/>
      <c r="AD90" s="303">
        <f>IF(COUNTA(A90:O90)+COUNTA(Q90)+COUNTA(T90:W90)+COUNTA(Y90:AC90)=0,"",IF(AND(COUNTIF(Vocabulary!$J$5:$J$6,L90)=1,COUNTIF(Vocabulary!$J$5:$J$6,M90)=1,COUNTIF(Vocabulary!$J$5:$J$6,N90)=1,COUNTIF(Vocabulary!$J$5:$J$6,Y90)=1,COUNTIF(Vocabulary!$J$5:$J$6,Z90)=1,COUNTIF(Vocabulary!$J$5:$J$6,AA90)=1,COUNTIF(Vocabulary!$J$5:$J$6,AB90)=1,COUNTIF(Vocabulary!$J$5:$J$6,AC90)=1),"OK","UNRECOGNISED_BURDEN_VALUE"))</f>
        <v/>
      </c>
    </row>
    <row r="91">
      <c r="P91">
        <f>IF(COUNTA(A91:O91)+COUNTA(Q91)+COUNTA(T91:W91)+COUNTA(Y91:AC91)=0,"",IF(OR(NOT(ISNUMBER(D91)),NOT(ISNUMBER(E91)),NOT(ISNUMBER(F91)),NOT(ISNUMBER(G91)),NOT(ISNUMBER(H91)),NOT(ISNUMBER(I91)),NOT(ISNUMBER(J91)),NOT(ISNUMBER(K91)),AD91&lt;&gt;"OK"),"Not feasible",IF(OR(D91&lt;E91,F91&lt;G91,H91&lt;I91,J91&lt;K91,AND(L91="Yes",OR(M91&lt;&gt;"Yes",N91&lt;&gt;"Yes")),AND(Y91="Yes",OR(Z91&lt;&gt;"Yes",AA91&lt;&gt;"Yes")),AB91&lt;&gt;"Yes",AC91&lt;&gt;"Yes"),"Not feasible",IF(OR(L91="Yes",Y91="Yes"),"Feasible with verified support","Feasible"))))</f>
        <v/>
      </c>
      <c r="R91">
        <f>IF(AND(P91="",Q91=""),"",IF(AND(P91&lt;&gt;"",Q91=""),"UNRECORDED",IF(AND(P91="",Q91&lt;&gt;""),"ORPHAN_RECORDED",IF(P91=Q91,"MATCH","MISMATCH"))))</f>
        <v/>
      </c>
      <c r="S91">
        <f>IF(OR(NOT(ISNUMBER(E91)),NOT(ISNUMBER(G91))),"",E91+G91)</f>
        <v/>
      </c>
      <c r="X91">
        <f>IF(A91="","",IF(AND(W91="Completed",OR(P91="Feasible",P91="Feasible with verified support")),"Completed feasible",IF(OR(P91="Not feasible",W91="Stopped before rating",W91="Aborted during review"),"Infeasible or aborted","Incomplete")))</f>
        <v/>
      </c>
      <c r="Y91" s="303" t="n"/>
      <c r="Z91" s="303" t="n"/>
      <c r="AA91" s="303" t="n"/>
      <c r="AB91" s="303" t="n"/>
      <c r="AC91" s="303" t="n"/>
      <c r="AD91" s="303">
        <f>IF(COUNTA(A91:O91)+COUNTA(Q91)+COUNTA(T91:W91)+COUNTA(Y91:AC91)=0,"",IF(AND(COUNTIF(Vocabulary!$J$5:$J$6,L91)=1,COUNTIF(Vocabulary!$J$5:$J$6,M91)=1,COUNTIF(Vocabulary!$J$5:$J$6,N91)=1,COUNTIF(Vocabulary!$J$5:$J$6,Y91)=1,COUNTIF(Vocabulary!$J$5:$J$6,Z91)=1,COUNTIF(Vocabulary!$J$5:$J$6,AA91)=1,COUNTIF(Vocabulary!$J$5:$J$6,AB91)=1,COUNTIF(Vocabulary!$J$5:$J$6,AC91)=1),"OK","UNRECOGNISED_BURDEN_VALUE"))</f>
        <v/>
      </c>
    </row>
    <row r="92">
      <c r="P92">
        <f>IF(COUNTA(A92:O92)+COUNTA(Q92)+COUNTA(T92:W92)+COUNTA(Y92:AC92)=0,"",IF(OR(NOT(ISNUMBER(D92)),NOT(ISNUMBER(E92)),NOT(ISNUMBER(F92)),NOT(ISNUMBER(G92)),NOT(ISNUMBER(H92)),NOT(ISNUMBER(I92)),NOT(ISNUMBER(J92)),NOT(ISNUMBER(K92)),AD92&lt;&gt;"OK"),"Not feasible",IF(OR(D92&lt;E92,F92&lt;G92,H92&lt;I92,J92&lt;K92,AND(L92="Yes",OR(M92&lt;&gt;"Yes",N92&lt;&gt;"Yes")),AND(Y92="Yes",OR(Z92&lt;&gt;"Yes",AA92&lt;&gt;"Yes")),AB92&lt;&gt;"Yes",AC92&lt;&gt;"Yes"),"Not feasible",IF(OR(L92="Yes",Y92="Yes"),"Feasible with verified support","Feasible"))))</f>
        <v/>
      </c>
      <c r="R92">
        <f>IF(AND(P92="",Q92=""),"",IF(AND(P92&lt;&gt;"",Q92=""),"UNRECORDED",IF(AND(P92="",Q92&lt;&gt;""),"ORPHAN_RECORDED",IF(P92=Q92,"MATCH","MISMATCH"))))</f>
        <v/>
      </c>
      <c r="S92">
        <f>IF(OR(NOT(ISNUMBER(E92)),NOT(ISNUMBER(G92))),"",E92+G92)</f>
        <v/>
      </c>
      <c r="X92">
        <f>IF(A92="","",IF(AND(W92="Completed",OR(P92="Feasible",P92="Feasible with verified support")),"Completed feasible",IF(OR(P92="Not feasible",W92="Stopped before rating",W92="Aborted during review"),"Infeasible or aborted","Incomplete")))</f>
        <v/>
      </c>
      <c r="Y92" s="303" t="n"/>
      <c r="Z92" s="303" t="n"/>
      <c r="AA92" s="303" t="n"/>
      <c r="AB92" s="303" t="n"/>
      <c r="AC92" s="303" t="n"/>
      <c r="AD92" s="303">
        <f>IF(COUNTA(A92:O92)+COUNTA(Q92)+COUNTA(T92:W92)+COUNTA(Y92:AC92)=0,"",IF(AND(COUNTIF(Vocabulary!$J$5:$J$6,L92)=1,COUNTIF(Vocabulary!$J$5:$J$6,M92)=1,COUNTIF(Vocabulary!$J$5:$J$6,N92)=1,COUNTIF(Vocabulary!$J$5:$J$6,Y92)=1,COUNTIF(Vocabulary!$J$5:$J$6,Z92)=1,COUNTIF(Vocabulary!$J$5:$J$6,AA92)=1,COUNTIF(Vocabulary!$J$5:$J$6,AB92)=1,COUNTIF(Vocabulary!$J$5:$J$6,AC92)=1),"OK","UNRECOGNISED_BURDEN_VALUE"))</f>
        <v/>
      </c>
    </row>
    <row r="93">
      <c r="P93">
        <f>IF(COUNTA(A93:O93)+COUNTA(Q93)+COUNTA(T93:W93)+COUNTA(Y93:AC93)=0,"",IF(OR(NOT(ISNUMBER(D93)),NOT(ISNUMBER(E93)),NOT(ISNUMBER(F93)),NOT(ISNUMBER(G93)),NOT(ISNUMBER(H93)),NOT(ISNUMBER(I93)),NOT(ISNUMBER(J93)),NOT(ISNUMBER(K93)),AD93&lt;&gt;"OK"),"Not feasible",IF(OR(D93&lt;E93,F93&lt;G93,H93&lt;I93,J93&lt;K93,AND(L93="Yes",OR(M93&lt;&gt;"Yes",N93&lt;&gt;"Yes")),AND(Y93="Yes",OR(Z93&lt;&gt;"Yes",AA93&lt;&gt;"Yes")),AB93&lt;&gt;"Yes",AC93&lt;&gt;"Yes"),"Not feasible",IF(OR(L93="Yes",Y93="Yes"),"Feasible with verified support","Feasible"))))</f>
        <v/>
      </c>
      <c r="R93">
        <f>IF(AND(P93="",Q93=""),"",IF(AND(P93&lt;&gt;"",Q93=""),"UNRECORDED",IF(AND(P93="",Q93&lt;&gt;""),"ORPHAN_RECORDED",IF(P93=Q93,"MATCH","MISMATCH"))))</f>
        <v/>
      </c>
      <c r="S93">
        <f>IF(OR(NOT(ISNUMBER(E93)),NOT(ISNUMBER(G93))),"",E93+G93)</f>
        <v/>
      </c>
      <c r="X93">
        <f>IF(A93="","",IF(AND(W93="Completed",OR(P93="Feasible",P93="Feasible with verified support")),"Completed feasible",IF(OR(P93="Not feasible",W93="Stopped before rating",W93="Aborted during review"),"Infeasible or aborted","Incomplete")))</f>
        <v/>
      </c>
      <c r="Y93" s="303" t="n"/>
      <c r="Z93" s="303" t="n"/>
      <c r="AA93" s="303" t="n"/>
      <c r="AB93" s="303" t="n"/>
      <c r="AC93" s="303" t="n"/>
      <c r="AD93" s="303">
        <f>IF(COUNTA(A93:O93)+COUNTA(Q93)+COUNTA(T93:W93)+COUNTA(Y93:AC93)=0,"",IF(AND(COUNTIF(Vocabulary!$J$5:$J$6,L93)=1,COUNTIF(Vocabulary!$J$5:$J$6,M93)=1,COUNTIF(Vocabulary!$J$5:$J$6,N93)=1,COUNTIF(Vocabulary!$J$5:$J$6,Y93)=1,COUNTIF(Vocabulary!$J$5:$J$6,Z93)=1,COUNTIF(Vocabulary!$J$5:$J$6,AA93)=1,COUNTIF(Vocabulary!$J$5:$J$6,AB93)=1,COUNTIF(Vocabulary!$J$5:$J$6,AC93)=1),"OK","UNRECOGNISED_BURDEN_VALUE"))</f>
        <v/>
      </c>
    </row>
    <row r="94">
      <c r="P94">
        <f>IF(COUNTA(A94:O94)+COUNTA(Q94)+COUNTA(T94:W94)+COUNTA(Y94:AC94)=0,"",IF(OR(NOT(ISNUMBER(D94)),NOT(ISNUMBER(E94)),NOT(ISNUMBER(F94)),NOT(ISNUMBER(G94)),NOT(ISNUMBER(H94)),NOT(ISNUMBER(I94)),NOT(ISNUMBER(J94)),NOT(ISNUMBER(K94)),AD94&lt;&gt;"OK"),"Not feasible",IF(OR(D94&lt;E94,F94&lt;G94,H94&lt;I94,J94&lt;K94,AND(L94="Yes",OR(M94&lt;&gt;"Yes",N94&lt;&gt;"Yes")),AND(Y94="Yes",OR(Z94&lt;&gt;"Yes",AA94&lt;&gt;"Yes")),AB94&lt;&gt;"Yes",AC94&lt;&gt;"Yes"),"Not feasible",IF(OR(L94="Yes",Y94="Yes"),"Feasible with verified support","Feasible"))))</f>
        <v/>
      </c>
      <c r="R94">
        <f>IF(AND(P94="",Q94=""),"",IF(AND(P94&lt;&gt;"",Q94=""),"UNRECORDED",IF(AND(P94="",Q94&lt;&gt;""),"ORPHAN_RECORDED",IF(P94=Q94,"MATCH","MISMATCH"))))</f>
        <v/>
      </c>
      <c r="S94">
        <f>IF(OR(NOT(ISNUMBER(E94)),NOT(ISNUMBER(G94))),"",E94+G94)</f>
        <v/>
      </c>
      <c r="X94">
        <f>IF(A94="","",IF(AND(W94="Completed",OR(P94="Feasible",P94="Feasible with verified support")),"Completed feasible",IF(OR(P94="Not feasible",W94="Stopped before rating",W94="Aborted during review"),"Infeasible or aborted","Incomplete")))</f>
        <v/>
      </c>
      <c r="Y94" s="303" t="n"/>
      <c r="Z94" s="303" t="n"/>
      <c r="AA94" s="303" t="n"/>
      <c r="AB94" s="303" t="n"/>
      <c r="AC94" s="303" t="n"/>
      <c r="AD94" s="303">
        <f>IF(COUNTA(A94:O94)+COUNTA(Q94)+COUNTA(T94:W94)+COUNTA(Y94:AC94)=0,"",IF(AND(COUNTIF(Vocabulary!$J$5:$J$6,L94)=1,COUNTIF(Vocabulary!$J$5:$J$6,M94)=1,COUNTIF(Vocabulary!$J$5:$J$6,N94)=1,COUNTIF(Vocabulary!$J$5:$J$6,Y94)=1,COUNTIF(Vocabulary!$J$5:$J$6,Z94)=1,COUNTIF(Vocabulary!$J$5:$J$6,AA94)=1,COUNTIF(Vocabulary!$J$5:$J$6,AB94)=1,COUNTIF(Vocabulary!$J$5:$J$6,AC94)=1),"OK","UNRECOGNISED_BURDEN_VALUE"))</f>
        <v/>
      </c>
    </row>
    <row r="95">
      <c r="P95">
        <f>IF(COUNTA(A95:O95)+COUNTA(Q95)+COUNTA(T95:W95)+COUNTA(Y95:AC95)=0,"",IF(OR(NOT(ISNUMBER(D95)),NOT(ISNUMBER(E95)),NOT(ISNUMBER(F95)),NOT(ISNUMBER(G95)),NOT(ISNUMBER(H95)),NOT(ISNUMBER(I95)),NOT(ISNUMBER(J95)),NOT(ISNUMBER(K95)),AD95&lt;&gt;"OK"),"Not feasible",IF(OR(D95&lt;E95,F95&lt;G95,H95&lt;I95,J95&lt;K95,AND(L95="Yes",OR(M95&lt;&gt;"Yes",N95&lt;&gt;"Yes")),AND(Y95="Yes",OR(Z95&lt;&gt;"Yes",AA95&lt;&gt;"Yes")),AB95&lt;&gt;"Yes",AC95&lt;&gt;"Yes"),"Not feasible",IF(OR(L95="Yes",Y95="Yes"),"Feasible with verified support","Feasible"))))</f>
        <v/>
      </c>
      <c r="R95">
        <f>IF(AND(P95="",Q95=""),"",IF(AND(P95&lt;&gt;"",Q95=""),"UNRECORDED",IF(AND(P95="",Q95&lt;&gt;""),"ORPHAN_RECORDED",IF(P95=Q95,"MATCH","MISMATCH"))))</f>
        <v/>
      </c>
      <c r="S95">
        <f>IF(OR(NOT(ISNUMBER(E95)),NOT(ISNUMBER(G95))),"",E95+G95)</f>
        <v/>
      </c>
      <c r="X95">
        <f>IF(A95="","",IF(AND(W95="Completed",OR(P95="Feasible",P95="Feasible with verified support")),"Completed feasible",IF(OR(P95="Not feasible",W95="Stopped before rating",W95="Aborted during review"),"Infeasible or aborted","Incomplete")))</f>
        <v/>
      </c>
      <c r="Y95" s="303" t="n"/>
      <c r="Z95" s="303" t="n"/>
      <c r="AA95" s="303" t="n"/>
      <c r="AB95" s="303" t="n"/>
      <c r="AC95" s="303" t="n"/>
      <c r="AD95" s="303">
        <f>IF(COUNTA(A95:O95)+COUNTA(Q95)+COUNTA(T95:W95)+COUNTA(Y95:AC95)=0,"",IF(AND(COUNTIF(Vocabulary!$J$5:$J$6,L95)=1,COUNTIF(Vocabulary!$J$5:$J$6,M95)=1,COUNTIF(Vocabulary!$J$5:$J$6,N95)=1,COUNTIF(Vocabulary!$J$5:$J$6,Y95)=1,COUNTIF(Vocabulary!$J$5:$J$6,Z95)=1,COUNTIF(Vocabulary!$J$5:$J$6,AA95)=1,COUNTIF(Vocabulary!$J$5:$J$6,AB95)=1,COUNTIF(Vocabulary!$J$5:$J$6,AC95)=1),"OK","UNRECOGNISED_BURDEN_VALUE"))</f>
        <v/>
      </c>
    </row>
    <row r="96">
      <c r="P96">
        <f>IF(COUNTA(A96:O96)+COUNTA(Q96)+COUNTA(T96:W96)+COUNTA(Y96:AC96)=0,"",IF(OR(NOT(ISNUMBER(D96)),NOT(ISNUMBER(E96)),NOT(ISNUMBER(F96)),NOT(ISNUMBER(G96)),NOT(ISNUMBER(H96)),NOT(ISNUMBER(I96)),NOT(ISNUMBER(J96)),NOT(ISNUMBER(K96)),AD96&lt;&gt;"OK"),"Not feasible",IF(OR(D96&lt;E96,F96&lt;G96,H96&lt;I96,J96&lt;K96,AND(L96="Yes",OR(M96&lt;&gt;"Yes",N96&lt;&gt;"Yes")),AND(Y96="Yes",OR(Z96&lt;&gt;"Yes",AA96&lt;&gt;"Yes")),AB96&lt;&gt;"Yes",AC96&lt;&gt;"Yes"),"Not feasible",IF(OR(L96="Yes",Y96="Yes"),"Feasible with verified support","Feasible"))))</f>
        <v/>
      </c>
      <c r="R96">
        <f>IF(AND(P96="",Q96=""),"",IF(AND(P96&lt;&gt;"",Q96=""),"UNRECORDED",IF(AND(P96="",Q96&lt;&gt;""),"ORPHAN_RECORDED",IF(P96=Q96,"MATCH","MISMATCH"))))</f>
        <v/>
      </c>
      <c r="S96">
        <f>IF(OR(NOT(ISNUMBER(E96)),NOT(ISNUMBER(G96))),"",E96+G96)</f>
        <v/>
      </c>
      <c r="X96">
        <f>IF(A96="","",IF(AND(W96="Completed",OR(P96="Feasible",P96="Feasible with verified support")),"Completed feasible",IF(OR(P96="Not feasible",W96="Stopped before rating",W96="Aborted during review"),"Infeasible or aborted","Incomplete")))</f>
        <v/>
      </c>
      <c r="Y96" s="303" t="n"/>
      <c r="Z96" s="303" t="n"/>
      <c r="AA96" s="303" t="n"/>
      <c r="AB96" s="303" t="n"/>
      <c r="AC96" s="303" t="n"/>
      <c r="AD96" s="303">
        <f>IF(COUNTA(A96:O96)+COUNTA(Q96)+COUNTA(T96:W96)+COUNTA(Y96:AC96)=0,"",IF(AND(COUNTIF(Vocabulary!$J$5:$J$6,L96)=1,COUNTIF(Vocabulary!$J$5:$J$6,M96)=1,COUNTIF(Vocabulary!$J$5:$J$6,N96)=1,COUNTIF(Vocabulary!$J$5:$J$6,Y96)=1,COUNTIF(Vocabulary!$J$5:$J$6,Z96)=1,COUNTIF(Vocabulary!$J$5:$J$6,AA96)=1,COUNTIF(Vocabulary!$J$5:$J$6,AB96)=1,COUNTIF(Vocabulary!$J$5:$J$6,AC96)=1),"OK","UNRECOGNISED_BURDEN_VALUE"))</f>
        <v/>
      </c>
    </row>
    <row r="97">
      <c r="P97">
        <f>IF(COUNTA(A97:O97)+COUNTA(Q97)+COUNTA(T97:W97)+COUNTA(Y97:AC97)=0,"",IF(OR(NOT(ISNUMBER(D97)),NOT(ISNUMBER(E97)),NOT(ISNUMBER(F97)),NOT(ISNUMBER(G97)),NOT(ISNUMBER(H97)),NOT(ISNUMBER(I97)),NOT(ISNUMBER(J97)),NOT(ISNUMBER(K97)),AD97&lt;&gt;"OK"),"Not feasible",IF(OR(D97&lt;E97,F97&lt;G97,H97&lt;I97,J97&lt;K97,AND(L97="Yes",OR(M97&lt;&gt;"Yes",N97&lt;&gt;"Yes")),AND(Y97="Yes",OR(Z97&lt;&gt;"Yes",AA97&lt;&gt;"Yes")),AB97&lt;&gt;"Yes",AC97&lt;&gt;"Yes"),"Not feasible",IF(OR(L97="Yes",Y97="Yes"),"Feasible with verified support","Feasible"))))</f>
        <v/>
      </c>
      <c r="R97">
        <f>IF(AND(P97="",Q97=""),"",IF(AND(P97&lt;&gt;"",Q97=""),"UNRECORDED",IF(AND(P97="",Q97&lt;&gt;""),"ORPHAN_RECORDED",IF(P97=Q97,"MATCH","MISMATCH"))))</f>
        <v/>
      </c>
      <c r="S97">
        <f>IF(OR(NOT(ISNUMBER(E97)),NOT(ISNUMBER(G97))),"",E97+G97)</f>
        <v/>
      </c>
      <c r="X97">
        <f>IF(A97="","",IF(AND(W97="Completed",OR(P97="Feasible",P97="Feasible with verified support")),"Completed feasible",IF(OR(P97="Not feasible",W97="Stopped before rating",W97="Aborted during review"),"Infeasible or aborted","Incomplete")))</f>
        <v/>
      </c>
      <c r="Y97" s="303" t="n"/>
      <c r="Z97" s="303" t="n"/>
      <c r="AA97" s="303" t="n"/>
      <c r="AB97" s="303" t="n"/>
      <c r="AC97" s="303" t="n"/>
      <c r="AD97" s="303">
        <f>IF(COUNTA(A97:O97)+COUNTA(Q97)+COUNTA(T97:W97)+COUNTA(Y97:AC97)=0,"",IF(AND(COUNTIF(Vocabulary!$J$5:$J$6,L97)=1,COUNTIF(Vocabulary!$J$5:$J$6,M97)=1,COUNTIF(Vocabulary!$J$5:$J$6,N97)=1,COUNTIF(Vocabulary!$J$5:$J$6,Y97)=1,COUNTIF(Vocabulary!$J$5:$J$6,Z97)=1,COUNTIF(Vocabulary!$J$5:$J$6,AA97)=1,COUNTIF(Vocabulary!$J$5:$J$6,AB97)=1,COUNTIF(Vocabulary!$J$5:$J$6,AC97)=1),"OK","UNRECOGNISED_BURDEN_VALUE"))</f>
        <v/>
      </c>
    </row>
    <row r="98">
      <c r="P98">
        <f>IF(COUNTA(A98:O98)+COUNTA(Q98)+COUNTA(T98:W98)+COUNTA(Y98:AC98)=0,"",IF(OR(NOT(ISNUMBER(D98)),NOT(ISNUMBER(E98)),NOT(ISNUMBER(F98)),NOT(ISNUMBER(G98)),NOT(ISNUMBER(H98)),NOT(ISNUMBER(I98)),NOT(ISNUMBER(J98)),NOT(ISNUMBER(K98)),AD98&lt;&gt;"OK"),"Not feasible",IF(OR(D98&lt;E98,F98&lt;G98,H98&lt;I98,J98&lt;K98,AND(L98="Yes",OR(M98&lt;&gt;"Yes",N98&lt;&gt;"Yes")),AND(Y98="Yes",OR(Z98&lt;&gt;"Yes",AA98&lt;&gt;"Yes")),AB98&lt;&gt;"Yes",AC98&lt;&gt;"Yes"),"Not feasible",IF(OR(L98="Yes",Y98="Yes"),"Feasible with verified support","Feasible"))))</f>
        <v/>
      </c>
      <c r="R98">
        <f>IF(AND(P98="",Q98=""),"",IF(AND(P98&lt;&gt;"",Q98=""),"UNRECORDED",IF(AND(P98="",Q98&lt;&gt;""),"ORPHAN_RECORDED",IF(P98=Q98,"MATCH","MISMATCH"))))</f>
        <v/>
      </c>
      <c r="S98">
        <f>IF(OR(NOT(ISNUMBER(E98)),NOT(ISNUMBER(G98))),"",E98+G98)</f>
        <v/>
      </c>
      <c r="X98">
        <f>IF(A98="","",IF(AND(W98="Completed",OR(P98="Feasible",P98="Feasible with verified support")),"Completed feasible",IF(OR(P98="Not feasible",W98="Stopped before rating",W98="Aborted during review"),"Infeasible or aborted","Incomplete")))</f>
        <v/>
      </c>
      <c r="Y98" s="303" t="n"/>
      <c r="Z98" s="303" t="n"/>
      <c r="AA98" s="303" t="n"/>
      <c r="AB98" s="303" t="n"/>
      <c r="AC98" s="303" t="n"/>
      <c r="AD98" s="303">
        <f>IF(COUNTA(A98:O98)+COUNTA(Q98)+COUNTA(T98:W98)+COUNTA(Y98:AC98)=0,"",IF(AND(COUNTIF(Vocabulary!$J$5:$J$6,L98)=1,COUNTIF(Vocabulary!$J$5:$J$6,M98)=1,COUNTIF(Vocabulary!$J$5:$J$6,N98)=1,COUNTIF(Vocabulary!$J$5:$J$6,Y98)=1,COUNTIF(Vocabulary!$J$5:$J$6,Z98)=1,COUNTIF(Vocabulary!$J$5:$J$6,AA98)=1,COUNTIF(Vocabulary!$J$5:$J$6,AB98)=1,COUNTIF(Vocabulary!$J$5:$J$6,AC98)=1),"OK","UNRECOGNISED_BURDEN_VALUE"))</f>
        <v/>
      </c>
    </row>
    <row r="99">
      <c r="P99">
        <f>IF(COUNTA(A99:O99)+COUNTA(Q99)+COUNTA(T99:W99)+COUNTA(Y99:AC99)=0,"",IF(OR(NOT(ISNUMBER(D99)),NOT(ISNUMBER(E99)),NOT(ISNUMBER(F99)),NOT(ISNUMBER(G99)),NOT(ISNUMBER(H99)),NOT(ISNUMBER(I99)),NOT(ISNUMBER(J99)),NOT(ISNUMBER(K99)),AD99&lt;&gt;"OK"),"Not feasible",IF(OR(D99&lt;E99,F99&lt;G99,H99&lt;I99,J99&lt;K99,AND(L99="Yes",OR(M99&lt;&gt;"Yes",N99&lt;&gt;"Yes")),AND(Y99="Yes",OR(Z99&lt;&gt;"Yes",AA99&lt;&gt;"Yes")),AB99&lt;&gt;"Yes",AC99&lt;&gt;"Yes"),"Not feasible",IF(OR(L99="Yes",Y99="Yes"),"Feasible with verified support","Feasible"))))</f>
        <v/>
      </c>
      <c r="R99">
        <f>IF(AND(P99="",Q99=""),"",IF(AND(P99&lt;&gt;"",Q99=""),"UNRECORDED",IF(AND(P99="",Q99&lt;&gt;""),"ORPHAN_RECORDED",IF(P99=Q99,"MATCH","MISMATCH"))))</f>
        <v/>
      </c>
      <c r="S99">
        <f>IF(OR(NOT(ISNUMBER(E99)),NOT(ISNUMBER(G99))),"",E99+G99)</f>
        <v/>
      </c>
      <c r="X99">
        <f>IF(A99="","",IF(AND(W99="Completed",OR(P99="Feasible",P99="Feasible with verified support")),"Completed feasible",IF(OR(P99="Not feasible",W99="Stopped before rating",W99="Aborted during review"),"Infeasible or aborted","Incomplete")))</f>
        <v/>
      </c>
      <c r="Y99" s="303" t="n"/>
      <c r="Z99" s="303" t="n"/>
      <c r="AA99" s="303" t="n"/>
      <c r="AB99" s="303" t="n"/>
      <c r="AC99" s="303" t="n"/>
      <c r="AD99" s="303">
        <f>IF(COUNTA(A99:O99)+COUNTA(Q99)+COUNTA(T99:W99)+COUNTA(Y99:AC99)=0,"",IF(AND(COUNTIF(Vocabulary!$J$5:$J$6,L99)=1,COUNTIF(Vocabulary!$J$5:$J$6,M99)=1,COUNTIF(Vocabulary!$J$5:$J$6,N99)=1,COUNTIF(Vocabulary!$J$5:$J$6,Y99)=1,COUNTIF(Vocabulary!$J$5:$J$6,Z99)=1,COUNTIF(Vocabulary!$J$5:$J$6,AA99)=1,COUNTIF(Vocabulary!$J$5:$J$6,AB99)=1,COUNTIF(Vocabulary!$J$5:$J$6,AC99)=1),"OK","UNRECOGNISED_BURDEN_VALUE"))</f>
        <v/>
      </c>
    </row>
    <row r="100">
      <c r="P100">
        <f>IF(COUNTA(A100:O100)+COUNTA(Q100)+COUNTA(T100:W100)+COUNTA(Y100:AC100)=0,"",IF(OR(NOT(ISNUMBER(D100)),NOT(ISNUMBER(E100)),NOT(ISNUMBER(F100)),NOT(ISNUMBER(G100)),NOT(ISNUMBER(H100)),NOT(ISNUMBER(I100)),NOT(ISNUMBER(J100)),NOT(ISNUMBER(K100)),AD100&lt;&gt;"OK"),"Not feasible",IF(OR(D100&lt;E100,F100&lt;G100,H100&lt;I100,J100&lt;K100,AND(L100="Yes",OR(M100&lt;&gt;"Yes",N100&lt;&gt;"Yes")),AND(Y100="Yes",OR(Z100&lt;&gt;"Yes",AA100&lt;&gt;"Yes")),AB100&lt;&gt;"Yes",AC100&lt;&gt;"Yes"),"Not feasible",IF(OR(L100="Yes",Y100="Yes"),"Feasible with verified support","Feasible"))))</f>
        <v/>
      </c>
      <c r="R100">
        <f>IF(AND(P100="",Q100=""),"",IF(AND(P100&lt;&gt;"",Q100=""),"UNRECORDED",IF(AND(P100="",Q100&lt;&gt;""),"ORPHAN_RECORDED",IF(P100=Q100,"MATCH","MISMATCH"))))</f>
        <v/>
      </c>
      <c r="S100">
        <f>IF(OR(NOT(ISNUMBER(E100)),NOT(ISNUMBER(G100))),"",E100+G100)</f>
        <v/>
      </c>
      <c r="X100">
        <f>IF(A100="","",IF(AND(W100="Completed",OR(P100="Feasible",P100="Feasible with verified support")),"Completed feasible",IF(OR(P100="Not feasible",W100="Stopped before rating",W100="Aborted during review"),"Infeasible or aborted","Incomplete")))</f>
        <v/>
      </c>
      <c r="Y100" s="303" t="n"/>
      <c r="Z100" s="303" t="n"/>
      <c r="AA100" s="303" t="n"/>
      <c r="AB100" s="303" t="n"/>
      <c r="AC100" s="303" t="n"/>
      <c r="AD100" s="303">
        <f>IF(COUNTA(A100:O100)+COUNTA(Q100)+COUNTA(T100:W100)+COUNTA(Y100:AC100)=0,"",IF(AND(COUNTIF(Vocabulary!$J$5:$J$6,L100)=1,COUNTIF(Vocabulary!$J$5:$J$6,M100)=1,COUNTIF(Vocabulary!$J$5:$J$6,N100)=1,COUNTIF(Vocabulary!$J$5:$J$6,Y100)=1,COUNTIF(Vocabulary!$J$5:$J$6,Z100)=1,COUNTIF(Vocabulary!$J$5:$J$6,AA100)=1,COUNTIF(Vocabulary!$J$5:$J$6,AB100)=1,COUNTIF(Vocabulary!$J$5:$J$6,AC100)=1),"OK","UNRECOGNISED_BURDEN_VALUE"))</f>
        <v/>
      </c>
    </row>
    <row r="101">
      <c r="P101">
        <f>IF(COUNTA(A101:O101)+COUNTA(Q101)+COUNTA(T101:W101)+COUNTA(Y101:AC101)=0,"",IF(OR(NOT(ISNUMBER(D101)),NOT(ISNUMBER(E101)),NOT(ISNUMBER(F101)),NOT(ISNUMBER(G101)),NOT(ISNUMBER(H101)),NOT(ISNUMBER(I101)),NOT(ISNUMBER(J101)),NOT(ISNUMBER(K101)),AD101&lt;&gt;"OK"),"Not feasible",IF(OR(D101&lt;E101,F101&lt;G101,H101&lt;I101,J101&lt;K101,AND(L101="Yes",OR(M101&lt;&gt;"Yes",N101&lt;&gt;"Yes")),AND(Y101="Yes",OR(Z101&lt;&gt;"Yes",AA101&lt;&gt;"Yes")),AB101&lt;&gt;"Yes",AC101&lt;&gt;"Yes"),"Not feasible",IF(OR(L101="Yes",Y101="Yes"),"Feasible with verified support","Feasible"))))</f>
        <v/>
      </c>
      <c r="R101">
        <f>IF(AND(P101="",Q101=""),"",IF(AND(P101&lt;&gt;"",Q101=""),"UNRECORDED",IF(AND(P101="",Q101&lt;&gt;""),"ORPHAN_RECORDED",IF(P101=Q101,"MATCH","MISMATCH"))))</f>
        <v/>
      </c>
      <c r="S101">
        <f>IF(OR(NOT(ISNUMBER(E101)),NOT(ISNUMBER(G101))),"",E101+G101)</f>
        <v/>
      </c>
      <c r="X101">
        <f>IF(A101="","",IF(AND(W101="Completed",OR(P101="Feasible",P101="Feasible with verified support")),"Completed feasible",IF(OR(P101="Not feasible",W101="Stopped before rating",W101="Aborted during review"),"Infeasible or aborted","Incomplete")))</f>
        <v/>
      </c>
      <c r="Y101" s="303" t="n"/>
      <c r="Z101" s="303" t="n"/>
      <c r="AA101" s="303" t="n"/>
      <c r="AB101" s="303" t="n"/>
      <c r="AC101" s="303" t="n"/>
      <c r="AD101" s="303">
        <f>IF(COUNTA(A101:O101)+COUNTA(Q101)+COUNTA(T101:W101)+COUNTA(Y101:AC101)=0,"",IF(AND(COUNTIF(Vocabulary!$J$5:$J$6,L101)=1,COUNTIF(Vocabulary!$J$5:$J$6,M101)=1,COUNTIF(Vocabulary!$J$5:$J$6,N101)=1,COUNTIF(Vocabulary!$J$5:$J$6,Y101)=1,COUNTIF(Vocabulary!$J$5:$J$6,Z101)=1,COUNTIF(Vocabulary!$J$5:$J$6,AA101)=1,COUNTIF(Vocabulary!$J$5:$J$6,AB101)=1,COUNTIF(Vocabulary!$J$5:$J$6,AC101)=1),"OK","UNRECOGNISED_BURDEN_VALUE"))</f>
        <v/>
      </c>
    </row>
    <row r="102">
      <c r="P102">
        <f>IF(COUNTA(A102:O102)+COUNTA(Q102)+COUNTA(T102:W102)+COUNTA(Y102:AC102)=0,"",IF(OR(NOT(ISNUMBER(D102)),NOT(ISNUMBER(E102)),NOT(ISNUMBER(F102)),NOT(ISNUMBER(G102)),NOT(ISNUMBER(H102)),NOT(ISNUMBER(I102)),NOT(ISNUMBER(J102)),NOT(ISNUMBER(K102)),AD102&lt;&gt;"OK"),"Not feasible",IF(OR(D102&lt;E102,F102&lt;G102,H102&lt;I102,J102&lt;K102,AND(L102="Yes",OR(M102&lt;&gt;"Yes",N102&lt;&gt;"Yes")),AND(Y102="Yes",OR(Z102&lt;&gt;"Yes",AA102&lt;&gt;"Yes")),AB102&lt;&gt;"Yes",AC102&lt;&gt;"Yes"),"Not feasible",IF(OR(L102="Yes",Y102="Yes"),"Feasible with verified support","Feasible"))))</f>
        <v/>
      </c>
      <c r="R102">
        <f>IF(AND(P102="",Q102=""),"",IF(AND(P102&lt;&gt;"",Q102=""),"UNRECORDED",IF(AND(P102="",Q102&lt;&gt;""),"ORPHAN_RECORDED",IF(P102=Q102,"MATCH","MISMATCH"))))</f>
        <v/>
      </c>
      <c r="S102">
        <f>IF(OR(NOT(ISNUMBER(E102)),NOT(ISNUMBER(G102))),"",E102+G102)</f>
        <v/>
      </c>
      <c r="X102">
        <f>IF(A102="","",IF(AND(W102="Completed",OR(P102="Feasible",P102="Feasible with verified support")),"Completed feasible",IF(OR(P102="Not feasible",W102="Stopped before rating",W102="Aborted during review"),"Infeasible or aborted","Incomplete")))</f>
        <v/>
      </c>
      <c r="Y102" s="303" t="n"/>
      <c r="Z102" s="303" t="n"/>
      <c r="AA102" s="303" t="n"/>
      <c r="AB102" s="303" t="n"/>
      <c r="AC102" s="303" t="n"/>
      <c r="AD102" s="303">
        <f>IF(COUNTA(A102:O102)+COUNTA(Q102)+COUNTA(T102:W102)+COUNTA(Y102:AC102)=0,"",IF(AND(COUNTIF(Vocabulary!$J$5:$J$6,L102)=1,COUNTIF(Vocabulary!$J$5:$J$6,M102)=1,COUNTIF(Vocabulary!$J$5:$J$6,N102)=1,COUNTIF(Vocabulary!$J$5:$J$6,Y102)=1,COUNTIF(Vocabulary!$J$5:$J$6,Z102)=1,COUNTIF(Vocabulary!$J$5:$J$6,AA102)=1,COUNTIF(Vocabulary!$J$5:$J$6,AB102)=1,COUNTIF(Vocabulary!$J$5:$J$6,AC102)=1),"OK","UNRECOGNISED_BURDEN_VALUE"))</f>
        <v/>
      </c>
    </row>
    <row r="103">
      <c r="P103">
        <f>IF(COUNTA(A103:O103)+COUNTA(Q103)+COUNTA(T103:W103)+COUNTA(Y103:AC103)=0,"",IF(OR(NOT(ISNUMBER(D103)),NOT(ISNUMBER(E103)),NOT(ISNUMBER(F103)),NOT(ISNUMBER(G103)),NOT(ISNUMBER(H103)),NOT(ISNUMBER(I103)),NOT(ISNUMBER(J103)),NOT(ISNUMBER(K103)),AD103&lt;&gt;"OK"),"Not feasible",IF(OR(D103&lt;E103,F103&lt;G103,H103&lt;I103,J103&lt;K103,AND(L103="Yes",OR(M103&lt;&gt;"Yes",N103&lt;&gt;"Yes")),AND(Y103="Yes",OR(Z103&lt;&gt;"Yes",AA103&lt;&gt;"Yes")),AB103&lt;&gt;"Yes",AC103&lt;&gt;"Yes"),"Not feasible",IF(OR(L103="Yes",Y103="Yes"),"Feasible with verified support","Feasible"))))</f>
        <v/>
      </c>
      <c r="R103">
        <f>IF(AND(P103="",Q103=""),"",IF(AND(P103&lt;&gt;"",Q103=""),"UNRECORDED",IF(AND(P103="",Q103&lt;&gt;""),"ORPHAN_RECORDED",IF(P103=Q103,"MATCH","MISMATCH"))))</f>
        <v/>
      </c>
      <c r="S103">
        <f>IF(OR(NOT(ISNUMBER(E103)),NOT(ISNUMBER(G103))),"",E103+G103)</f>
        <v/>
      </c>
      <c r="X103">
        <f>IF(A103="","",IF(AND(W103="Completed",OR(P103="Feasible",P103="Feasible with verified support")),"Completed feasible",IF(OR(P103="Not feasible",W103="Stopped before rating",W103="Aborted during review"),"Infeasible or aborted","Incomplete")))</f>
        <v/>
      </c>
      <c r="Y103" s="303" t="n"/>
      <c r="Z103" s="303" t="n"/>
      <c r="AA103" s="303" t="n"/>
      <c r="AB103" s="303" t="n"/>
      <c r="AC103" s="303" t="n"/>
      <c r="AD103" s="303">
        <f>IF(COUNTA(A103:O103)+COUNTA(Q103)+COUNTA(T103:W103)+COUNTA(Y103:AC103)=0,"",IF(AND(COUNTIF(Vocabulary!$J$5:$J$6,L103)=1,COUNTIF(Vocabulary!$J$5:$J$6,M103)=1,COUNTIF(Vocabulary!$J$5:$J$6,N103)=1,COUNTIF(Vocabulary!$J$5:$J$6,Y103)=1,COUNTIF(Vocabulary!$J$5:$J$6,Z103)=1,COUNTIF(Vocabulary!$J$5:$J$6,AA103)=1,COUNTIF(Vocabulary!$J$5:$J$6,AB103)=1,COUNTIF(Vocabulary!$J$5:$J$6,AC103)=1),"OK","UNRECOGNISED_BURDEN_VALUE"))</f>
        <v/>
      </c>
    </row>
    <row r="104">
      <c r="P104">
        <f>IF(COUNTA(A104:O104)+COUNTA(Q104)+COUNTA(T104:W104)+COUNTA(Y104:AC104)=0,"",IF(OR(NOT(ISNUMBER(D104)),NOT(ISNUMBER(E104)),NOT(ISNUMBER(F104)),NOT(ISNUMBER(G104)),NOT(ISNUMBER(H104)),NOT(ISNUMBER(I104)),NOT(ISNUMBER(J104)),NOT(ISNUMBER(K104)),AD104&lt;&gt;"OK"),"Not feasible",IF(OR(D104&lt;E104,F104&lt;G104,H104&lt;I104,J104&lt;K104,AND(L104="Yes",OR(M104&lt;&gt;"Yes",N104&lt;&gt;"Yes")),AND(Y104="Yes",OR(Z104&lt;&gt;"Yes",AA104&lt;&gt;"Yes")),AB104&lt;&gt;"Yes",AC104&lt;&gt;"Yes"),"Not feasible",IF(OR(L104="Yes",Y104="Yes"),"Feasible with verified support","Feasible"))))</f>
        <v/>
      </c>
      <c r="R104">
        <f>IF(AND(P104="",Q104=""),"",IF(AND(P104&lt;&gt;"",Q104=""),"UNRECORDED",IF(AND(P104="",Q104&lt;&gt;""),"ORPHAN_RECORDED",IF(P104=Q104,"MATCH","MISMATCH"))))</f>
        <v/>
      </c>
      <c r="S104">
        <f>IF(OR(NOT(ISNUMBER(E104)),NOT(ISNUMBER(G104))),"",E104+G104)</f>
        <v/>
      </c>
      <c r="X104">
        <f>IF(A104="","",IF(AND(W104="Completed",OR(P104="Feasible",P104="Feasible with verified support")),"Completed feasible",IF(OR(P104="Not feasible",W104="Stopped before rating",W104="Aborted during review"),"Infeasible or aborted","Incomplete")))</f>
        <v/>
      </c>
      <c r="Y104" s="303" t="n"/>
      <c r="Z104" s="303" t="n"/>
      <c r="AA104" s="303" t="n"/>
      <c r="AB104" s="303" t="n"/>
      <c r="AC104" s="303" t="n"/>
      <c r="AD104" s="303">
        <f>IF(COUNTA(A104:O104)+COUNTA(Q104)+COUNTA(T104:W104)+COUNTA(Y104:AC104)=0,"",IF(AND(COUNTIF(Vocabulary!$J$5:$J$6,L104)=1,COUNTIF(Vocabulary!$J$5:$J$6,M104)=1,COUNTIF(Vocabulary!$J$5:$J$6,N104)=1,COUNTIF(Vocabulary!$J$5:$J$6,Y104)=1,COUNTIF(Vocabulary!$J$5:$J$6,Z104)=1,COUNTIF(Vocabulary!$J$5:$J$6,AA104)=1,COUNTIF(Vocabulary!$J$5:$J$6,AB104)=1,COUNTIF(Vocabulary!$J$5:$J$6,AC104)=1),"OK","UNRECOGNISED_BURDEN_VALUE"))</f>
        <v/>
      </c>
    </row>
    <row r="105">
      <c r="P105">
        <f>IF(COUNTA(A105:O105)+COUNTA(Q105)+COUNTA(T105:W105)+COUNTA(Y105:AC105)=0,"",IF(OR(NOT(ISNUMBER(D105)),NOT(ISNUMBER(E105)),NOT(ISNUMBER(F105)),NOT(ISNUMBER(G105)),NOT(ISNUMBER(H105)),NOT(ISNUMBER(I105)),NOT(ISNUMBER(J105)),NOT(ISNUMBER(K105)),AD105&lt;&gt;"OK"),"Not feasible",IF(OR(D105&lt;E105,F105&lt;G105,H105&lt;I105,J105&lt;K105,AND(L105="Yes",OR(M105&lt;&gt;"Yes",N105&lt;&gt;"Yes")),AND(Y105="Yes",OR(Z105&lt;&gt;"Yes",AA105&lt;&gt;"Yes")),AB105&lt;&gt;"Yes",AC105&lt;&gt;"Yes"),"Not feasible",IF(OR(L105="Yes",Y105="Yes"),"Feasible with verified support","Feasible"))))</f>
        <v/>
      </c>
      <c r="R105">
        <f>IF(AND(P105="",Q105=""),"",IF(AND(P105&lt;&gt;"",Q105=""),"UNRECORDED",IF(AND(P105="",Q105&lt;&gt;""),"ORPHAN_RECORDED",IF(P105=Q105,"MATCH","MISMATCH"))))</f>
        <v/>
      </c>
      <c r="S105">
        <f>IF(OR(NOT(ISNUMBER(E105)),NOT(ISNUMBER(G105))),"",E105+G105)</f>
        <v/>
      </c>
      <c r="X105">
        <f>IF(A105="","",IF(AND(W105="Completed",OR(P105="Feasible",P105="Feasible with verified support")),"Completed feasible",IF(OR(P105="Not feasible",W105="Stopped before rating",W105="Aborted during review"),"Infeasible or aborted","Incomplete")))</f>
        <v/>
      </c>
      <c r="Y105" s="303" t="n"/>
      <c r="Z105" s="303" t="n"/>
      <c r="AA105" s="303" t="n"/>
      <c r="AB105" s="303" t="n"/>
      <c r="AC105" s="303" t="n"/>
      <c r="AD105" s="303">
        <f>IF(COUNTA(A105:O105)+COUNTA(Q105)+COUNTA(T105:W105)+COUNTA(Y105:AC105)=0,"",IF(AND(COUNTIF(Vocabulary!$J$5:$J$6,L105)=1,COUNTIF(Vocabulary!$J$5:$J$6,M105)=1,COUNTIF(Vocabulary!$J$5:$J$6,N105)=1,COUNTIF(Vocabulary!$J$5:$J$6,Y105)=1,COUNTIF(Vocabulary!$J$5:$J$6,Z105)=1,COUNTIF(Vocabulary!$J$5:$J$6,AA105)=1,COUNTIF(Vocabulary!$J$5:$J$6,AB105)=1,COUNTIF(Vocabulary!$J$5:$J$6,AC105)=1),"OK","UNRECOGNISED_BURDEN_VALUE"))</f>
        <v/>
      </c>
    </row>
    <row r="106">
      <c r="P106">
        <f>IF(COUNTA(A106:O106)+COUNTA(Q106)+COUNTA(T106:W106)+COUNTA(Y106:AC106)=0,"",IF(OR(NOT(ISNUMBER(D106)),NOT(ISNUMBER(E106)),NOT(ISNUMBER(F106)),NOT(ISNUMBER(G106)),NOT(ISNUMBER(H106)),NOT(ISNUMBER(I106)),NOT(ISNUMBER(J106)),NOT(ISNUMBER(K106)),AD106&lt;&gt;"OK"),"Not feasible",IF(OR(D106&lt;E106,F106&lt;G106,H106&lt;I106,J106&lt;K106,AND(L106="Yes",OR(M106&lt;&gt;"Yes",N106&lt;&gt;"Yes")),AND(Y106="Yes",OR(Z106&lt;&gt;"Yes",AA106&lt;&gt;"Yes")),AB106&lt;&gt;"Yes",AC106&lt;&gt;"Yes"),"Not feasible",IF(OR(L106="Yes",Y106="Yes"),"Feasible with verified support","Feasible"))))</f>
        <v/>
      </c>
      <c r="R106">
        <f>IF(AND(P106="",Q106=""),"",IF(AND(P106&lt;&gt;"",Q106=""),"UNRECORDED",IF(AND(P106="",Q106&lt;&gt;""),"ORPHAN_RECORDED",IF(P106=Q106,"MATCH","MISMATCH"))))</f>
        <v/>
      </c>
      <c r="S106">
        <f>IF(OR(NOT(ISNUMBER(E106)),NOT(ISNUMBER(G106))),"",E106+G106)</f>
        <v/>
      </c>
      <c r="X106">
        <f>IF(A106="","",IF(AND(W106="Completed",OR(P106="Feasible",P106="Feasible with verified support")),"Completed feasible",IF(OR(P106="Not feasible",W106="Stopped before rating",W106="Aborted during review"),"Infeasible or aborted","Incomplete")))</f>
        <v/>
      </c>
      <c r="Y106" s="303" t="n"/>
      <c r="Z106" s="303" t="n"/>
      <c r="AA106" s="303" t="n"/>
      <c r="AB106" s="303" t="n"/>
      <c r="AC106" s="303" t="n"/>
      <c r="AD106" s="303">
        <f>IF(COUNTA(A106:O106)+COUNTA(Q106)+COUNTA(T106:W106)+COUNTA(Y106:AC106)=0,"",IF(AND(COUNTIF(Vocabulary!$J$5:$J$6,L106)=1,COUNTIF(Vocabulary!$J$5:$J$6,M106)=1,COUNTIF(Vocabulary!$J$5:$J$6,N106)=1,COUNTIF(Vocabulary!$J$5:$J$6,Y106)=1,COUNTIF(Vocabulary!$J$5:$J$6,Z106)=1,COUNTIF(Vocabulary!$J$5:$J$6,AA106)=1,COUNTIF(Vocabulary!$J$5:$J$6,AB106)=1,COUNTIF(Vocabulary!$J$5:$J$6,AC106)=1),"OK","UNRECOGNISED_BURDEN_VALUE"))</f>
        <v/>
      </c>
    </row>
    <row r="107">
      <c r="P107">
        <f>IF(COUNTA(A107:O107)+COUNTA(Q107)+COUNTA(T107:W107)+COUNTA(Y107:AC107)=0,"",IF(OR(NOT(ISNUMBER(D107)),NOT(ISNUMBER(E107)),NOT(ISNUMBER(F107)),NOT(ISNUMBER(G107)),NOT(ISNUMBER(H107)),NOT(ISNUMBER(I107)),NOT(ISNUMBER(J107)),NOT(ISNUMBER(K107)),AD107&lt;&gt;"OK"),"Not feasible",IF(OR(D107&lt;E107,F107&lt;G107,H107&lt;I107,J107&lt;K107,AND(L107="Yes",OR(M107&lt;&gt;"Yes",N107&lt;&gt;"Yes")),AND(Y107="Yes",OR(Z107&lt;&gt;"Yes",AA107&lt;&gt;"Yes")),AB107&lt;&gt;"Yes",AC107&lt;&gt;"Yes"),"Not feasible",IF(OR(L107="Yes",Y107="Yes"),"Feasible with verified support","Feasible"))))</f>
        <v/>
      </c>
      <c r="R107">
        <f>IF(AND(P107="",Q107=""),"",IF(AND(P107&lt;&gt;"",Q107=""),"UNRECORDED",IF(AND(P107="",Q107&lt;&gt;""),"ORPHAN_RECORDED",IF(P107=Q107,"MATCH","MISMATCH"))))</f>
        <v/>
      </c>
      <c r="S107">
        <f>IF(OR(NOT(ISNUMBER(E107)),NOT(ISNUMBER(G107))),"",E107+G107)</f>
        <v/>
      </c>
      <c r="X107">
        <f>IF(A107="","",IF(AND(W107="Completed",OR(P107="Feasible",P107="Feasible with verified support")),"Completed feasible",IF(OR(P107="Not feasible",W107="Stopped before rating",W107="Aborted during review"),"Infeasible or aborted","Incomplete")))</f>
        <v/>
      </c>
      <c r="Y107" s="303" t="n"/>
      <c r="Z107" s="303" t="n"/>
      <c r="AA107" s="303" t="n"/>
      <c r="AB107" s="303" t="n"/>
      <c r="AC107" s="303" t="n"/>
      <c r="AD107" s="303">
        <f>IF(COUNTA(A107:O107)+COUNTA(Q107)+COUNTA(T107:W107)+COUNTA(Y107:AC107)=0,"",IF(AND(COUNTIF(Vocabulary!$J$5:$J$6,L107)=1,COUNTIF(Vocabulary!$J$5:$J$6,M107)=1,COUNTIF(Vocabulary!$J$5:$J$6,N107)=1,COUNTIF(Vocabulary!$J$5:$J$6,Y107)=1,COUNTIF(Vocabulary!$J$5:$J$6,Z107)=1,COUNTIF(Vocabulary!$J$5:$J$6,AA107)=1,COUNTIF(Vocabulary!$J$5:$J$6,AB107)=1,COUNTIF(Vocabulary!$J$5:$J$6,AC107)=1),"OK","UNRECOGNISED_BURDEN_VALUE"))</f>
        <v/>
      </c>
    </row>
    <row r="108">
      <c r="P108">
        <f>IF(COUNTA(A108:O108)+COUNTA(Q108)+COUNTA(T108:W108)+COUNTA(Y108:AC108)=0,"",IF(OR(NOT(ISNUMBER(D108)),NOT(ISNUMBER(E108)),NOT(ISNUMBER(F108)),NOT(ISNUMBER(G108)),NOT(ISNUMBER(H108)),NOT(ISNUMBER(I108)),NOT(ISNUMBER(J108)),NOT(ISNUMBER(K108)),AD108&lt;&gt;"OK"),"Not feasible",IF(OR(D108&lt;E108,F108&lt;G108,H108&lt;I108,J108&lt;K108,AND(L108="Yes",OR(M108&lt;&gt;"Yes",N108&lt;&gt;"Yes")),AND(Y108="Yes",OR(Z108&lt;&gt;"Yes",AA108&lt;&gt;"Yes")),AB108&lt;&gt;"Yes",AC108&lt;&gt;"Yes"),"Not feasible",IF(OR(L108="Yes",Y108="Yes"),"Feasible with verified support","Feasible"))))</f>
        <v/>
      </c>
      <c r="R108">
        <f>IF(AND(P108="",Q108=""),"",IF(AND(P108&lt;&gt;"",Q108=""),"UNRECORDED",IF(AND(P108="",Q108&lt;&gt;""),"ORPHAN_RECORDED",IF(P108=Q108,"MATCH","MISMATCH"))))</f>
        <v/>
      </c>
      <c r="S108">
        <f>IF(OR(NOT(ISNUMBER(E108)),NOT(ISNUMBER(G108))),"",E108+G108)</f>
        <v/>
      </c>
      <c r="X108">
        <f>IF(A108="","",IF(AND(W108="Completed",OR(P108="Feasible",P108="Feasible with verified support")),"Completed feasible",IF(OR(P108="Not feasible",W108="Stopped before rating",W108="Aborted during review"),"Infeasible or aborted","Incomplete")))</f>
        <v/>
      </c>
      <c r="Y108" s="303" t="n"/>
      <c r="Z108" s="303" t="n"/>
      <c r="AA108" s="303" t="n"/>
      <c r="AB108" s="303" t="n"/>
      <c r="AC108" s="303" t="n"/>
      <c r="AD108" s="303">
        <f>IF(COUNTA(A108:O108)+COUNTA(Q108)+COUNTA(T108:W108)+COUNTA(Y108:AC108)=0,"",IF(AND(COUNTIF(Vocabulary!$J$5:$J$6,L108)=1,COUNTIF(Vocabulary!$J$5:$J$6,M108)=1,COUNTIF(Vocabulary!$J$5:$J$6,N108)=1,COUNTIF(Vocabulary!$J$5:$J$6,Y108)=1,COUNTIF(Vocabulary!$J$5:$J$6,Z108)=1,COUNTIF(Vocabulary!$J$5:$J$6,AA108)=1,COUNTIF(Vocabulary!$J$5:$J$6,AB108)=1,COUNTIF(Vocabulary!$J$5:$J$6,AC108)=1),"OK","UNRECOGNISED_BURDEN_VALUE"))</f>
        <v/>
      </c>
    </row>
    <row r="109">
      <c r="P109">
        <f>IF(COUNTA(A109:O109)+COUNTA(Q109)+COUNTA(T109:W109)+COUNTA(Y109:AC109)=0,"",IF(OR(NOT(ISNUMBER(D109)),NOT(ISNUMBER(E109)),NOT(ISNUMBER(F109)),NOT(ISNUMBER(G109)),NOT(ISNUMBER(H109)),NOT(ISNUMBER(I109)),NOT(ISNUMBER(J109)),NOT(ISNUMBER(K109)),AD109&lt;&gt;"OK"),"Not feasible",IF(OR(D109&lt;E109,F109&lt;G109,H109&lt;I109,J109&lt;K109,AND(L109="Yes",OR(M109&lt;&gt;"Yes",N109&lt;&gt;"Yes")),AND(Y109="Yes",OR(Z109&lt;&gt;"Yes",AA109&lt;&gt;"Yes")),AB109&lt;&gt;"Yes",AC109&lt;&gt;"Yes"),"Not feasible",IF(OR(L109="Yes",Y109="Yes"),"Feasible with verified support","Feasible"))))</f>
        <v/>
      </c>
      <c r="R109">
        <f>IF(AND(P109="",Q109=""),"",IF(AND(P109&lt;&gt;"",Q109=""),"UNRECORDED",IF(AND(P109="",Q109&lt;&gt;""),"ORPHAN_RECORDED",IF(P109=Q109,"MATCH","MISMATCH"))))</f>
        <v/>
      </c>
      <c r="S109">
        <f>IF(OR(NOT(ISNUMBER(E109)),NOT(ISNUMBER(G109))),"",E109+G109)</f>
        <v/>
      </c>
      <c r="X109">
        <f>IF(A109="","",IF(AND(W109="Completed",OR(P109="Feasible",P109="Feasible with verified support")),"Completed feasible",IF(OR(P109="Not feasible",W109="Stopped before rating",W109="Aborted during review"),"Infeasible or aborted","Incomplete")))</f>
        <v/>
      </c>
      <c r="Y109" s="303" t="n"/>
      <c r="Z109" s="303" t="n"/>
      <c r="AA109" s="303" t="n"/>
      <c r="AB109" s="303" t="n"/>
      <c r="AC109" s="303" t="n"/>
      <c r="AD109" s="303">
        <f>IF(COUNTA(A109:O109)+COUNTA(Q109)+COUNTA(T109:W109)+COUNTA(Y109:AC109)=0,"",IF(AND(COUNTIF(Vocabulary!$J$5:$J$6,L109)=1,COUNTIF(Vocabulary!$J$5:$J$6,M109)=1,COUNTIF(Vocabulary!$J$5:$J$6,N109)=1,COUNTIF(Vocabulary!$J$5:$J$6,Y109)=1,COUNTIF(Vocabulary!$J$5:$J$6,Z109)=1,COUNTIF(Vocabulary!$J$5:$J$6,AA109)=1,COUNTIF(Vocabulary!$J$5:$J$6,AB109)=1,COUNTIF(Vocabulary!$J$5:$J$6,AC109)=1),"OK","UNRECOGNISED_BURDEN_VALUE"))</f>
        <v/>
      </c>
    </row>
    <row r="110">
      <c r="P110">
        <f>IF(COUNTA(A110:O110)+COUNTA(Q110)+COUNTA(T110:W110)+COUNTA(Y110:AC110)=0,"",IF(OR(NOT(ISNUMBER(D110)),NOT(ISNUMBER(E110)),NOT(ISNUMBER(F110)),NOT(ISNUMBER(G110)),NOT(ISNUMBER(H110)),NOT(ISNUMBER(I110)),NOT(ISNUMBER(J110)),NOT(ISNUMBER(K110)),AD110&lt;&gt;"OK"),"Not feasible",IF(OR(D110&lt;E110,F110&lt;G110,H110&lt;I110,J110&lt;K110,AND(L110="Yes",OR(M110&lt;&gt;"Yes",N110&lt;&gt;"Yes")),AND(Y110="Yes",OR(Z110&lt;&gt;"Yes",AA110&lt;&gt;"Yes")),AB110&lt;&gt;"Yes",AC110&lt;&gt;"Yes"),"Not feasible",IF(OR(L110="Yes",Y110="Yes"),"Feasible with verified support","Feasible"))))</f>
        <v/>
      </c>
      <c r="R110">
        <f>IF(AND(P110="",Q110=""),"",IF(AND(P110&lt;&gt;"",Q110=""),"UNRECORDED",IF(AND(P110="",Q110&lt;&gt;""),"ORPHAN_RECORDED",IF(P110=Q110,"MATCH","MISMATCH"))))</f>
        <v/>
      </c>
      <c r="S110">
        <f>IF(OR(NOT(ISNUMBER(E110)),NOT(ISNUMBER(G110))),"",E110+G110)</f>
        <v/>
      </c>
      <c r="X110">
        <f>IF(A110="","",IF(AND(W110="Completed",OR(P110="Feasible",P110="Feasible with verified support")),"Completed feasible",IF(OR(P110="Not feasible",W110="Stopped before rating",W110="Aborted during review"),"Infeasible or aborted","Incomplete")))</f>
        <v/>
      </c>
      <c r="Y110" s="303" t="n"/>
      <c r="Z110" s="303" t="n"/>
      <c r="AA110" s="303" t="n"/>
      <c r="AB110" s="303" t="n"/>
      <c r="AC110" s="303" t="n"/>
      <c r="AD110" s="303">
        <f>IF(COUNTA(A110:O110)+COUNTA(Q110)+COUNTA(T110:W110)+COUNTA(Y110:AC110)=0,"",IF(AND(COUNTIF(Vocabulary!$J$5:$J$6,L110)=1,COUNTIF(Vocabulary!$J$5:$J$6,M110)=1,COUNTIF(Vocabulary!$J$5:$J$6,N110)=1,COUNTIF(Vocabulary!$J$5:$J$6,Y110)=1,COUNTIF(Vocabulary!$J$5:$J$6,Z110)=1,COUNTIF(Vocabulary!$J$5:$J$6,AA110)=1,COUNTIF(Vocabulary!$J$5:$J$6,AB110)=1,COUNTIF(Vocabulary!$J$5:$J$6,AC110)=1),"OK","UNRECOGNISED_BURDEN_VALUE"))</f>
        <v/>
      </c>
    </row>
    <row r="111">
      <c r="P111">
        <f>IF(COUNTA(A111:O111)+COUNTA(Q111)+COUNTA(T111:W111)+COUNTA(Y111:AC111)=0,"",IF(OR(NOT(ISNUMBER(D111)),NOT(ISNUMBER(E111)),NOT(ISNUMBER(F111)),NOT(ISNUMBER(G111)),NOT(ISNUMBER(H111)),NOT(ISNUMBER(I111)),NOT(ISNUMBER(J111)),NOT(ISNUMBER(K111)),AD111&lt;&gt;"OK"),"Not feasible",IF(OR(D111&lt;E111,F111&lt;G111,H111&lt;I111,J111&lt;K111,AND(L111="Yes",OR(M111&lt;&gt;"Yes",N111&lt;&gt;"Yes")),AND(Y111="Yes",OR(Z111&lt;&gt;"Yes",AA111&lt;&gt;"Yes")),AB111&lt;&gt;"Yes",AC111&lt;&gt;"Yes"),"Not feasible",IF(OR(L111="Yes",Y111="Yes"),"Feasible with verified support","Feasible"))))</f>
        <v/>
      </c>
      <c r="R111">
        <f>IF(AND(P111="",Q111=""),"",IF(AND(P111&lt;&gt;"",Q111=""),"UNRECORDED",IF(AND(P111="",Q111&lt;&gt;""),"ORPHAN_RECORDED",IF(P111=Q111,"MATCH","MISMATCH"))))</f>
        <v/>
      </c>
      <c r="S111">
        <f>IF(OR(NOT(ISNUMBER(E111)),NOT(ISNUMBER(G111))),"",E111+G111)</f>
        <v/>
      </c>
      <c r="X111">
        <f>IF(A111="","",IF(AND(W111="Completed",OR(P111="Feasible",P111="Feasible with verified support")),"Completed feasible",IF(OR(P111="Not feasible",W111="Stopped before rating",W111="Aborted during review"),"Infeasible or aborted","Incomplete")))</f>
        <v/>
      </c>
      <c r="Y111" s="303" t="n"/>
      <c r="Z111" s="303" t="n"/>
      <c r="AA111" s="303" t="n"/>
      <c r="AB111" s="303" t="n"/>
      <c r="AC111" s="303" t="n"/>
      <c r="AD111" s="303">
        <f>IF(COUNTA(A111:O111)+COUNTA(Q111)+COUNTA(T111:W111)+COUNTA(Y111:AC111)=0,"",IF(AND(COUNTIF(Vocabulary!$J$5:$J$6,L111)=1,COUNTIF(Vocabulary!$J$5:$J$6,M111)=1,COUNTIF(Vocabulary!$J$5:$J$6,N111)=1,COUNTIF(Vocabulary!$J$5:$J$6,Y111)=1,COUNTIF(Vocabulary!$J$5:$J$6,Z111)=1,COUNTIF(Vocabulary!$J$5:$J$6,AA111)=1,COUNTIF(Vocabulary!$J$5:$J$6,AB111)=1,COUNTIF(Vocabulary!$J$5:$J$6,AC111)=1),"OK","UNRECOGNISED_BURDEN_VALUE"))</f>
        <v/>
      </c>
    </row>
    <row r="112">
      <c r="P112">
        <f>IF(COUNTA(A112:O112)+COUNTA(Q112)+COUNTA(T112:W112)+COUNTA(Y112:AC112)=0,"",IF(OR(NOT(ISNUMBER(D112)),NOT(ISNUMBER(E112)),NOT(ISNUMBER(F112)),NOT(ISNUMBER(G112)),NOT(ISNUMBER(H112)),NOT(ISNUMBER(I112)),NOT(ISNUMBER(J112)),NOT(ISNUMBER(K112)),AD112&lt;&gt;"OK"),"Not feasible",IF(OR(D112&lt;E112,F112&lt;G112,H112&lt;I112,J112&lt;K112,AND(L112="Yes",OR(M112&lt;&gt;"Yes",N112&lt;&gt;"Yes")),AND(Y112="Yes",OR(Z112&lt;&gt;"Yes",AA112&lt;&gt;"Yes")),AB112&lt;&gt;"Yes",AC112&lt;&gt;"Yes"),"Not feasible",IF(OR(L112="Yes",Y112="Yes"),"Feasible with verified support","Feasible"))))</f>
        <v/>
      </c>
      <c r="R112">
        <f>IF(AND(P112="",Q112=""),"",IF(AND(P112&lt;&gt;"",Q112=""),"UNRECORDED",IF(AND(P112="",Q112&lt;&gt;""),"ORPHAN_RECORDED",IF(P112=Q112,"MATCH","MISMATCH"))))</f>
        <v/>
      </c>
      <c r="S112">
        <f>IF(OR(NOT(ISNUMBER(E112)),NOT(ISNUMBER(G112))),"",E112+G112)</f>
        <v/>
      </c>
      <c r="X112">
        <f>IF(A112="","",IF(AND(W112="Completed",OR(P112="Feasible",P112="Feasible with verified support")),"Completed feasible",IF(OR(P112="Not feasible",W112="Stopped before rating",W112="Aborted during review"),"Infeasible or aborted","Incomplete")))</f>
        <v/>
      </c>
      <c r="Y112" s="303" t="n"/>
      <c r="Z112" s="303" t="n"/>
      <c r="AA112" s="303" t="n"/>
      <c r="AB112" s="303" t="n"/>
      <c r="AC112" s="303" t="n"/>
      <c r="AD112" s="303">
        <f>IF(COUNTA(A112:O112)+COUNTA(Q112)+COUNTA(T112:W112)+COUNTA(Y112:AC112)=0,"",IF(AND(COUNTIF(Vocabulary!$J$5:$J$6,L112)=1,COUNTIF(Vocabulary!$J$5:$J$6,M112)=1,COUNTIF(Vocabulary!$J$5:$J$6,N112)=1,COUNTIF(Vocabulary!$J$5:$J$6,Y112)=1,COUNTIF(Vocabulary!$J$5:$J$6,Z112)=1,COUNTIF(Vocabulary!$J$5:$J$6,AA112)=1,COUNTIF(Vocabulary!$J$5:$J$6,AB112)=1,COUNTIF(Vocabulary!$J$5:$J$6,AC112)=1),"OK","UNRECOGNISED_BURDEN_VALUE"))</f>
        <v/>
      </c>
    </row>
    <row r="113">
      <c r="P113">
        <f>IF(COUNTA(A113:O113)+COUNTA(Q113)+COUNTA(T113:W113)+COUNTA(Y113:AC113)=0,"",IF(OR(NOT(ISNUMBER(D113)),NOT(ISNUMBER(E113)),NOT(ISNUMBER(F113)),NOT(ISNUMBER(G113)),NOT(ISNUMBER(H113)),NOT(ISNUMBER(I113)),NOT(ISNUMBER(J113)),NOT(ISNUMBER(K113)),AD113&lt;&gt;"OK"),"Not feasible",IF(OR(D113&lt;E113,F113&lt;G113,H113&lt;I113,J113&lt;K113,AND(L113="Yes",OR(M113&lt;&gt;"Yes",N113&lt;&gt;"Yes")),AND(Y113="Yes",OR(Z113&lt;&gt;"Yes",AA113&lt;&gt;"Yes")),AB113&lt;&gt;"Yes",AC113&lt;&gt;"Yes"),"Not feasible",IF(OR(L113="Yes",Y113="Yes"),"Feasible with verified support","Feasible"))))</f>
        <v/>
      </c>
      <c r="R113">
        <f>IF(AND(P113="",Q113=""),"",IF(AND(P113&lt;&gt;"",Q113=""),"UNRECORDED",IF(AND(P113="",Q113&lt;&gt;""),"ORPHAN_RECORDED",IF(P113=Q113,"MATCH","MISMATCH"))))</f>
        <v/>
      </c>
      <c r="S113">
        <f>IF(OR(NOT(ISNUMBER(E113)),NOT(ISNUMBER(G113))),"",E113+G113)</f>
        <v/>
      </c>
      <c r="X113">
        <f>IF(A113="","",IF(AND(W113="Completed",OR(P113="Feasible",P113="Feasible with verified support")),"Completed feasible",IF(OR(P113="Not feasible",W113="Stopped before rating",W113="Aborted during review"),"Infeasible or aborted","Incomplete")))</f>
        <v/>
      </c>
      <c r="Y113" s="303" t="n"/>
      <c r="Z113" s="303" t="n"/>
      <c r="AA113" s="303" t="n"/>
      <c r="AB113" s="303" t="n"/>
      <c r="AC113" s="303" t="n"/>
      <c r="AD113" s="303">
        <f>IF(COUNTA(A113:O113)+COUNTA(Q113)+COUNTA(T113:W113)+COUNTA(Y113:AC113)=0,"",IF(AND(COUNTIF(Vocabulary!$J$5:$J$6,L113)=1,COUNTIF(Vocabulary!$J$5:$J$6,M113)=1,COUNTIF(Vocabulary!$J$5:$J$6,N113)=1,COUNTIF(Vocabulary!$J$5:$J$6,Y113)=1,COUNTIF(Vocabulary!$J$5:$J$6,Z113)=1,COUNTIF(Vocabulary!$J$5:$J$6,AA113)=1,COUNTIF(Vocabulary!$J$5:$J$6,AB113)=1,COUNTIF(Vocabulary!$J$5:$J$6,AC113)=1),"OK","UNRECOGNISED_BURDEN_VALUE"))</f>
        <v/>
      </c>
    </row>
    <row r="114">
      <c r="P114">
        <f>IF(COUNTA(A114:O114)+COUNTA(Q114)+COUNTA(T114:W114)+COUNTA(Y114:AC114)=0,"",IF(OR(NOT(ISNUMBER(D114)),NOT(ISNUMBER(E114)),NOT(ISNUMBER(F114)),NOT(ISNUMBER(G114)),NOT(ISNUMBER(H114)),NOT(ISNUMBER(I114)),NOT(ISNUMBER(J114)),NOT(ISNUMBER(K114)),AD114&lt;&gt;"OK"),"Not feasible",IF(OR(D114&lt;E114,F114&lt;G114,H114&lt;I114,J114&lt;K114,AND(L114="Yes",OR(M114&lt;&gt;"Yes",N114&lt;&gt;"Yes")),AND(Y114="Yes",OR(Z114&lt;&gt;"Yes",AA114&lt;&gt;"Yes")),AB114&lt;&gt;"Yes",AC114&lt;&gt;"Yes"),"Not feasible",IF(OR(L114="Yes",Y114="Yes"),"Feasible with verified support","Feasible"))))</f>
        <v/>
      </c>
      <c r="R114">
        <f>IF(AND(P114="",Q114=""),"",IF(AND(P114&lt;&gt;"",Q114=""),"UNRECORDED",IF(AND(P114="",Q114&lt;&gt;""),"ORPHAN_RECORDED",IF(P114=Q114,"MATCH","MISMATCH"))))</f>
        <v/>
      </c>
      <c r="S114">
        <f>IF(OR(NOT(ISNUMBER(E114)),NOT(ISNUMBER(G114))),"",E114+G114)</f>
        <v/>
      </c>
      <c r="X114">
        <f>IF(A114="","",IF(AND(W114="Completed",OR(P114="Feasible",P114="Feasible with verified support")),"Completed feasible",IF(OR(P114="Not feasible",W114="Stopped before rating",W114="Aborted during review"),"Infeasible or aborted","Incomplete")))</f>
        <v/>
      </c>
      <c r="Y114" s="303" t="n"/>
      <c r="Z114" s="303" t="n"/>
      <c r="AA114" s="303" t="n"/>
      <c r="AB114" s="303" t="n"/>
      <c r="AC114" s="303" t="n"/>
      <c r="AD114" s="303">
        <f>IF(COUNTA(A114:O114)+COUNTA(Q114)+COUNTA(T114:W114)+COUNTA(Y114:AC114)=0,"",IF(AND(COUNTIF(Vocabulary!$J$5:$J$6,L114)=1,COUNTIF(Vocabulary!$J$5:$J$6,M114)=1,COUNTIF(Vocabulary!$J$5:$J$6,N114)=1,COUNTIF(Vocabulary!$J$5:$J$6,Y114)=1,COUNTIF(Vocabulary!$J$5:$J$6,Z114)=1,COUNTIF(Vocabulary!$J$5:$J$6,AA114)=1,COUNTIF(Vocabulary!$J$5:$J$6,AB114)=1,COUNTIF(Vocabulary!$J$5:$J$6,AC114)=1),"OK","UNRECOGNISED_BURDEN_VALUE"))</f>
        <v/>
      </c>
    </row>
    <row r="115">
      <c r="P115">
        <f>IF(COUNTA(A115:O115)+COUNTA(Q115)+COUNTA(T115:W115)+COUNTA(Y115:AC115)=0,"",IF(OR(NOT(ISNUMBER(D115)),NOT(ISNUMBER(E115)),NOT(ISNUMBER(F115)),NOT(ISNUMBER(G115)),NOT(ISNUMBER(H115)),NOT(ISNUMBER(I115)),NOT(ISNUMBER(J115)),NOT(ISNUMBER(K115)),AD115&lt;&gt;"OK"),"Not feasible",IF(OR(D115&lt;E115,F115&lt;G115,H115&lt;I115,J115&lt;K115,AND(L115="Yes",OR(M115&lt;&gt;"Yes",N115&lt;&gt;"Yes")),AND(Y115="Yes",OR(Z115&lt;&gt;"Yes",AA115&lt;&gt;"Yes")),AB115&lt;&gt;"Yes",AC115&lt;&gt;"Yes"),"Not feasible",IF(OR(L115="Yes",Y115="Yes"),"Feasible with verified support","Feasible"))))</f>
        <v/>
      </c>
      <c r="R115">
        <f>IF(AND(P115="",Q115=""),"",IF(AND(P115&lt;&gt;"",Q115=""),"UNRECORDED",IF(AND(P115="",Q115&lt;&gt;""),"ORPHAN_RECORDED",IF(P115=Q115,"MATCH","MISMATCH"))))</f>
        <v/>
      </c>
      <c r="S115">
        <f>IF(OR(NOT(ISNUMBER(E115)),NOT(ISNUMBER(G115))),"",E115+G115)</f>
        <v/>
      </c>
      <c r="X115">
        <f>IF(A115="","",IF(AND(W115="Completed",OR(P115="Feasible",P115="Feasible with verified support")),"Completed feasible",IF(OR(P115="Not feasible",W115="Stopped before rating",W115="Aborted during review"),"Infeasible or aborted","Incomplete")))</f>
        <v/>
      </c>
      <c r="Y115" s="303" t="n"/>
      <c r="Z115" s="303" t="n"/>
      <c r="AA115" s="303" t="n"/>
      <c r="AB115" s="303" t="n"/>
      <c r="AC115" s="303" t="n"/>
      <c r="AD115" s="303">
        <f>IF(COUNTA(A115:O115)+COUNTA(Q115)+COUNTA(T115:W115)+COUNTA(Y115:AC115)=0,"",IF(AND(COUNTIF(Vocabulary!$J$5:$J$6,L115)=1,COUNTIF(Vocabulary!$J$5:$J$6,M115)=1,COUNTIF(Vocabulary!$J$5:$J$6,N115)=1,COUNTIF(Vocabulary!$J$5:$J$6,Y115)=1,COUNTIF(Vocabulary!$J$5:$J$6,Z115)=1,COUNTIF(Vocabulary!$J$5:$J$6,AA115)=1,COUNTIF(Vocabulary!$J$5:$J$6,AB115)=1,COUNTIF(Vocabulary!$J$5:$J$6,AC115)=1),"OK","UNRECOGNISED_BURDEN_VALUE"))</f>
        <v/>
      </c>
    </row>
    <row r="116">
      <c r="P116">
        <f>IF(COUNTA(A116:O116)+COUNTA(Q116)+COUNTA(T116:W116)+COUNTA(Y116:AC116)=0,"",IF(OR(NOT(ISNUMBER(D116)),NOT(ISNUMBER(E116)),NOT(ISNUMBER(F116)),NOT(ISNUMBER(G116)),NOT(ISNUMBER(H116)),NOT(ISNUMBER(I116)),NOT(ISNUMBER(J116)),NOT(ISNUMBER(K116)),AD116&lt;&gt;"OK"),"Not feasible",IF(OR(D116&lt;E116,F116&lt;G116,H116&lt;I116,J116&lt;K116,AND(L116="Yes",OR(M116&lt;&gt;"Yes",N116&lt;&gt;"Yes")),AND(Y116="Yes",OR(Z116&lt;&gt;"Yes",AA116&lt;&gt;"Yes")),AB116&lt;&gt;"Yes",AC116&lt;&gt;"Yes"),"Not feasible",IF(OR(L116="Yes",Y116="Yes"),"Feasible with verified support","Feasible"))))</f>
        <v/>
      </c>
      <c r="R116">
        <f>IF(AND(P116="",Q116=""),"",IF(AND(P116&lt;&gt;"",Q116=""),"UNRECORDED",IF(AND(P116="",Q116&lt;&gt;""),"ORPHAN_RECORDED",IF(P116=Q116,"MATCH","MISMATCH"))))</f>
        <v/>
      </c>
      <c r="S116">
        <f>IF(OR(NOT(ISNUMBER(E116)),NOT(ISNUMBER(G116))),"",E116+G116)</f>
        <v/>
      </c>
      <c r="X116">
        <f>IF(A116="","",IF(AND(W116="Completed",OR(P116="Feasible",P116="Feasible with verified support")),"Completed feasible",IF(OR(P116="Not feasible",W116="Stopped before rating",W116="Aborted during review"),"Infeasible or aborted","Incomplete")))</f>
        <v/>
      </c>
      <c r="Y116" s="303" t="n"/>
      <c r="Z116" s="303" t="n"/>
      <c r="AA116" s="303" t="n"/>
      <c r="AB116" s="303" t="n"/>
      <c r="AC116" s="303" t="n"/>
      <c r="AD116" s="303">
        <f>IF(COUNTA(A116:O116)+COUNTA(Q116)+COUNTA(T116:W116)+COUNTA(Y116:AC116)=0,"",IF(AND(COUNTIF(Vocabulary!$J$5:$J$6,L116)=1,COUNTIF(Vocabulary!$J$5:$J$6,M116)=1,COUNTIF(Vocabulary!$J$5:$J$6,N116)=1,COUNTIF(Vocabulary!$J$5:$J$6,Y116)=1,COUNTIF(Vocabulary!$J$5:$J$6,Z116)=1,COUNTIF(Vocabulary!$J$5:$J$6,AA116)=1,COUNTIF(Vocabulary!$J$5:$J$6,AB116)=1,COUNTIF(Vocabulary!$J$5:$J$6,AC116)=1),"OK","UNRECOGNISED_BURDEN_VALUE"))</f>
        <v/>
      </c>
    </row>
    <row r="117">
      <c r="P117">
        <f>IF(COUNTA(A117:O117)+COUNTA(Q117)+COUNTA(T117:W117)+COUNTA(Y117:AC117)=0,"",IF(OR(NOT(ISNUMBER(D117)),NOT(ISNUMBER(E117)),NOT(ISNUMBER(F117)),NOT(ISNUMBER(G117)),NOT(ISNUMBER(H117)),NOT(ISNUMBER(I117)),NOT(ISNUMBER(J117)),NOT(ISNUMBER(K117)),AD117&lt;&gt;"OK"),"Not feasible",IF(OR(D117&lt;E117,F117&lt;G117,H117&lt;I117,J117&lt;K117,AND(L117="Yes",OR(M117&lt;&gt;"Yes",N117&lt;&gt;"Yes")),AND(Y117="Yes",OR(Z117&lt;&gt;"Yes",AA117&lt;&gt;"Yes")),AB117&lt;&gt;"Yes",AC117&lt;&gt;"Yes"),"Not feasible",IF(OR(L117="Yes",Y117="Yes"),"Feasible with verified support","Feasible"))))</f>
        <v/>
      </c>
      <c r="R117">
        <f>IF(AND(P117="",Q117=""),"",IF(AND(P117&lt;&gt;"",Q117=""),"UNRECORDED",IF(AND(P117="",Q117&lt;&gt;""),"ORPHAN_RECORDED",IF(P117=Q117,"MATCH","MISMATCH"))))</f>
        <v/>
      </c>
      <c r="S117">
        <f>IF(OR(NOT(ISNUMBER(E117)),NOT(ISNUMBER(G117))),"",E117+G117)</f>
        <v/>
      </c>
      <c r="X117">
        <f>IF(A117="","",IF(AND(W117="Completed",OR(P117="Feasible",P117="Feasible with verified support")),"Completed feasible",IF(OR(P117="Not feasible",W117="Stopped before rating",W117="Aborted during review"),"Infeasible or aborted","Incomplete")))</f>
        <v/>
      </c>
      <c r="Y117" s="303" t="n"/>
      <c r="Z117" s="303" t="n"/>
      <c r="AA117" s="303" t="n"/>
      <c r="AB117" s="303" t="n"/>
      <c r="AC117" s="303" t="n"/>
      <c r="AD117" s="303">
        <f>IF(COUNTA(A117:O117)+COUNTA(Q117)+COUNTA(T117:W117)+COUNTA(Y117:AC117)=0,"",IF(AND(COUNTIF(Vocabulary!$J$5:$J$6,L117)=1,COUNTIF(Vocabulary!$J$5:$J$6,M117)=1,COUNTIF(Vocabulary!$J$5:$J$6,N117)=1,COUNTIF(Vocabulary!$J$5:$J$6,Y117)=1,COUNTIF(Vocabulary!$J$5:$J$6,Z117)=1,COUNTIF(Vocabulary!$J$5:$J$6,AA117)=1,COUNTIF(Vocabulary!$J$5:$J$6,AB117)=1,COUNTIF(Vocabulary!$J$5:$J$6,AC117)=1),"OK","UNRECOGNISED_BURDEN_VALUE"))</f>
        <v/>
      </c>
    </row>
    <row r="118">
      <c r="P118">
        <f>IF(COUNTA(A118:O118)+COUNTA(Q118)+COUNTA(T118:W118)+COUNTA(Y118:AC118)=0,"",IF(OR(NOT(ISNUMBER(D118)),NOT(ISNUMBER(E118)),NOT(ISNUMBER(F118)),NOT(ISNUMBER(G118)),NOT(ISNUMBER(H118)),NOT(ISNUMBER(I118)),NOT(ISNUMBER(J118)),NOT(ISNUMBER(K118)),AD118&lt;&gt;"OK"),"Not feasible",IF(OR(D118&lt;E118,F118&lt;G118,H118&lt;I118,J118&lt;K118,AND(L118="Yes",OR(M118&lt;&gt;"Yes",N118&lt;&gt;"Yes")),AND(Y118="Yes",OR(Z118&lt;&gt;"Yes",AA118&lt;&gt;"Yes")),AB118&lt;&gt;"Yes",AC118&lt;&gt;"Yes"),"Not feasible",IF(OR(L118="Yes",Y118="Yes"),"Feasible with verified support","Feasible"))))</f>
        <v/>
      </c>
      <c r="R118">
        <f>IF(AND(P118="",Q118=""),"",IF(AND(P118&lt;&gt;"",Q118=""),"UNRECORDED",IF(AND(P118="",Q118&lt;&gt;""),"ORPHAN_RECORDED",IF(P118=Q118,"MATCH","MISMATCH"))))</f>
        <v/>
      </c>
      <c r="S118">
        <f>IF(OR(NOT(ISNUMBER(E118)),NOT(ISNUMBER(G118))),"",E118+G118)</f>
        <v/>
      </c>
      <c r="X118">
        <f>IF(A118="","",IF(AND(W118="Completed",OR(P118="Feasible",P118="Feasible with verified support")),"Completed feasible",IF(OR(P118="Not feasible",W118="Stopped before rating",W118="Aborted during review"),"Infeasible or aborted","Incomplete")))</f>
        <v/>
      </c>
      <c r="Y118" s="303" t="n"/>
      <c r="Z118" s="303" t="n"/>
      <c r="AA118" s="303" t="n"/>
      <c r="AB118" s="303" t="n"/>
      <c r="AC118" s="303" t="n"/>
      <c r="AD118" s="303">
        <f>IF(COUNTA(A118:O118)+COUNTA(Q118)+COUNTA(T118:W118)+COUNTA(Y118:AC118)=0,"",IF(AND(COUNTIF(Vocabulary!$J$5:$J$6,L118)=1,COUNTIF(Vocabulary!$J$5:$J$6,M118)=1,COUNTIF(Vocabulary!$J$5:$J$6,N118)=1,COUNTIF(Vocabulary!$J$5:$J$6,Y118)=1,COUNTIF(Vocabulary!$J$5:$J$6,Z118)=1,COUNTIF(Vocabulary!$J$5:$J$6,AA118)=1,COUNTIF(Vocabulary!$J$5:$J$6,AB118)=1,COUNTIF(Vocabulary!$J$5:$J$6,AC118)=1),"OK","UNRECOGNISED_BURDEN_VALUE"))</f>
        <v/>
      </c>
    </row>
    <row r="119">
      <c r="P119">
        <f>IF(COUNTA(A119:O119)+COUNTA(Q119)+COUNTA(T119:W119)+COUNTA(Y119:AC119)=0,"",IF(OR(NOT(ISNUMBER(D119)),NOT(ISNUMBER(E119)),NOT(ISNUMBER(F119)),NOT(ISNUMBER(G119)),NOT(ISNUMBER(H119)),NOT(ISNUMBER(I119)),NOT(ISNUMBER(J119)),NOT(ISNUMBER(K119)),AD119&lt;&gt;"OK"),"Not feasible",IF(OR(D119&lt;E119,F119&lt;G119,H119&lt;I119,J119&lt;K119,AND(L119="Yes",OR(M119&lt;&gt;"Yes",N119&lt;&gt;"Yes")),AND(Y119="Yes",OR(Z119&lt;&gt;"Yes",AA119&lt;&gt;"Yes")),AB119&lt;&gt;"Yes",AC119&lt;&gt;"Yes"),"Not feasible",IF(OR(L119="Yes",Y119="Yes"),"Feasible with verified support","Feasible"))))</f>
        <v/>
      </c>
      <c r="R119">
        <f>IF(AND(P119="",Q119=""),"",IF(AND(P119&lt;&gt;"",Q119=""),"UNRECORDED",IF(AND(P119="",Q119&lt;&gt;""),"ORPHAN_RECORDED",IF(P119=Q119,"MATCH","MISMATCH"))))</f>
        <v/>
      </c>
      <c r="S119">
        <f>IF(OR(NOT(ISNUMBER(E119)),NOT(ISNUMBER(G119))),"",E119+G119)</f>
        <v/>
      </c>
      <c r="X119">
        <f>IF(A119="","",IF(AND(W119="Completed",OR(P119="Feasible",P119="Feasible with verified support")),"Completed feasible",IF(OR(P119="Not feasible",W119="Stopped before rating",W119="Aborted during review"),"Infeasible or aborted","Incomplete")))</f>
        <v/>
      </c>
      <c r="Y119" s="303" t="n"/>
      <c r="Z119" s="303" t="n"/>
      <c r="AA119" s="303" t="n"/>
      <c r="AB119" s="303" t="n"/>
      <c r="AC119" s="303" t="n"/>
      <c r="AD119" s="303">
        <f>IF(COUNTA(A119:O119)+COUNTA(Q119)+COUNTA(T119:W119)+COUNTA(Y119:AC119)=0,"",IF(AND(COUNTIF(Vocabulary!$J$5:$J$6,L119)=1,COUNTIF(Vocabulary!$J$5:$J$6,M119)=1,COUNTIF(Vocabulary!$J$5:$J$6,N119)=1,COUNTIF(Vocabulary!$J$5:$J$6,Y119)=1,COUNTIF(Vocabulary!$J$5:$J$6,Z119)=1,COUNTIF(Vocabulary!$J$5:$J$6,AA119)=1,COUNTIF(Vocabulary!$J$5:$J$6,AB119)=1,COUNTIF(Vocabulary!$J$5:$J$6,AC119)=1),"OK","UNRECOGNISED_BURDEN_VALUE"))</f>
        <v/>
      </c>
    </row>
    <row r="120">
      <c r="P120">
        <f>IF(COUNTA(A120:O120)+COUNTA(Q120)+COUNTA(T120:W120)+COUNTA(Y120:AC120)=0,"",IF(OR(NOT(ISNUMBER(D120)),NOT(ISNUMBER(E120)),NOT(ISNUMBER(F120)),NOT(ISNUMBER(G120)),NOT(ISNUMBER(H120)),NOT(ISNUMBER(I120)),NOT(ISNUMBER(J120)),NOT(ISNUMBER(K120)),AD120&lt;&gt;"OK"),"Not feasible",IF(OR(D120&lt;E120,F120&lt;G120,H120&lt;I120,J120&lt;K120,AND(L120="Yes",OR(M120&lt;&gt;"Yes",N120&lt;&gt;"Yes")),AND(Y120="Yes",OR(Z120&lt;&gt;"Yes",AA120&lt;&gt;"Yes")),AB120&lt;&gt;"Yes",AC120&lt;&gt;"Yes"),"Not feasible",IF(OR(L120="Yes",Y120="Yes"),"Feasible with verified support","Feasible"))))</f>
        <v/>
      </c>
      <c r="R120">
        <f>IF(AND(P120="",Q120=""),"",IF(AND(P120&lt;&gt;"",Q120=""),"UNRECORDED",IF(AND(P120="",Q120&lt;&gt;""),"ORPHAN_RECORDED",IF(P120=Q120,"MATCH","MISMATCH"))))</f>
        <v/>
      </c>
      <c r="S120">
        <f>IF(OR(NOT(ISNUMBER(E120)),NOT(ISNUMBER(G120))),"",E120+G120)</f>
        <v/>
      </c>
      <c r="X120">
        <f>IF(A120="","",IF(AND(W120="Completed",OR(P120="Feasible",P120="Feasible with verified support")),"Completed feasible",IF(OR(P120="Not feasible",W120="Stopped before rating",W120="Aborted during review"),"Infeasible or aborted","Incomplete")))</f>
        <v/>
      </c>
      <c r="Y120" s="303" t="n"/>
      <c r="Z120" s="303" t="n"/>
      <c r="AA120" s="303" t="n"/>
      <c r="AB120" s="303" t="n"/>
      <c r="AC120" s="303" t="n"/>
      <c r="AD120" s="303">
        <f>IF(COUNTA(A120:O120)+COUNTA(Q120)+COUNTA(T120:W120)+COUNTA(Y120:AC120)=0,"",IF(AND(COUNTIF(Vocabulary!$J$5:$J$6,L120)=1,COUNTIF(Vocabulary!$J$5:$J$6,M120)=1,COUNTIF(Vocabulary!$J$5:$J$6,N120)=1,COUNTIF(Vocabulary!$J$5:$J$6,Y120)=1,COUNTIF(Vocabulary!$J$5:$J$6,Z120)=1,COUNTIF(Vocabulary!$J$5:$J$6,AA120)=1,COUNTIF(Vocabulary!$J$5:$J$6,AB120)=1,COUNTIF(Vocabulary!$J$5:$J$6,AC120)=1),"OK","UNRECOGNISED_BURDEN_VALUE"))</f>
        <v/>
      </c>
    </row>
    <row r="121">
      <c r="P121">
        <f>IF(COUNTA(A121:O121)+COUNTA(Q121)+COUNTA(T121:W121)+COUNTA(Y121:AC121)=0,"",IF(OR(NOT(ISNUMBER(D121)),NOT(ISNUMBER(E121)),NOT(ISNUMBER(F121)),NOT(ISNUMBER(G121)),NOT(ISNUMBER(H121)),NOT(ISNUMBER(I121)),NOT(ISNUMBER(J121)),NOT(ISNUMBER(K121)),AD121&lt;&gt;"OK"),"Not feasible",IF(OR(D121&lt;E121,F121&lt;G121,H121&lt;I121,J121&lt;K121,AND(L121="Yes",OR(M121&lt;&gt;"Yes",N121&lt;&gt;"Yes")),AND(Y121="Yes",OR(Z121&lt;&gt;"Yes",AA121&lt;&gt;"Yes")),AB121&lt;&gt;"Yes",AC121&lt;&gt;"Yes"),"Not feasible",IF(OR(L121="Yes",Y121="Yes"),"Feasible with verified support","Feasible"))))</f>
        <v/>
      </c>
      <c r="R121">
        <f>IF(AND(P121="",Q121=""),"",IF(AND(P121&lt;&gt;"",Q121=""),"UNRECORDED",IF(AND(P121="",Q121&lt;&gt;""),"ORPHAN_RECORDED",IF(P121=Q121,"MATCH","MISMATCH"))))</f>
        <v/>
      </c>
      <c r="S121">
        <f>IF(OR(NOT(ISNUMBER(E121)),NOT(ISNUMBER(G121))),"",E121+G121)</f>
        <v/>
      </c>
      <c r="X121">
        <f>IF(A121="","",IF(AND(W121="Completed",OR(P121="Feasible",P121="Feasible with verified support")),"Completed feasible",IF(OR(P121="Not feasible",W121="Stopped before rating",W121="Aborted during review"),"Infeasible or aborted","Incomplete")))</f>
        <v/>
      </c>
      <c r="Y121" s="303" t="n"/>
      <c r="Z121" s="303" t="n"/>
      <c r="AA121" s="303" t="n"/>
      <c r="AB121" s="303" t="n"/>
      <c r="AC121" s="303" t="n"/>
      <c r="AD121" s="303">
        <f>IF(COUNTA(A121:O121)+COUNTA(Q121)+COUNTA(T121:W121)+COUNTA(Y121:AC121)=0,"",IF(AND(COUNTIF(Vocabulary!$J$5:$J$6,L121)=1,COUNTIF(Vocabulary!$J$5:$J$6,M121)=1,COUNTIF(Vocabulary!$J$5:$J$6,N121)=1,COUNTIF(Vocabulary!$J$5:$J$6,Y121)=1,COUNTIF(Vocabulary!$J$5:$J$6,Z121)=1,COUNTIF(Vocabulary!$J$5:$J$6,AA121)=1,COUNTIF(Vocabulary!$J$5:$J$6,AB121)=1,COUNTIF(Vocabulary!$J$5:$J$6,AC121)=1),"OK","UNRECOGNISED_BURDEN_VALUE"))</f>
        <v/>
      </c>
    </row>
    <row r="122">
      <c r="P122">
        <f>IF(COUNTA(A122:O122)+COUNTA(Q122)+COUNTA(T122:W122)+COUNTA(Y122:AC122)=0,"",IF(OR(NOT(ISNUMBER(D122)),NOT(ISNUMBER(E122)),NOT(ISNUMBER(F122)),NOT(ISNUMBER(G122)),NOT(ISNUMBER(H122)),NOT(ISNUMBER(I122)),NOT(ISNUMBER(J122)),NOT(ISNUMBER(K122)),AD122&lt;&gt;"OK"),"Not feasible",IF(OR(D122&lt;E122,F122&lt;G122,H122&lt;I122,J122&lt;K122,AND(L122="Yes",OR(M122&lt;&gt;"Yes",N122&lt;&gt;"Yes")),AND(Y122="Yes",OR(Z122&lt;&gt;"Yes",AA122&lt;&gt;"Yes")),AB122&lt;&gt;"Yes",AC122&lt;&gt;"Yes"),"Not feasible",IF(OR(L122="Yes",Y122="Yes"),"Feasible with verified support","Feasible"))))</f>
        <v/>
      </c>
      <c r="R122">
        <f>IF(AND(P122="",Q122=""),"",IF(AND(P122&lt;&gt;"",Q122=""),"UNRECORDED",IF(AND(P122="",Q122&lt;&gt;""),"ORPHAN_RECORDED",IF(P122=Q122,"MATCH","MISMATCH"))))</f>
        <v/>
      </c>
      <c r="S122">
        <f>IF(OR(NOT(ISNUMBER(E122)),NOT(ISNUMBER(G122))),"",E122+G122)</f>
        <v/>
      </c>
      <c r="X122">
        <f>IF(A122="","",IF(AND(W122="Completed",OR(P122="Feasible",P122="Feasible with verified support")),"Completed feasible",IF(OR(P122="Not feasible",W122="Stopped before rating",W122="Aborted during review"),"Infeasible or aborted","Incomplete")))</f>
        <v/>
      </c>
      <c r="Y122" s="303" t="n"/>
      <c r="Z122" s="303" t="n"/>
      <c r="AA122" s="303" t="n"/>
      <c r="AB122" s="303" t="n"/>
      <c r="AC122" s="303" t="n"/>
      <c r="AD122" s="303">
        <f>IF(COUNTA(A122:O122)+COUNTA(Q122)+COUNTA(T122:W122)+COUNTA(Y122:AC122)=0,"",IF(AND(COUNTIF(Vocabulary!$J$5:$J$6,L122)=1,COUNTIF(Vocabulary!$J$5:$J$6,M122)=1,COUNTIF(Vocabulary!$J$5:$J$6,N122)=1,COUNTIF(Vocabulary!$J$5:$J$6,Y122)=1,COUNTIF(Vocabulary!$J$5:$J$6,Z122)=1,COUNTIF(Vocabulary!$J$5:$J$6,AA122)=1,COUNTIF(Vocabulary!$J$5:$J$6,AB122)=1,COUNTIF(Vocabulary!$J$5:$J$6,AC122)=1),"OK","UNRECOGNISED_BURDEN_VALUE"))</f>
        <v/>
      </c>
    </row>
    <row r="123">
      <c r="P123">
        <f>IF(COUNTA(A123:O123)+COUNTA(Q123)+COUNTA(T123:W123)+COUNTA(Y123:AC123)=0,"",IF(OR(NOT(ISNUMBER(D123)),NOT(ISNUMBER(E123)),NOT(ISNUMBER(F123)),NOT(ISNUMBER(G123)),NOT(ISNUMBER(H123)),NOT(ISNUMBER(I123)),NOT(ISNUMBER(J123)),NOT(ISNUMBER(K123)),AD123&lt;&gt;"OK"),"Not feasible",IF(OR(D123&lt;E123,F123&lt;G123,H123&lt;I123,J123&lt;K123,AND(L123="Yes",OR(M123&lt;&gt;"Yes",N123&lt;&gt;"Yes")),AND(Y123="Yes",OR(Z123&lt;&gt;"Yes",AA123&lt;&gt;"Yes")),AB123&lt;&gt;"Yes",AC123&lt;&gt;"Yes"),"Not feasible",IF(OR(L123="Yes",Y123="Yes"),"Feasible with verified support","Feasible"))))</f>
        <v/>
      </c>
      <c r="R123">
        <f>IF(AND(P123="",Q123=""),"",IF(AND(P123&lt;&gt;"",Q123=""),"UNRECORDED",IF(AND(P123="",Q123&lt;&gt;""),"ORPHAN_RECORDED",IF(P123=Q123,"MATCH","MISMATCH"))))</f>
        <v/>
      </c>
      <c r="S123">
        <f>IF(OR(NOT(ISNUMBER(E123)),NOT(ISNUMBER(G123))),"",E123+G123)</f>
        <v/>
      </c>
      <c r="X123">
        <f>IF(A123="","",IF(AND(W123="Completed",OR(P123="Feasible",P123="Feasible with verified support")),"Completed feasible",IF(OR(P123="Not feasible",W123="Stopped before rating",W123="Aborted during review"),"Infeasible or aborted","Incomplete")))</f>
        <v/>
      </c>
      <c r="Y123" s="303" t="n"/>
      <c r="Z123" s="303" t="n"/>
      <c r="AA123" s="303" t="n"/>
      <c r="AB123" s="303" t="n"/>
      <c r="AC123" s="303" t="n"/>
      <c r="AD123" s="303">
        <f>IF(COUNTA(A123:O123)+COUNTA(Q123)+COUNTA(T123:W123)+COUNTA(Y123:AC123)=0,"",IF(AND(COUNTIF(Vocabulary!$J$5:$J$6,L123)=1,COUNTIF(Vocabulary!$J$5:$J$6,M123)=1,COUNTIF(Vocabulary!$J$5:$J$6,N123)=1,COUNTIF(Vocabulary!$J$5:$J$6,Y123)=1,COUNTIF(Vocabulary!$J$5:$J$6,Z123)=1,COUNTIF(Vocabulary!$J$5:$J$6,AA123)=1,COUNTIF(Vocabulary!$J$5:$J$6,AB123)=1,COUNTIF(Vocabulary!$J$5:$J$6,AC123)=1),"OK","UNRECOGNISED_BURDEN_VALUE"))</f>
        <v/>
      </c>
    </row>
    <row r="124">
      <c r="P124">
        <f>IF(COUNTA(A124:O124)+COUNTA(Q124)+COUNTA(T124:W124)+COUNTA(Y124:AC124)=0,"",IF(OR(NOT(ISNUMBER(D124)),NOT(ISNUMBER(E124)),NOT(ISNUMBER(F124)),NOT(ISNUMBER(G124)),NOT(ISNUMBER(H124)),NOT(ISNUMBER(I124)),NOT(ISNUMBER(J124)),NOT(ISNUMBER(K124)),AD124&lt;&gt;"OK"),"Not feasible",IF(OR(D124&lt;E124,F124&lt;G124,H124&lt;I124,J124&lt;K124,AND(L124="Yes",OR(M124&lt;&gt;"Yes",N124&lt;&gt;"Yes")),AND(Y124="Yes",OR(Z124&lt;&gt;"Yes",AA124&lt;&gt;"Yes")),AB124&lt;&gt;"Yes",AC124&lt;&gt;"Yes"),"Not feasible",IF(OR(L124="Yes",Y124="Yes"),"Feasible with verified support","Feasible"))))</f>
        <v/>
      </c>
      <c r="R124">
        <f>IF(AND(P124="",Q124=""),"",IF(AND(P124&lt;&gt;"",Q124=""),"UNRECORDED",IF(AND(P124="",Q124&lt;&gt;""),"ORPHAN_RECORDED",IF(P124=Q124,"MATCH","MISMATCH"))))</f>
        <v/>
      </c>
      <c r="S124">
        <f>IF(OR(NOT(ISNUMBER(E124)),NOT(ISNUMBER(G124))),"",E124+G124)</f>
        <v/>
      </c>
      <c r="X124">
        <f>IF(A124="","",IF(AND(W124="Completed",OR(P124="Feasible",P124="Feasible with verified support")),"Completed feasible",IF(OR(P124="Not feasible",W124="Stopped before rating",W124="Aborted during review"),"Infeasible or aborted","Incomplete")))</f>
        <v/>
      </c>
      <c r="Y124" s="303" t="n"/>
      <c r="Z124" s="303" t="n"/>
      <c r="AA124" s="303" t="n"/>
      <c r="AB124" s="303" t="n"/>
      <c r="AC124" s="303" t="n"/>
      <c r="AD124" s="303">
        <f>IF(COUNTA(A124:O124)+COUNTA(Q124)+COUNTA(T124:W124)+COUNTA(Y124:AC124)=0,"",IF(AND(COUNTIF(Vocabulary!$J$5:$J$6,L124)=1,COUNTIF(Vocabulary!$J$5:$J$6,M124)=1,COUNTIF(Vocabulary!$J$5:$J$6,N124)=1,COUNTIF(Vocabulary!$J$5:$J$6,Y124)=1,COUNTIF(Vocabulary!$J$5:$J$6,Z124)=1,COUNTIF(Vocabulary!$J$5:$J$6,AA124)=1,COUNTIF(Vocabulary!$J$5:$J$6,AB124)=1,COUNTIF(Vocabulary!$J$5:$J$6,AC124)=1),"OK","UNRECOGNISED_BURDEN_VALUE"))</f>
        <v/>
      </c>
    </row>
    <row r="125">
      <c r="P125">
        <f>IF(COUNTA(A125:O125)+COUNTA(Q125)+COUNTA(T125:W125)+COUNTA(Y125:AC125)=0,"",IF(OR(NOT(ISNUMBER(D125)),NOT(ISNUMBER(E125)),NOT(ISNUMBER(F125)),NOT(ISNUMBER(G125)),NOT(ISNUMBER(H125)),NOT(ISNUMBER(I125)),NOT(ISNUMBER(J125)),NOT(ISNUMBER(K125)),AD125&lt;&gt;"OK"),"Not feasible",IF(OR(D125&lt;E125,F125&lt;G125,H125&lt;I125,J125&lt;K125,AND(L125="Yes",OR(M125&lt;&gt;"Yes",N125&lt;&gt;"Yes")),AND(Y125="Yes",OR(Z125&lt;&gt;"Yes",AA125&lt;&gt;"Yes")),AB125&lt;&gt;"Yes",AC125&lt;&gt;"Yes"),"Not feasible",IF(OR(L125="Yes",Y125="Yes"),"Feasible with verified support","Feasible"))))</f>
        <v/>
      </c>
      <c r="R125">
        <f>IF(AND(P125="",Q125=""),"",IF(AND(P125&lt;&gt;"",Q125=""),"UNRECORDED",IF(AND(P125="",Q125&lt;&gt;""),"ORPHAN_RECORDED",IF(P125=Q125,"MATCH","MISMATCH"))))</f>
        <v/>
      </c>
      <c r="S125">
        <f>IF(OR(NOT(ISNUMBER(E125)),NOT(ISNUMBER(G125))),"",E125+G125)</f>
        <v/>
      </c>
      <c r="X125">
        <f>IF(A125="","",IF(AND(W125="Completed",OR(P125="Feasible",P125="Feasible with verified support")),"Completed feasible",IF(OR(P125="Not feasible",W125="Stopped before rating",W125="Aborted during review"),"Infeasible or aborted","Incomplete")))</f>
        <v/>
      </c>
      <c r="Y125" s="303" t="n"/>
      <c r="Z125" s="303" t="n"/>
      <c r="AA125" s="303" t="n"/>
      <c r="AB125" s="303" t="n"/>
      <c r="AC125" s="303" t="n"/>
      <c r="AD125" s="303">
        <f>IF(COUNTA(A125:O125)+COUNTA(Q125)+COUNTA(T125:W125)+COUNTA(Y125:AC125)=0,"",IF(AND(COUNTIF(Vocabulary!$J$5:$J$6,L125)=1,COUNTIF(Vocabulary!$J$5:$J$6,M125)=1,COUNTIF(Vocabulary!$J$5:$J$6,N125)=1,COUNTIF(Vocabulary!$J$5:$J$6,Y125)=1,COUNTIF(Vocabulary!$J$5:$J$6,Z125)=1,COUNTIF(Vocabulary!$J$5:$J$6,AA125)=1,COUNTIF(Vocabulary!$J$5:$J$6,AB125)=1,COUNTIF(Vocabulary!$J$5:$J$6,AC125)=1),"OK","UNRECOGNISED_BURDEN_VALUE"))</f>
        <v/>
      </c>
    </row>
    <row r="126">
      <c r="P126">
        <f>IF(COUNTA(A126:O126)+COUNTA(Q126)+COUNTA(T126:W126)+COUNTA(Y126:AC126)=0,"",IF(OR(NOT(ISNUMBER(D126)),NOT(ISNUMBER(E126)),NOT(ISNUMBER(F126)),NOT(ISNUMBER(G126)),NOT(ISNUMBER(H126)),NOT(ISNUMBER(I126)),NOT(ISNUMBER(J126)),NOT(ISNUMBER(K126)),AD126&lt;&gt;"OK"),"Not feasible",IF(OR(D126&lt;E126,F126&lt;G126,H126&lt;I126,J126&lt;K126,AND(L126="Yes",OR(M126&lt;&gt;"Yes",N126&lt;&gt;"Yes")),AND(Y126="Yes",OR(Z126&lt;&gt;"Yes",AA126&lt;&gt;"Yes")),AB126&lt;&gt;"Yes",AC126&lt;&gt;"Yes"),"Not feasible",IF(OR(L126="Yes",Y126="Yes"),"Feasible with verified support","Feasible"))))</f>
        <v/>
      </c>
      <c r="R126">
        <f>IF(AND(P126="",Q126=""),"",IF(AND(P126&lt;&gt;"",Q126=""),"UNRECORDED",IF(AND(P126="",Q126&lt;&gt;""),"ORPHAN_RECORDED",IF(P126=Q126,"MATCH","MISMATCH"))))</f>
        <v/>
      </c>
      <c r="S126">
        <f>IF(OR(NOT(ISNUMBER(E126)),NOT(ISNUMBER(G126))),"",E126+G126)</f>
        <v/>
      </c>
      <c r="X126">
        <f>IF(A126="","",IF(AND(W126="Completed",OR(P126="Feasible",P126="Feasible with verified support")),"Completed feasible",IF(OR(P126="Not feasible",W126="Stopped before rating",W126="Aborted during review"),"Infeasible or aborted","Incomplete")))</f>
        <v/>
      </c>
      <c r="Y126" s="303" t="n"/>
      <c r="Z126" s="303" t="n"/>
      <c r="AA126" s="303" t="n"/>
      <c r="AB126" s="303" t="n"/>
      <c r="AC126" s="303" t="n"/>
      <c r="AD126" s="303">
        <f>IF(COUNTA(A126:O126)+COUNTA(Q126)+COUNTA(T126:W126)+COUNTA(Y126:AC126)=0,"",IF(AND(COUNTIF(Vocabulary!$J$5:$J$6,L126)=1,COUNTIF(Vocabulary!$J$5:$J$6,M126)=1,COUNTIF(Vocabulary!$J$5:$J$6,N126)=1,COUNTIF(Vocabulary!$J$5:$J$6,Y126)=1,COUNTIF(Vocabulary!$J$5:$J$6,Z126)=1,COUNTIF(Vocabulary!$J$5:$J$6,AA126)=1,COUNTIF(Vocabulary!$J$5:$J$6,AB126)=1,COUNTIF(Vocabulary!$J$5:$J$6,AC126)=1),"OK","UNRECOGNISED_BURDEN_VALUE"))</f>
        <v/>
      </c>
    </row>
    <row r="127">
      <c r="P127">
        <f>IF(COUNTA(A127:O127)+COUNTA(Q127)+COUNTA(T127:W127)+COUNTA(Y127:AC127)=0,"",IF(OR(NOT(ISNUMBER(D127)),NOT(ISNUMBER(E127)),NOT(ISNUMBER(F127)),NOT(ISNUMBER(G127)),NOT(ISNUMBER(H127)),NOT(ISNUMBER(I127)),NOT(ISNUMBER(J127)),NOT(ISNUMBER(K127)),AD127&lt;&gt;"OK"),"Not feasible",IF(OR(D127&lt;E127,F127&lt;G127,H127&lt;I127,J127&lt;K127,AND(L127="Yes",OR(M127&lt;&gt;"Yes",N127&lt;&gt;"Yes")),AND(Y127="Yes",OR(Z127&lt;&gt;"Yes",AA127&lt;&gt;"Yes")),AB127&lt;&gt;"Yes",AC127&lt;&gt;"Yes"),"Not feasible",IF(OR(L127="Yes",Y127="Yes"),"Feasible with verified support","Feasible"))))</f>
        <v/>
      </c>
      <c r="R127">
        <f>IF(AND(P127="",Q127=""),"",IF(AND(P127&lt;&gt;"",Q127=""),"UNRECORDED",IF(AND(P127="",Q127&lt;&gt;""),"ORPHAN_RECORDED",IF(P127=Q127,"MATCH","MISMATCH"))))</f>
        <v/>
      </c>
      <c r="S127">
        <f>IF(OR(NOT(ISNUMBER(E127)),NOT(ISNUMBER(G127))),"",E127+G127)</f>
        <v/>
      </c>
      <c r="X127">
        <f>IF(A127="","",IF(AND(W127="Completed",OR(P127="Feasible",P127="Feasible with verified support")),"Completed feasible",IF(OR(P127="Not feasible",W127="Stopped before rating",W127="Aborted during review"),"Infeasible or aborted","Incomplete")))</f>
        <v/>
      </c>
      <c r="Y127" s="303" t="n"/>
      <c r="Z127" s="303" t="n"/>
      <c r="AA127" s="303" t="n"/>
      <c r="AB127" s="303" t="n"/>
      <c r="AC127" s="303" t="n"/>
      <c r="AD127" s="303">
        <f>IF(COUNTA(A127:O127)+COUNTA(Q127)+COUNTA(T127:W127)+COUNTA(Y127:AC127)=0,"",IF(AND(COUNTIF(Vocabulary!$J$5:$J$6,L127)=1,COUNTIF(Vocabulary!$J$5:$J$6,M127)=1,COUNTIF(Vocabulary!$J$5:$J$6,N127)=1,COUNTIF(Vocabulary!$J$5:$J$6,Y127)=1,COUNTIF(Vocabulary!$J$5:$J$6,Z127)=1,COUNTIF(Vocabulary!$J$5:$J$6,AA127)=1,COUNTIF(Vocabulary!$J$5:$J$6,AB127)=1,COUNTIF(Vocabulary!$J$5:$J$6,AC127)=1),"OK","UNRECOGNISED_BURDEN_VALUE"))</f>
        <v/>
      </c>
    </row>
    <row r="128">
      <c r="P128">
        <f>IF(COUNTA(A128:O128)+COUNTA(Q128)+COUNTA(T128:W128)+COUNTA(Y128:AC128)=0,"",IF(OR(NOT(ISNUMBER(D128)),NOT(ISNUMBER(E128)),NOT(ISNUMBER(F128)),NOT(ISNUMBER(G128)),NOT(ISNUMBER(H128)),NOT(ISNUMBER(I128)),NOT(ISNUMBER(J128)),NOT(ISNUMBER(K128)),AD128&lt;&gt;"OK"),"Not feasible",IF(OR(D128&lt;E128,F128&lt;G128,H128&lt;I128,J128&lt;K128,AND(L128="Yes",OR(M128&lt;&gt;"Yes",N128&lt;&gt;"Yes")),AND(Y128="Yes",OR(Z128&lt;&gt;"Yes",AA128&lt;&gt;"Yes")),AB128&lt;&gt;"Yes",AC128&lt;&gt;"Yes"),"Not feasible",IF(OR(L128="Yes",Y128="Yes"),"Feasible with verified support","Feasible"))))</f>
        <v/>
      </c>
      <c r="R128">
        <f>IF(AND(P128="",Q128=""),"",IF(AND(P128&lt;&gt;"",Q128=""),"UNRECORDED",IF(AND(P128="",Q128&lt;&gt;""),"ORPHAN_RECORDED",IF(P128=Q128,"MATCH","MISMATCH"))))</f>
        <v/>
      </c>
      <c r="S128">
        <f>IF(OR(NOT(ISNUMBER(E128)),NOT(ISNUMBER(G128))),"",E128+G128)</f>
        <v/>
      </c>
      <c r="X128">
        <f>IF(A128="","",IF(AND(W128="Completed",OR(P128="Feasible",P128="Feasible with verified support")),"Completed feasible",IF(OR(P128="Not feasible",W128="Stopped before rating",W128="Aborted during review"),"Infeasible or aborted","Incomplete")))</f>
        <v/>
      </c>
      <c r="Y128" s="303" t="n"/>
      <c r="Z128" s="303" t="n"/>
      <c r="AA128" s="303" t="n"/>
      <c r="AB128" s="303" t="n"/>
      <c r="AC128" s="303" t="n"/>
      <c r="AD128" s="303">
        <f>IF(COUNTA(A128:O128)+COUNTA(Q128)+COUNTA(T128:W128)+COUNTA(Y128:AC128)=0,"",IF(AND(COUNTIF(Vocabulary!$J$5:$J$6,L128)=1,COUNTIF(Vocabulary!$J$5:$J$6,M128)=1,COUNTIF(Vocabulary!$J$5:$J$6,N128)=1,COUNTIF(Vocabulary!$J$5:$J$6,Y128)=1,COUNTIF(Vocabulary!$J$5:$J$6,Z128)=1,COUNTIF(Vocabulary!$J$5:$J$6,AA128)=1,COUNTIF(Vocabulary!$J$5:$J$6,AB128)=1,COUNTIF(Vocabulary!$J$5:$J$6,AC128)=1),"OK","UNRECOGNISED_BURDEN_VALUE"))</f>
        <v/>
      </c>
    </row>
    <row r="129">
      <c r="P129">
        <f>IF(COUNTA(A129:O129)+COUNTA(Q129)+COUNTA(T129:W129)+COUNTA(Y129:AC129)=0,"",IF(OR(NOT(ISNUMBER(D129)),NOT(ISNUMBER(E129)),NOT(ISNUMBER(F129)),NOT(ISNUMBER(G129)),NOT(ISNUMBER(H129)),NOT(ISNUMBER(I129)),NOT(ISNUMBER(J129)),NOT(ISNUMBER(K129)),AD129&lt;&gt;"OK"),"Not feasible",IF(OR(D129&lt;E129,F129&lt;G129,H129&lt;I129,J129&lt;K129,AND(L129="Yes",OR(M129&lt;&gt;"Yes",N129&lt;&gt;"Yes")),AND(Y129="Yes",OR(Z129&lt;&gt;"Yes",AA129&lt;&gt;"Yes")),AB129&lt;&gt;"Yes",AC129&lt;&gt;"Yes"),"Not feasible",IF(OR(L129="Yes",Y129="Yes"),"Feasible with verified support","Feasible"))))</f>
        <v/>
      </c>
      <c r="R129">
        <f>IF(AND(P129="",Q129=""),"",IF(AND(P129&lt;&gt;"",Q129=""),"UNRECORDED",IF(AND(P129="",Q129&lt;&gt;""),"ORPHAN_RECORDED",IF(P129=Q129,"MATCH","MISMATCH"))))</f>
        <v/>
      </c>
      <c r="S129">
        <f>IF(OR(NOT(ISNUMBER(E129)),NOT(ISNUMBER(G129))),"",E129+G129)</f>
        <v/>
      </c>
      <c r="X129">
        <f>IF(A129="","",IF(AND(W129="Completed",OR(P129="Feasible",P129="Feasible with verified support")),"Completed feasible",IF(OR(P129="Not feasible",W129="Stopped before rating",W129="Aborted during review"),"Infeasible or aborted","Incomplete")))</f>
        <v/>
      </c>
      <c r="Y129" s="303" t="n"/>
      <c r="Z129" s="303" t="n"/>
      <c r="AA129" s="303" t="n"/>
      <c r="AB129" s="303" t="n"/>
      <c r="AC129" s="303" t="n"/>
      <c r="AD129" s="303">
        <f>IF(COUNTA(A129:O129)+COUNTA(Q129)+COUNTA(T129:W129)+COUNTA(Y129:AC129)=0,"",IF(AND(COUNTIF(Vocabulary!$J$5:$J$6,L129)=1,COUNTIF(Vocabulary!$J$5:$J$6,M129)=1,COUNTIF(Vocabulary!$J$5:$J$6,N129)=1,COUNTIF(Vocabulary!$J$5:$J$6,Y129)=1,COUNTIF(Vocabulary!$J$5:$J$6,Z129)=1,COUNTIF(Vocabulary!$J$5:$J$6,AA129)=1,COUNTIF(Vocabulary!$J$5:$J$6,AB129)=1,COUNTIF(Vocabulary!$J$5:$J$6,AC129)=1),"OK","UNRECOGNISED_BURDEN_VALUE"))</f>
        <v/>
      </c>
    </row>
    <row r="130">
      <c r="P130">
        <f>IF(COUNTA(A130:O130)+COUNTA(Q130)+COUNTA(T130:W130)+COUNTA(Y130:AC130)=0,"",IF(OR(NOT(ISNUMBER(D130)),NOT(ISNUMBER(E130)),NOT(ISNUMBER(F130)),NOT(ISNUMBER(G130)),NOT(ISNUMBER(H130)),NOT(ISNUMBER(I130)),NOT(ISNUMBER(J130)),NOT(ISNUMBER(K130)),AD130&lt;&gt;"OK"),"Not feasible",IF(OR(D130&lt;E130,F130&lt;G130,H130&lt;I130,J130&lt;K130,AND(L130="Yes",OR(M130&lt;&gt;"Yes",N130&lt;&gt;"Yes")),AND(Y130="Yes",OR(Z130&lt;&gt;"Yes",AA130&lt;&gt;"Yes")),AB130&lt;&gt;"Yes",AC130&lt;&gt;"Yes"),"Not feasible",IF(OR(L130="Yes",Y130="Yes"),"Feasible with verified support","Feasible"))))</f>
        <v/>
      </c>
      <c r="R130">
        <f>IF(AND(P130="",Q130=""),"",IF(AND(P130&lt;&gt;"",Q130=""),"UNRECORDED",IF(AND(P130="",Q130&lt;&gt;""),"ORPHAN_RECORDED",IF(P130=Q130,"MATCH","MISMATCH"))))</f>
        <v/>
      </c>
      <c r="S130">
        <f>IF(OR(NOT(ISNUMBER(E130)),NOT(ISNUMBER(G130))),"",E130+G130)</f>
        <v/>
      </c>
      <c r="X130">
        <f>IF(A130="","",IF(AND(W130="Completed",OR(P130="Feasible",P130="Feasible with verified support")),"Completed feasible",IF(OR(P130="Not feasible",W130="Stopped before rating",W130="Aborted during review"),"Infeasible or aborted","Incomplete")))</f>
        <v/>
      </c>
      <c r="Y130" s="303" t="n"/>
      <c r="Z130" s="303" t="n"/>
      <c r="AA130" s="303" t="n"/>
      <c r="AB130" s="303" t="n"/>
      <c r="AC130" s="303" t="n"/>
      <c r="AD130" s="303">
        <f>IF(COUNTA(A130:O130)+COUNTA(Q130)+COUNTA(T130:W130)+COUNTA(Y130:AC130)=0,"",IF(AND(COUNTIF(Vocabulary!$J$5:$J$6,L130)=1,COUNTIF(Vocabulary!$J$5:$J$6,M130)=1,COUNTIF(Vocabulary!$J$5:$J$6,N130)=1,COUNTIF(Vocabulary!$J$5:$J$6,Y130)=1,COUNTIF(Vocabulary!$J$5:$J$6,Z130)=1,COUNTIF(Vocabulary!$J$5:$J$6,AA130)=1,COUNTIF(Vocabulary!$J$5:$J$6,AB130)=1,COUNTIF(Vocabulary!$J$5:$J$6,AC130)=1),"OK","UNRECOGNISED_BURDEN_VALUE"))</f>
        <v/>
      </c>
    </row>
    <row r="131">
      <c r="P131">
        <f>IF(COUNTA(A131:O131)+COUNTA(Q131)+COUNTA(T131:W131)+COUNTA(Y131:AC131)=0,"",IF(OR(NOT(ISNUMBER(D131)),NOT(ISNUMBER(E131)),NOT(ISNUMBER(F131)),NOT(ISNUMBER(G131)),NOT(ISNUMBER(H131)),NOT(ISNUMBER(I131)),NOT(ISNUMBER(J131)),NOT(ISNUMBER(K131)),AD131&lt;&gt;"OK"),"Not feasible",IF(OR(D131&lt;E131,F131&lt;G131,H131&lt;I131,J131&lt;K131,AND(L131="Yes",OR(M131&lt;&gt;"Yes",N131&lt;&gt;"Yes")),AND(Y131="Yes",OR(Z131&lt;&gt;"Yes",AA131&lt;&gt;"Yes")),AB131&lt;&gt;"Yes",AC131&lt;&gt;"Yes"),"Not feasible",IF(OR(L131="Yes",Y131="Yes"),"Feasible with verified support","Feasible"))))</f>
        <v/>
      </c>
      <c r="R131">
        <f>IF(AND(P131="",Q131=""),"",IF(AND(P131&lt;&gt;"",Q131=""),"UNRECORDED",IF(AND(P131="",Q131&lt;&gt;""),"ORPHAN_RECORDED",IF(P131=Q131,"MATCH","MISMATCH"))))</f>
        <v/>
      </c>
      <c r="S131">
        <f>IF(OR(NOT(ISNUMBER(E131)),NOT(ISNUMBER(G131))),"",E131+G131)</f>
        <v/>
      </c>
      <c r="X131">
        <f>IF(A131="","",IF(AND(W131="Completed",OR(P131="Feasible",P131="Feasible with verified support")),"Completed feasible",IF(OR(P131="Not feasible",W131="Stopped before rating",W131="Aborted during review"),"Infeasible or aborted","Incomplete")))</f>
        <v/>
      </c>
      <c r="Y131" s="303" t="n"/>
      <c r="Z131" s="303" t="n"/>
      <c r="AA131" s="303" t="n"/>
      <c r="AB131" s="303" t="n"/>
      <c r="AC131" s="303" t="n"/>
      <c r="AD131" s="303">
        <f>IF(COUNTA(A131:O131)+COUNTA(Q131)+COUNTA(T131:W131)+COUNTA(Y131:AC131)=0,"",IF(AND(COUNTIF(Vocabulary!$J$5:$J$6,L131)=1,COUNTIF(Vocabulary!$J$5:$J$6,M131)=1,COUNTIF(Vocabulary!$J$5:$J$6,N131)=1,COUNTIF(Vocabulary!$J$5:$J$6,Y131)=1,COUNTIF(Vocabulary!$J$5:$J$6,Z131)=1,COUNTIF(Vocabulary!$J$5:$J$6,AA131)=1,COUNTIF(Vocabulary!$J$5:$J$6,AB131)=1,COUNTIF(Vocabulary!$J$5:$J$6,AC131)=1),"OK","UNRECOGNISED_BURDEN_VALUE"))</f>
        <v/>
      </c>
    </row>
    <row r="132">
      <c r="P132">
        <f>IF(COUNTA(A132:O132)+COUNTA(Q132)+COUNTA(T132:W132)+COUNTA(Y132:AC132)=0,"",IF(OR(NOT(ISNUMBER(D132)),NOT(ISNUMBER(E132)),NOT(ISNUMBER(F132)),NOT(ISNUMBER(G132)),NOT(ISNUMBER(H132)),NOT(ISNUMBER(I132)),NOT(ISNUMBER(J132)),NOT(ISNUMBER(K132)),AD132&lt;&gt;"OK"),"Not feasible",IF(OR(D132&lt;E132,F132&lt;G132,H132&lt;I132,J132&lt;K132,AND(L132="Yes",OR(M132&lt;&gt;"Yes",N132&lt;&gt;"Yes")),AND(Y132="Yes",OR(Z132&lt;&gt;"Yes",AA132&lt;&gt;"Yes")),AB132&lt;&gt;"Yes",AC132&lt;&gt;"Yes"),"Not feasible",IF(OR(L132="Yes",Y132="Yes"),"Feasible with verified support","Feasible"))))</f>
        <v/>
      </c>
      <c r="R132">
        <f>IF(AND(P132="",Q132=""),"",IF(AND(P132&lt;&gt;"",Q132=""),"UNRECORDED",IF(AND(P132="",Q132&lt;&gt;""),"ORPHAN_RECORDED",IF(P132=Q132,"MATCH","MISMATCH"))))</f>
        <v/>
      </c>
      <c r="S132">
        <f>IF(OR(NOT(ISNUMBER(E132)),NOT(ISNUMBER(G132))),"",E132+G132)</f>
        <v/>
      </c>
      <c r="X132">
        <f>IF(A132="","",IF(AND(W132="Completed",OR(P132="Feasible",P132="Feasible with verified support")),"Completed feasible",IF(OR(P132="Not feasible",W132="Stopped before rating",W132="Aborted during review"),"Infeasible or aborted","Incomplete")))</f>
        <v/>
      </c>
      <c r="Y132" s="303" t="n"/>
      <c r="Z132" s="303" t="n"/>
      <c r="AA132" s="303" t="n"/>
      <c r="AB132" s="303" t="n"/>
      <c r="AC132" s="303" t="n"/>
      <c r="AD132" s="303">
        <f>IF(COUNTA(A132:O132)+COUNTA(Q132)+COUNTA(T132:W132)+COUNTA(Y132:AC132)=0,"",IF(AND(COUNTIF(Vocabulary!$J$5:$J$6,L132)=1,COUNTIF(Vocabulary!$J$5:$J$6,M132)=1,COUNTIF(Vocabulary!$J$5:$J$6,N132)=1,COUNTIF(Vocabulary!$J$5:$J$6,Y132)=1,COUNTIF(Vocabulary!$J$5:$J$6,Z132)=1,COUNTIF(Vocabulary!$J$5:$J$6,AA132)=1,COUNTIF(Vocabulary!$J$5:$J$6,AB132)=1,COUNTIF(Vocabulary!$J$5:$J$6,AC132)=1),"OK","UNRECOGNISED_BURDEN_VALUE"))</f>
        <v/>
      </c>
    </row>
    <row r="133">
      <c r="P133">
        <f>IF(COUNTA(A133:O133)+COUNTA(Q133)+COUNTA(T133:W133)+COUNTA(Y133:AC133)=0,"",IF(OR(NOT(ISNUMBER(D133)),NOT(ISNUMBER(E133)),NOT(ISNUMBER(F133)),NOT(ISNUMBER(G133)),NOT(ISNUMBER(H133)),NOT(ISNUMBER(I133)),NOT(ISNUMBER(J133)),NOT(ISNUMBER(K133)),AD133&lt;&gt;"OK"),"Not feasible",IF(OR(D133&lt;E133,F133&lt;G133,H133&lt;I133,J133&lt;K133,AND(L133="Yes",OR(M133&lt;&gt;"Yes",N133&lt;&gt;"Yes")),AND(Y133="Yes",OR(Z133&lt;&gt;"Yes",AA133&lt;&gt;"Yes")),AB133&lt;&gt;"Yes",AC133&lt;&gt;"Yes"),"Not feasible",IF(OR(L133="Yes",Y133="Yes"),"Feasible with verified support","Feasible"))))</f>
        <v/>
      </c>
      <c r="R133">
        <f>IF(AND(P133="",Q133=""),"",IF(AND(P133&lt;&gt;"",Q133=""),"UNRECORDED",IF(AND(P133="",Q133&lt;&gt;""),"ORPHAN_RECORDED",IF(P133=Q133,"MATCH","MISMATCH"))))</f>
        <v/>
      </c>
      <c r="S133">
        <f>IF(OR(NOT(ISNUMBER(E133)),NOT(ISNUMBER(G133))),"",E133+G133)</f>
        <v/>
      </c>
      <c r="X133">
        <f>IF(A133="","",IF(AND(W133="Completed",OR(P133="Feasible",P133="Feasible with verified support")),"Completed feasible",IF(OR(P133="Not feasible",W133="Stopped before rating",W133="Aborted during review"),"Infeasible or aborted","Incomplete")))</f>
        <v/>
      </c>
      <c r="Y133" s="303" t="n"/>
      <c r="Z133" s="303" t="n"/>
      <c r="AA133" s="303" t="n"/>
      <c r="AB133" s="303" t="n"/>
      <c r="AC133" s="303" t="n"/>
      <c r="AD133" s="303">
        <f>IF(COUNTA(A133:O133)+COUNTA(Q133)+COUNTA(T133:W133)+COUNTA(Y133:AC133)=0,"",IF(AND(COUNTIF(Vocabulary!$J$5:$J$6,L133)=1,COUNTIF(Vocabulary!$J$5:$J$6,M133)=1,COUNTIF(Vocabulary!$J$5:$J$6,N133)=1,COUNTIF(Vocabulary!$J$5:$J$6,Y133)=1,COUNTIF(Vocabulary!$J$5:$J$6,Z133)=1,COUNTIF(Vocabulary!$J$5:$J$6,AA133)=1,COUNTIF(Vocabulary!$J$5:$J$6,AB133)=1,COUNTIF(Vocabulary!$J$5:$J$6,AC133)=1),"OK","UNRECOGNISED_BURDEN_VALUE"))</f>
        <v/>
      </c>
    </row>
    <row r="134">
      <c r="P134">
        <f>IF(COUNTA(A134:O134)+COUNTA(Q134)+COUNTA(T134:W134)+COUNTA(Y134:AC134)=0,"",IF(OR(NOT(ISNUMBER(D134)),NOT(ISNUMBER(E134)),NOT(ISNUMBER(F134)),NOT(ISNUMBER(G134)),NOT(ISNUMBER(H134)),NOT(ISNUMBER(I134)),NOT(ISNUMBER(J134)),NOT(ISNUMBER(K134)),AD134&lt;&gt;"OK"),"Not feasible",IF(OR(D134&lt;E134,F134&lt;G134,H134&lt;I134,J134&lt;K134,AND(L134="Yes",OR(M134&lt;&gt;"Yes",N134&lt;&gt;"Yes")),AND(Y134="Yes",OR(Z134&lt;&gt;"Yes",AA134&lt;&gt;"Yes")),AB134&lt;&gt;"Yes",AC134&lt;&gt;"Yes"),"Not feasible",IF(OR(L134="Yes",Y134="Yes"),"Feasible with verified support","Feasible"))))</f>
        <v/>
      </c>
      <c r="R134">
        <f>IF(AND(P134="",Q134=""),"",IF(AND(P134&lt;&gt;"",Q134=""),"UNRECORDED",IF(AND(P134="",Q134&lt;&gt;""),"ORPHAN_RECORDED",IF(P134=Q134,"MATCH","MISMATCH"))))</f>
        <v/>
      </c>
      <c r="S134">
        <f>IF(OR(NOT(ISNUMBER(E134)),NOT(ISNUMBER(G134))),"",E134+G134)</f>
        <v/>
      </c>
      <c r="X134">
        <f>IF(A134="","",IF(AND(W134="Completed",OR(P134="Feasible",P134="Feasible with verified support")),"Completed feasible",IF(OR(P134="Not feasible",W134="Stopped before rating",W134="Aborted during review"),"Infeasible or aborted","Incomplete")))</f>
        <v/>
      </c>
      <c r="Y134" s="303" t="n"/>
      <c r="Z134" s="303" t="n"/>
      <c r="AA134" s="303" t="n"/>
      <c r="AB134" s="303" t="n"/>
      <c r="AC134" s="303" t="n"/>
      <c r="AD134" s="303">
        <f>IF(COUNTA(A134:O134)+COUNTA(Q134)+COUNTA(T134:W134)+COUNTA(Y134:AC134)=0,"",IF(AND(COUNTIF(Vocabulary!$J$5:$J$6,L134)=1,COUNTIF(Vocabulary!$J$5:$J$6,M134)=1,COUNTIF(Vocabulary!$J$5:$J$6,N134)=1,COUNTIF(Vocabulary!$J$5:$J$6,Y134)=1,COUNTIF(Vocabulary!$J$5:$J$6,Z134)=1,COUNTIF(Vocabulary!$J$5:$J$6,AA134)=1,COUNTIF(Vocabulary!$J$5:$J$6,AB134)=1,COUNTIF(Vocabulary!$J$5:$J$6,AC134)=1),"OK","UNRECOGNISED_BURDEN_VALUE"))</f>
        <v/>
      </c>
    </row>
    <row r="135">
      <c r="P135">
        <f>IF(COUNTA(A135:O135)+COUNTA(Q135)+COUNTA(T135:W135)+COUNTA(Y135:AC135)=0,"",IF(OR(NOT(ISNUMBER(D135)),NOT(ISNUMBER(E135)),NOT(ISNUMBER(F135)),NOT(ISNUMBER(G135)),NOT(ISNUMBER(H135)),NOT(ISNUMBER(I135)),NOT(ISNUMBER(J135)),NOT(ISNUMBER(K135)),AD135&lt;&gt;"OK"),"Not feasible",IF(OR(D135&lt;E135,F135&lt;G135,H135&lt;I135,J135&lt;K135,AND(L135="Yes",OR(M135&lt;&gt;"Yes",N135&lt;&gt;"Yes")),AND(Y135="Yes",OR(Z135&lt;&gt;"Yes",AA135&lt;&gt;"Yes")),AB135&lt;&gt;"Yes",AC135&lt;&gt;"Yes"),"Not feasible",IF(OR(L135="Yes",Y135="Yes"),"Feasible with verified support","Feasible"))))</f>
        <v/>
      </c>
      <c r="R135">
        <f>IF(AND(P135="",Q135=""),"",IF(AND(P135&lt;&gt;"",Q135=""),"UNRECORDED",IF(AND(P135="",Q135&lt;&gt;""),"ORPHAN_RECORDED",IF(P135=Q135,"MATCH","MISMATCH"))))</f>
        <v/>
      </c>
      <c r="S135">
        <f>IF(OR(NOT(ISNUMBER(E135)),NOT(ISNUMBER(G135))),"",E135+G135)</f>
        <v/>
      </c>
      <c r="X135">
        <f>IF(A135="","",IF(AND(W135="Completed",OR(P135="Feasible",P135="Feasible with verified support")),"Completed feasible",IF(OR(P135="Not feasible",W135="Stopped before rating",W135="Aborted during review"),"Infeasible or aborted","Incomplete")))</f>
        <v/>
      </c>
      <c r="Y135" s="303" t="n"/>
      <c r="Z135" s="303" t="n"/>
      <c r="AA135" s="303" t="n"/>
      <c r="AB135" s="303" t="n"/>
      <c r="AC135" s="303" t="n"/>
      <c r="AD135" s="303">
        <f>IF(COUNTA(A135:O135)+COUNTA(Q135)+COUNTA(T135:W135)+COUNTA(Y135:AC135)=0,"",IF(AND(COUNTIF(Vocabulary!$J$5:$J$6,L135)=1,COUNTIF(Vocabulary!$J$5:$J$6,M135)=1,COUNTIF(Vocabulary!$J$5:$J$6,N135)=1,COUNTIF(Vocabulary!$J$5:$J$6,Y135)=1,COUNTIF(Vocabulary!$J$5:$J$6,Z135)=1,COUNTIF(Vocabulary!$J$5:$J$6,AA135)=1,COUNTIF(Vocabulary!$J$5:$J$6,AB135)=1,COUNTIF(Vocabulary!$J$5:$J$6,AC135)=1),"OK","UNRECOGNISED_BURDEN_VALUE"))</f>
        <v/>
      </c>
    </row>
    <row r="136">
      <c r="P136">
        <f>IF(COUNTA(A136:O136)+COUNTA(Q136)+COUNTA(T136:W136)+COUNTA(Y136:AC136)=0,"",IF(OR(NOT(ISNUMBER(D136)),NOT(ISNUMBER(E136)),NOT(ISNUMBER(F136)),NOT(ISNUMBER(G136)),NOT(ISNUMBER(H136)),NOT(ISNUMBER(I136)),NOT(ISNUMBER(J136)),NOT(ISNUMBER(K136)),AD136&lt;&gt;"OK"),"Not feasible",IF(OR(D136&lt;E136,F136&lt;G136,H136&lt;I136,J136&lt;K136,AND(L136="Yes",OR(M136&lt;&gt;"Yes",N136&lt;&gt;"Yes")),AND(Y136="Yes",OR(Z136&lt;&gt;"Yes",AA136&lt;&gt;"Yes")),AB136&lt;&gt;"Yes",AC136&lt;&gt;"Yes"),"Not feasible",IF(OR(L136="Yes",Y136="Yes"),"Feasible with verified support","Feasible"))))</f>
        <v/>
      </c>
      <c r="R136">
        <f>IF(AND(P136="",Q136=""),"",IF(AND(P136&lt;&gt;"",Q136=""),"UNRECORDED",IF(AND(P136="",Q136&lt;&gt;""),"ORPHAN_RECORDED",IF(P136=Q136,"MATCH","MISMATCH"))))</f>
        <v/>
      </c>
      <c r="S136">
        <f>IF(OR(NOT(ISNUMBER(E136)),NOT(ISNUMBER(G136))),"",E136+G136)</f>
        <v/>
      </c>
      <c r="X136">
        <f>IF(A136="","",IF(AND(W136="Completed",OR(P136="Feasible",P136="Feasible with verified support")),"Completed feasible",IF(OR(P136="Not feasible",W136="Stopped before rating",W136="Aborted during review"),"Infeasible or aborted","Incomplete")))</f>
        <v/>
      </c>
      <c r="Y136" s="303" t="n"/>
      <c r="Z136" s="303" t="n"/>
      <c r="AA136" s="303" t="n"/>
      <c r="AB136" s="303" t="n"/>
      <c r="AC136" s="303" t="n"/>
      <c r="AD136" s="303">
        <f>IF(COUNTA(A136:O136)+COUNTA(Q136)+COUNTA(T136:W136)+COUNTA(Y136:AC136)=0,"",IF(AND(COUNTIF(Vocabulary!$J$5:$J$6,L136)=1,COUNTIF(Vocabulary!$J$5:$J$6,M136)=1,COUNTIF(Vocabulary!$J$5:$J$6,N136)=1,COUNTIF(Vocabulary!$J$5:$J$6,Y136)=1,COUNTIF(Vocabulary!$J$5:$J$6,Z136)=1,COUNTIF(Vocabulary!$J$5:$J$6,AA136)=1,COUNTIF(Vocabulary!$J$5:$J$6,AB136)=1,COUNTIF(Vocabulary!$J$5:$J$6,AC136)=1),"OK","UNRECOGNISED_BURDEN_VALUE"))</f>
        <v/>
      </c>
    </row>
    <row r="137">
      <c r="P137">
        <f>IF(COUNTA(A137:O137)+COUNTA(Q137)+COUNTA(T137:W137)+COUNTA(Y137:AC137)=0,"",IF(OR(NOT(ISNUMBER(D137)),NOT(ISNUMBER(E137)),NOT(ISNUMBER(F137)),NOT(ISNUMBER(G137)),NOT(ISNUMBER(H137)),NOT(ISNUMBER(I137)),NOT(ISNUMBER(J137)),NOT(ISNUMBER(K137)),AD137&lt;&gt;"OK"),"Not feasible",IF(OR(D137&lt;E137,F137&lt;G137,H137&lt;I137,J137&lt;K137,AND(L137="Yes",OR(M137&lt;&gt;"Yes",N137&lt;&gt;"Yes")),AND(Y137="Yes",OR(Z137&lt;&gt;"Yes",AA137&lt;&gt;"Yes")),AB137&lt;&gt;"Yes",AC137&lt;&gt;"Yes"),"Not feasible",IF(OR(L137="Yes",Y137="Yes"),"Feasible with verified support","Feasible"))))</f>
        <v/>
      </c>
      <c r="R137">
        <f>IF(AND(P137="",Q137=""),"",IF(AND(P137&lt;&gt;"",Q137=""),"UNRECORDED",IF(AND(P137="",Q137&lt;&gt;""),"ORPHAN_RECORDED",IF(P137=Q137,"MATCH","MISMATCH"))))</f>
        <v/>
      </c>
      <c r="S137">
        <f>IF(OR(NOT(ISNUMBER(E137)),NOT(ISNUMBER(G137))),"",E137+G137)</f>
        <v/>
      </c>
      <c r="X137">
        <f>IF(A137="","",IF(AND(W137="Completed",OR(P137="Feasible",P137="Feasible with verified support")),"Completed feasible",IF(OR(P137="Not feasible",W137="Stopped before rating",W137="Aborted during review"),"Infeasible or aborted","Incomplete")))</f>
        <v/>
      </c>
      <c r="Y137" s="303" t="n"/>
      <c r="Z137" s="303" t="n"/>
      <c r="AA137" s="303" t="n"/>
      <c r="AB137" s="303" t="n"/>
      <c r="AC137" s="303" t="n"/>
      <c r="AD137" s="303">
        <f>IF(COUNTA(A137:O137)+COUNTA(Q137)+COUNTA(T137:W137)+COUNTA(Y137:AC137)=0,"",IF(AND(COUNTIF(Vocabulary!$J$5:$J$6,L137)=1,COUNTIF(Vocabulary!$J$5:$J$6,M137)=1,COUNTIF(Vocabulary!$J$5:$J$6,N137)=1,COUNTIF(Vocabulary!$J$5:$J$6,Y137)=1,COUNTIF(Vocabulary!$J$5:$J$6,Z137)=1,COUNTIF(Vocabulary!$J$5:$J$6,AA137)=1,COUNTIF(Vocabulary!$J$5:$J$6,AB137)=1,COUNTIF(Vocabulary!$J$5:$J$6,AC137)=1),"OK","UNRECOGNISED_BURDEN_VALUE"))</f>
        <v/>
      </c>
    </row>
    <row r="138">
      <c r="P138">
        <f>IF(COUNTA(A138:O138)+COUNTA(Q138)+COUNTA(T138:W138)+COUNTA(Y138:AC138)=0,"",IF(OR(NOT(ISNUMBER(D138)),NOT(ISNUMBER(E138)),NOT(ISNUMBER(F138)),NOT(ISNUMBER(G138)),NOT(ISNUMBER(H138)),NOT(ISNUMBER(I138)),NOT(ISNUMBER(J138)),NOT(ISNUMBER(K138)),AD138&lt;&gt;"OK"),"Not feasible",IF(OR(D138&lt;E138,F138&lt;G138,H138&lt;I138,J138&lt;K138,AND(L138="Yes",OR(M138&lt;&gt;"Yes",N138&lt;&gt;"Yes")),AND(Y138="Yes",OR(Z138&lt;&gt;"Yes",AA138&lt;&gt;"Yes")),AB138&lt;&gt;"Yes",AC138&lt;&gt;"Yes"),"Not feasible",IF(OR(L138="Yes",Y138="Yes"),"Feasible with verified support","Feasible"))))</f>
        <v/>
      </c>
      <c r="R138">
        <f>IF(AND(P138="",Q138=""),"",IF(AND(P138&lt;&gt;"",Q138=""),"UNRECORDED",IF(AND(P138="",Q138&lt;&gt;""),"ORPHAN_RECORDED",IF(P138=Q138,"MATCH","MISMATCH"))))</f>
        <v/>
      </c>
      <c r="S138">
        <f>IF(OR(NOT(ISNUMBER(E138)),NOT(ISNUMBER(G138))),"",E138+G138)</f>
        <v/>
      </c>
      <c r="X138">
        <f>IF(A138="","",IF(AND(W138="Completed",OR(P138="Feasible",P138="Feasible with verified support")),"Completed feasible",IF(OR(P138="Not feasible",W138="Stopped before rating",W138="Aborted during review"),"Infeasible or aborted","Incomplete")))</f>
        <v/>
      </c>
      <c r="Y138" s="303" t="n"/>
      <c r="Z138" s="303" t="n"/>
      <c r="AA138" s="303" t="n"/>
      <c r="AB138" s="303" t="n"/>
      <c r="AC138" s="303" t="n"/>
      <c r="AD138" s="303">
        <f>IF(COUNTA(A138:O138)+COUNTA(Q138)+COUNTA(T138:W138)+COUNTA(Y138:AC138)=0,"",IF(AND(COUNTIF(Vocabulary!$J$5:$J$6,L138)=1,COUNTIF(Vocabulary!$J$5:$J$6,M138)=1,COUNTIF(Vocabulary!$J$5:$J$6,N138)=1,COUNTIF(Vocabulary!$J$5:$J$6,Y138)=1,COUNTIF(Vocabulary!$J$5:$J$6,Z138)=1,COUNTIF(Vocabulary!$J$5:$J$6,AA138)=1,COUNTIF(Vocabulary!$J$5:$J$6,AB138)=1,COUNTIF(Vocabulary!$J$5:$J$6,AC138)=1),"OK","UNRECOGNISED_BURDEN_VALUE"))</f>
        <v/>
      </c>
    </row>
    <row r="139">
      <c r="P139">
        <f>IF(COUNTA(A139:O139)+COUNTA(Q139)+COUNTA(T139:W139)+COUNTA(Y139:AC139)=0,"",IF(OR(NOT(ISNUMBER(D139)),NOT(ISNUMBER(E139)),NOT(ISNUMBER(F139)),NOT(ISNUMBER(G139)),NOT(ISNUMBER(H139)),NOT(ISNUMBER(I139)),NOT(ISNUMBER(J139)),NOT(ISNUMBER(K139)),AD139&lt;&gt;"OK"),"Not feasible",IF(OR(D139&lt;E139,F139&lt;G139,H139&lt;I139,J139&lt;K139,AND(L139="Yes",OR(M139&lt;&gt;"Yes",N139&lt;&gt;"Yes")),AND(Y139="Yes",OR(Z139&lt;&gt;"Yes",AA139&lt;&gt;"Yes")),AB139&lt;&gt;"Yes",AC139&lt;&gt;"Yes"),"Not feasible",IF(OR(L139="Yes",Y139="Yes"),"Feasible with verified support","Feasible"))))</f>
        <v/>
      </c>
      <c r="R139">
        <f>IF(AND(P139="",Q139=""),"",IF(AND(P139&lt;&gt;"",Q139=""),"UNRECORDED",IF(AND(P139="",Q139&lt;&gt;""),"ORPHAN_RECORDED",IF(P139=Q139,"MATCH","MISMATCH"))))</f>
        <v/>
      </c>
      <c r="S139">
        <f>IF(OR(NOT(ISNUMBER(E139)),NOT(ISNUMBER(G139))),"",E139+G139)</f>
        <v/>
      </c>
      <c r="X139">
        <f>IF(A139="","",IF(AND(W139="Completed",OR(P139="Feasible",P139="Feasible with verified support")),"Completed feasible",IF(OR(P139="Not feasible",W139="Stopped before rating",W139="Aborted during review"),"Infeasible or aborted","Incomplete")))</f>
        <v/>
      </c>
      <c r="Y139" s="303" t="n"/>
      <c r="Z139" s="303" t="n"/>
      <c r="AA139" s="303" t="n"/>
      <c r="AB139" s="303" t="n"/>
      <c r="AC139" s="303" t="n"/>
      <c r="AD139" s="303">
        <f>IF(COUNTA(A139:O139)+COUNTA(Q139)+COUNTA(T139:W139)+COUNTA(Y139:AC139)=0,"",IF(AND(COUNTIF(Vocabulary!$J$5:$J$6,L139)=1,COUNTIF(Vocabulary!$J$5:$J$6,M139)=1,COUNTIF(Vocabulary!$J$5:$J$6,N139)=1,COUNTIF(Vocabulary!$J$5:$J$6,Y139)=1,COUNTIF(Vocabulary!$J$5:$J$6,Z139)=1,COUNTIF(Vocabulary!$J$5:$J$6,AA139)=1,COUNTIF(Vocabulary!$J$5:$J$6,AB139)=1,COUNTIF(Vocabulary!$J$5:$J$6,AC139)=1),"OK","UNRECOGNISED_BURDEN_VALUE"))</f>
        <v/>
      </c>
    </row>
    <row r="140">
      <c r="P140">
        <f>IF(COUNTA(A140:O140)+COUNTA(Q140)+COUNTA(T140:W140)+COUNTA(Y140:AC140)=0,"",IF(OR(NOT(ISNUMBER(D140)),NOT(ISNUMBER(E140)),NOT(ISNUMBER(F140)),NOT(ISNUMBER(G140)),NOT(ISNUMBER(H140)),NOT(ISNUMBER(I140)),NOT(ISNUMBER(J140)),NOT(ISNUMBER(K140)),AD140&lt;&gt;"OK"),"Not feasible",IF(OR(D140&lt;E140,F140&lt;G140,H140&lt;I140,J140&lt;K140,AND(L140="Yes",OR(M140&lt;&gt;"Yes",N140&lt;&gt;"Yes")),AND(Y140="Yes",OR(Z140&lt;&gt;"Yes",AA140&lt;&gt;"Yes")),AB140&lt;&gt;"Yes",AC140&lt;&gt;"Yes"),"Not feasible",IF(OR(L140="Yes",Y140="Yes"),"Feasible with verified support","Feasible"))))</f>
        <v/>
      </c>
      <c r="R140">
        <f>IF(AND(P140="",Q140=""),"",IF(AND(P140&lt;&gt;"",Q140=""),"UNRECORDED",IF(AND(P140="",Q140&lt;&gt;""),"ORPHAN_RECORDED",IF(P140=Q140,"MATCH","MISMATCH"))))</f>
        <v/>
      </c>
      <c r="S140">
        <f>IF(OR(NOT(ISNUMBER(E140)),NOT(ISNUMBER(G140))),"",E140+G140)</f>
        <v/>
      </c>
      <c r="X140">
        <f>IF(A140="","",IF(AND(W140="Completed",OR(P140="Feasible",P140="Feasible with verified support")),"Completed feasible",IF(OR(P140="Not feasible",W140="Stopped before rating",W140="Aborted during review"),"Infeasible or aborted","Incomplete")))</f>
        <v/>
      </c>
      <c r="Y140" s="303" t="n"/>
      <c r="Z140" s="303" t="n"/>
      <c r="AA140" s="303" t="n"/>
      <c r="AB140" s="303" t="n"/>
      <c r="AC140" s="303" t="n"/>
      <c r="AD140" s="303">
        <f>IF(COUNTA(A140:O140)+COUNTA(Q140)+COUNTA(T140:W140)+COUNTA(Y140:AC140)=0,"",IF(AND(COUNTIF(Vocabulary!$J$5:$J$6,L140)=1,COUNTIF(Vocabulary!$J$5:$J$6,M140)=1,COUNTIF(Vocabulary!$J$5:$J$6,N140)=1,COUNTIF(Vocabulary!$J$5:$J$6,Y140)=1,COUNTIF(Vocabulary!$J$5:$J$6,Z140)=1,COUNTIF(Vocabulary!$J$5:$J$6,AA140)=1,COUNTIF(Vocabulary!$J$5:$J$6,AB140)=1,COUNTIF(Vocabulary!$J$5:$J$6,AC140)=1),"OK","UNRECOGNISED_BURDEN_VALUE"))</f>
        <v/>
      </c>
    </row>
    <row r="141">
      <c r="P141">
        <f>IF(COUNTA(A141:O141)+COUNTA(Q141)+COUNTA(T141:W141)+COUNTA(Y141:AC141)=0,"",IF(OR(NOT(ISNUMBER(D141)),NOT(ISNUMBER(E141)),NOT(ISNUMBER(F141)),NOT(ISNUMBER(G141)),NOT(ISNUMBER(H141)),NOT(ISNUMBER(I141)),NOT(ISNUMBER(J141)),NOT(ISNUMBER(K141)),AD141&lt;&gt;"OK"),"Not feasible",IF(OR(D141&lt;E141,F141&lt;G141,H141&lt;I141,J141&lt;K141,AND(L141="Yes",OR(M141&lt;&gt;"Yes",N141&lt;&gt;"Yes")),AND(Y141="Yes",OR(Z141&lt;&gt;"Yes",AA141&lt;&gt;"Yes")),AB141&lt;&gt;"Yes",AC141&lt;&gt;"Yes"),"Not feasible",IF(OR(L141="Yes",Y141="Yes"),"Feasible with verified support","Feasible"))))</f>
        <v/>
      </c>
      <c r="R141">
        <f>IF(AND(P141="",Q141=""),"",IF(AND(P141&lt;&gt;"",Q141=""),"UNRECORDED",IF(AND(P141="",Q141&lt;&gt;""),"ORPHAN_RECORDED",IF(P141=Q141,"MATCH","MISMATCH"))))</f>
        <v/>
      </c>
      <c r="S141">
        <f>IF(OR(NOT(ISNUMBER(E141)),NOT(ISNUMBER(G141))),"",E141+G141)</f>
        <v/>
      </c>
      <c r="X141">
        <f>IF(A141="","",IF(AND(W141="Completed",OR(P141="Feasible",P141="Feasible with verified support")),"Completed feasible",IF(OR(P141="Not feasible",W141="Stopped before rating",W141="Aborted during review"),"Infeasible or aborted","Incomplete")))</f>
        <v/>
      </c>
      <c r="Y141" s="303" t="n"/>
      <c r="Z141" s="303" t="n"/>
      <c r="AA141" s="303" t="n"/>
      <c r="AB141" s="303" t="n"/>
      <c r="AC141" s="303" t="n"/>
      <c r="AD141" s="303">
        <f>IF(COUNTA(A141:O141)+COUNTA(Q141)+COUNTA(T141:W141)+COUNTA(Y141:AC141)=0,"",IF(AND(COUNTIF(Vocabulary!$J$5:$J$6,L141)=1,COUNTIF(Vocabulary!$J$5:$J$6,M141)=1,COUNTIF(Vocabulary!$J$5:$J$6,N141)=1,COUNTIF(Vocabulary!$J$5:$J$6,Y141)=1,COUNTIF(Vocabulary!$J$5:$J$6,Z141)=1,COUNTIF(Vocabulary!$J$5:$J$6,AA141)=1,COUNTIF(Vocabulary!$J$5:$J$6,AB141)=1,COUNTIF(Vocabulary!$J$5:$J$6,AC141)=1),"OK","UNRECOGNISED_BURDEN_VALUE"))</f>
        <v/>
      </c>
    </row>
    <row r="142">
      <c r="P142">
        <f>IF(COUNTA(A142:O142)+COUNTA(Q142)+COUNTA(T142:W142)+COUNTA(Y142:AC142)=0,"",IF(OR(NOT(ISNUMBER(D142)),NOT(ISNUMBER(E142)),NOT(ISNUMBER(F142)),NOT(ISNUMBER(G142)),NOT(ISNUMBER(H142)),NOT(ISNUMBER(I142)),NOT(ISNUMBER(J142)),NOT(ISNUMBER(K142)),AD142&lt;&gt;"OK"),"Not feasible",IF(OR(D142&lt;E142,F142&lt;G142,H142&lt;I142,J142&lt;K142,AND(L142="Yes",OR(M142&lt;&gt;"Yes",N142&lt;&gt;"Yes")),AND(Y142="Yes",OR(Z142&lt;&gt;"Yes",AA142&lt;&gt;"Yes")),AB142&lt;&gt;"Yes",AC142&lt;&gt;"Yes"),"Not feasible",IF(OR(L142="Yes",Y142="Yes"),"Feasible with verified support","Feasible"))))</f>
        <v/>
      </c>
      <c r="R142">
        <f>IF(AND(P142="",Q142=""),"",IF(AND(P142&lt;&gt;"",Q142=""),"UNRECORDED",IF(AND(P142="",Q142&lt;&gt;""),"ORPHAN_RECORDED",IF(P142=Q142,"MATCH","MISMATCH"))))</f>
        <v/>
      </c>
      <c r="S142">
        <f>IF(OR(NOT(ISNUMBER(E142)),NOT(ISNUMBER(G142))),"",E142+G142)</f>
        <v/>
      </c>
      <c r="X142">
        <f>IF(A142="","",IF(AND(W142="Completed",OR(P142="Feasible",P142="Feasible with verified support")),"Completed feasible",IF(OR(P142="Not feasible",W142="Stopped before rating",W142="Aborted during review"),"Infeasible or aborted","Incomplete")))</f>
        <v/>
      </c>
      <c r="Y142" s="303" t="n"/>
      <c r="Z142" s="303" t="n"/>
      <c r="AA142" s="303" t="n"/>
      <c r="AB142" s="303" t="n"/>
      <c r="AC142" s="303" t="n"/>
      <c r="AD142" s="303">
        <f>IF(COUNTA(A142:O142)+COUNTA(Q142)+COUNTA(T142:W142)+COUNTA(Y142:AC142)=0,"",IF(AND(COUNTIF(Vocabulary!$J$5:$J$6,L142)=1,COUNTIF(Vocabulary!$J$5:$J$6,M142)=1,COUNTIF(Vocabulary!$J$5:$J$6,N142)=1,COUNTIF(Vocabulary!$J$5:$J$6,Y142)=1,COUNTIF(Vocabulary!$J$5:$J$6,Z142)=1,COUNTIF(Vocabulary!$J$5:$J$6,AA142)=1,COUNTIF(Vocabulary!$J$5:$J$6,AB142)=1,COUNTIF(Vocabulary!$J$5:$J$6,AC142)=1),"OK","UNRECOGNISED_BURDEN_VALUE"))</f>
        <v/>
      </c>
    </row>
    <row r="143">
      <c r="P143">
        <f>IF(COUNTA(A143:O143)+COUNTA(Q143)+COUNTA(T143:W143)+COUNTA(Y143:AC143)=0,"",IF(OR(NOT(ISNUMBER(D143)),NOT(ISNUMBER(E143)),NOT(ISNUMBER(F143)),NOT(ISNUMBER(G143)),NOT(ISNUMBER(H143)),NOT(ISNUMBER(I143)),NOT(ISNUMBER(J143)),NOT(ISNUMBER(K143)),AD143&lt;&gt;"OK"),"Not feasible",IF(OR(D143&lt;E143,F143&lt;G143,H143&lt;I143,J143&lt;K143,AND(L143="Yes",OR(M143&lt;&gt;"Yes",N143&lt;&gt;"Yes")),AND(Y143="Yes",OR(Z143&lt;&gt;"Yes",AA143&lt;&gt;"Yes")),AB143&lt;&gt;"Yes",AC143&lt;&gt;"Yes"),"Not feasible",IF(OR(L143="Yes",Y143="Yes"),"Feasible with verified support","Feasible"))))</f>
        <v/>
      </c>
      <c r="R143">
        <f>IF(AND(P143="",Q143=""),"",IF(AND(P143&lt;&gt;"",Q143=""),"UNRECORDED",IF(AND(P143="",Q143&lt;&gt;""),"ORPHAN_RECORDED",IF(P143=Q143,"MATCH","MISMATCH"))))</f>
        <v/>
      </c>
      <c r="S143">
        <f>IF(OR(NOT(ISNUMBER(E143)),NOT(ISNUMBER(G143))),"",E143+G143)</f>
        <v/>
      </c>
      <c r="X143">
        <f>IF(A143="","",IF(AND(W143="Completed",OR(P143="Feasible",P143="Feasible with verified support")),"Completed feasible",IF(OR(P143="Not feasible",W143="Stopped before rating",W143="Aborted during review"),"Infeasible or aborted","Incomplete")))</f>
        <v/>
      </c>
      <c r="Y143" s="303" t="n"/>
      <c r="Z143" s="303" t="n"/>
      <c r="AA143" s="303" t="n"/>
      <c r="AB143" s="303" t="n"/>
      <c r="AC143" s="303" t="n"/>
      <c r="AD143" s="303">
        <f>IF(COUNTA(A143:O143)+COUNTA(Q143)+COUNTA(T143:W143)+COUNTA(Y143:AC143)=0,"",IF(AND(COUNTIF(Vocabulary!$J$5:$J$6,L143)=1,COUNTIF(Vocabulary!$J$5:$J$6,M143)=1,COUNTIF(Vocabulary!$J$5:$J$6,N143)=1,COUNTIF(Vocabulary!$J$5:$J$6,Y143)=1,COUNTIF(Vocabulary!$J$5:$J$6,Z143)=1,COUNTIF(Vocabulary!$J$5:$J$6,AA143)=1,COUNTIF(Vocabulary!$J$5:$J$6,AB143)=1,COUNTIF(Vocabulary!$J$5:$J$6,AC143)=1),"OK","UNRECOGNISED_BURDEN_VALUE"))</f>
        <v/>
      </c>
    </row>
    <row r="144">
      <c r="P144">
        <f>IF(COUNTA(A144:O144)+COUNTA(Q144)+COUNTA(T144:W144)+COUNTA(Y144:AC144)=0,"",IF(OR(NOT(ISNUMBER(D144)),NOT(ISNUMBER(E144)),NOT(ISNUMBER(F144)),NOT(ISNUMBER(G144)),NOT(ISNUMBER(H144)),NOT(ISNUMBER(I144)),NOT(ISNUMBER(J144)),NOT(ISNUMBER(K144)),AD144&lt;&gt;"OK"),"Not feasible",IF(OR(D144&lt;E144,F144&lt;G144,H144&lt;I144,J144&lt;K144,AND(L144="Yes",OR(M144&lt;&gt;"Yes",N144&lt;&gt;"Yes")),AND(Y144="Yes",OR(Z144&lt;&gt;"Yes",AA144&lt;&gt;"Yes")),AB144&lt;&gt;"Yes",AC144&lt;&gt;"Yes"),"Not feasible",IF(OR(L144="Yes",Y144="Yes"),"Feasible with verified support","Feasible"))))</f>
        <v/>
      </c>
      <c r="R144">
        <f>IF(AND(P144="",Q144=""),"",IF(AND(P144&lt;&gt;"",Q144=""),"UNRECORDED",IF(AND(P144="",Q144&lt;&gt;""),"ORPHAN_RECORDED",IF(P144=Q144,"MATCH","MISMATCH"))))</f>
        <v/>
      </c>
      <c r="S144">
        <f>IF(OR(NOT(ISNUMBER(E144)),NOT(ISNUMBER(G144))),"",E144+G144)</f>
        <v/>
      </c>
      <c r="X144">
        <f>IF(A144="","",IF(AND(W144="Completed",OR(P144="Feasible",P144="Feasible with verified support")),"Completed feasible",IF(OR(P144="Not feasible",W144="Stopped before rating",W144="Aborted during review"),"Infeasible or aborted","Incomplete")))</f>
        <v/>
      </c>
      <c r="Y144" s="303" t="n"/>
      <c r="Z144" s="303" t="n"/>
      <c r="AA144" s="303" t="n"/>
      <c r="AB144" s="303" t="n"/>
      <c r="AC144" s="303" t="n"/>
      <c r="AD144" s="303">
        <f>IF(COUNTA(A144:O144)+COUNTA(Q144)+COUNTA(T144:W144)+COUNTA(Y144:AC144)=0,"",IF(AND(COUNTIF(Vocabulary!$J$5:$J$6,L144)=1,COUNTIF(Vocabulary!$J$5:$J$6,M144)=1,COUNTIF(Vocabulary!$J$5:$J$6,N144)=1,COUNTIF(Vocabulary!$J$5:$J$6,Y144)=1,COUNTIF(Vocabulary!$J$5:$J$6,Z144)=1,COUNTIF(Vocabulary!$J$5:$J$6,AA144)=1,COUNTIF(Vocabulary!$J$5:$J$6,AB144)=1,COUNTIF(Vocabulary!$J$5:$J$6,AC144)=1),"OK","UNRECOGNISED_BURDEN_VALUE"))</f>
        <v/>
      </c>
    </row>
    <row r="145">
      <c r="P145">
        <f>IF(COUNTA(A145:O145)+COUNTA(Q145)+COUNTA(T145:W145)+COUNTA(Y145:AC145)=0,"",IF(OR(NOT(ISNUMBER(D145)),NOT(ISNUMBER(E145)),NOT(ISNUMBER(F145)),NOT(ISNUMBER(G145)),NOT(ISNUMBER(H145)),NOT(ISNUMBER(I145)),NOT(ISNUMBER(J145)),NOT(ISNUMBER(K145)),AD145&lt;&gt;"OK"),"Not feasible",IF(OR(D145&lt;E145,F145&lt;G145,H145&lt;I145,J145&lt;K145,AND(L145="Yes",OR(M145&lt;&gt;"Yes",N145&lt;&gt;"Yes")),AND(Y145="Yes",OR(Z145&lt;&gt;"Yes",AA145&lt;&gt;"Yes")),AB145&lt;&gt;"Yes",AC145&lt;&gt;"Yes"),"Not feasible",IF(OR(L145="Yes",Y145="Yes"),"Feasible with verified support","Feasible"))))</f>
        <v/>
      </c>
      <c r="R145">
        <f>IF(AND(P145="",Q145=""),"",IF(AND(P145&lt;&gt;"",Q145=""),"UNRECORDED",IF(AND(P145="",Q145&lt;&gt;""),"ORPHAN_RECORDED",IF(P145=Q145,"MATCH","MISMATCH"))))</f>
        <v/>
      </c>
      <c r="S145">
        <f>IF(OR(NOT(ISNUMBER(E145)),NOT(ISNUMBER(G145))),"",E145+G145)</f>
        <v/>
      </c>
      <c r="X145">
        <f>IF(A145="","",IF(AND(W145="Completed",OR(P145="Feasible",P145="Feasible with verified support")),"Completed feasible",IF(OR(P145="Not feasible",W145="Stopped before rating",W145="Aborted during review"),"Infeasible or aborted","Incomplete")))</f>
        <v/>
      </c>
      <c r="Y145" s="303" t="n"/>
      <c r="Z145" s="303" t="n"/>
      <c r="AA145" s="303" t="n"/>
      <c r="AB145" s="303" t="n"/>
      <c r="AC145" s="303" t="n"/>
      <c r="AD145" s="303">
        <f>IF(COUNTA(A145:O145)+COUNTA(Q145)+COUNTA(T145:W145)+COUNTA(Y145:AC145)=0,"",IF(AND(COUNTIF(Vocabulary!$J$5:$J$6,L145)=1,COUNTIF(Vocabulary!$J$5:$J$6,M145)=1,COUNTIF(Vocabulary!$J$5:$J$6,N145)=1,COUNTIF(Vocabulary!$J$5:$J$6,Y145)=1,COUNTIF(Vocabulary!$J$5:$J$6,Z145)=1,COUNTIF(Vocabulary!$J$5:$J$6,AA145)=1,COUNTIF(Vocabulary!$J$5:$J$6,AB145)=1,COUNTIF(Vocabulary!$J$5:$J$6,AC145)=1),"OK","UNRECOGNISED_BURDEN_VALUE"))</f>
        <v/>
      </c>
    </row>
    <row r="146">
      <c r="P146">
        <f>IF(COUNTA(A146:O146)+COUNTA(Q146)+COUNTA(T146:W146)+COUNTA(Y146:AC146)=0,"",IF(OR(NOT(ISNUMBER(D146)),NOT(ISNUMBER(E146)),NOT(ISNUMBER(F146)),NOT(ISNUMBER(G146)),NOT(ISNUMBER(H146)),NOT(ISNUMBER(I146)),NOT(ISNUMBER(J146)),NOT(ISNUMBER(K146)),AD146&lt;&gt;"OK"),"Not feasible",IF(OR(D146&lt;E146,F146&lt;G146,H146&lt;I146,J146&lt;K146,AND(L146="Yes",OR(M146&lt;&gt;"Yes",N146&lt;&gt;"Yes")),AND(Y146="Yes",OR(Z146&lt;&gt;"Yes",AA146&lt;&gt;"Yes")),AB146&lt;&gt;"Yes",AC146&lt;&gt;"Yes"),"Not feasible",IF(OR(L146="Yes",Y146="Yes"),"Feasible with verified support","Feasible"))))</f>
        <v/>
      </c>
      <c r="R146">
        <f>IF(AND(P146="",Q146=""),"",IF(AND(P146&lt;&gt;"",Q146=""),"UNRECORDED",IF(AND(P146="",Q146&lt;&gt;""),"ORPHAN_RECORDED",IF(P146=Q146,"MATCH","MISMATCH"))))</f>
        <v/>
      </c>
      <c r="S146">
        <f>IF(OR(NOT(ISNUMBER(E146)),NOT(ISNUMBER(G146))),"",E146+G146)</f>
        <v/>
      </c>
      <c r="X146">
        <f>IF(A146="","",IF(AND(W146="Completed",OR(P146="Feasible",P146="Feasible with verified support")),"Completed feasible",IF(OR(P146="Not feasible",W146="Stopped before rating",W146="Aborted during review"),"Infeasible or aborted","Incomplete")))</f>
        <v/>
      </c>
      <c r="Y146" s="303" t="n"/>
      <c r="Z146" s="303" t="n"/>
      <c r="AA146" s="303" t="n"/>
      <c r="AB146" s="303" t="n"/>
      <c r="AC146" s="303" t="n"/>
      <c r="AD146" s="303">
        <f>IF(COUNTA(A146:O146)+COUNTA(Q146)+COUNTA(T146:W146)+COUNTA(Y146:AC146)=0,"",IF(AND(COUNTIF(Vocabulary!$J$5:$J$6,L146)=1,COUNTIF(Vocabulary!$J$5:$J$6,M146)=1,COUNTIF(Vocabulary!$J$5:$J$6,N146)=1,COUNTIF(Vocabulary!$J$5:$J$6,Y146)=1,COUNTIF(Vocabulary!$J$5:$J$6,Z146)=1,COUNTIF(Vocabulary!$J$5:$J$6,AA146)=1,COUNTIF(Vocabulary!$J$5:$J$6,AB146)=1,COUNTIF(Vocabulary!$J$5:$J$6,AC146)=1),"OK","UNRECOGNISED_BURDEN_VALUE"))</f>
        <v/>
      </c>
    </row>
    <row r="147">
      <c r="P147">
        <f>IF(COUNTA(A147:O147)+COUNTA(Q147)+COUNTA(T147:W147)+COUNTA(Y147:AC147)=0,"",IF(OR(NOT(ISNUMBER(D147)),NOT(ISNUMBER(E147)),NOT(ISNUMBER(F147)),NOT(ISNUMBER(G147)),NOT(ISNUMBER(H147)),NOT(ISNUMBER(I147)),NOT(ISNUMBER(J147)),NOT(ISNUMBER(K147)),AD147&lt;&gt;"OK"),"Not feasible",IF(OR(D147&lt;E147,F147&lt;G147,H147&lt;I147,J147&lt;K147,AND(L147="Yes",OR(M147&lt;&gt;"Yes",N147&lt;&gt;"Yes")),AND(Y147="Yes",OR(Z147&lt;&gt;"Yes",AA147&lt;&gt;"Yes")),AB147&lt;&gt;"Yes",AC147&lt;&gt;"Yes"),"Not feasible",IF(OR(L147="Yes",Y147="Yes"),"Feasible with verified support","Feasible"))))</f>
        <v/>
      </c>
      <c r="R147">
        <f>IF(AND(P147="",Q147=""),"",IF(AND(P147&lt;&gt;"",Q147=""),"UNRECORDED",IF(AND(P147="",Q147&lt;&gt;""),"ORPHAN_RECORDED",IF(P147=Q147,"MATCH","MISMATCH"))))</f>
        <v/>
      </c>
      <c r="S147">
        <f>IF(OR(NOT(ISNUMBER(E147)),NOT(ISNUMBER(G147))),"",E147+G147)</f>
        <v/>
      </c>
      <c r="X147">
        <f>IF(A147="","",IF(AND(W147="Completed",OR(P147="Feasible",P147="Feasible with verified support")),"Completed feasible",IF(OR(P147="Not feasible",W147="Stopped before rating",W147="Aborted during review"),"Infeasible or aborted","Incomplete")))</f>
        <v/>
      </c>
      <c r="Y147" s="303" t="n"/>
      <c r="Z147" s="303" t="n"/>
      <c r="AA147" s="303" t="n"/>
      <c r="AB147" s="303" t="n"/>
      <c r="AC147" s="303" t="n"/>
      <c r="AD147" s="303">
        <f>IF(COUNTA(A147:O147)+COUNTA(Q147)+COUNTA(T147:W147)+COUNTA(Y147:AC147)=0,"",IF(AND(COUNTIF(Vocabulary!$J$5:$J$6,L147)=1,COUNTIF(Vocabulary!$J$5:$J$6,M147)=1,COUNTIF(Vocabulary!$J$5:$J$6,N147)=1,COUNTIF(Vocabulary!$J$5:$J$6,Y147)=1,COUNTIF(Vocabulary!$J$5:$J$6,Z147)=1,COUNTIF(Vocabulary!$J$5:$J$6,AA147)=1,COUNTIF(Vocabulary!$J$5:$J$6,AB147)=1,COUNTIF(Vocabulary!$J$5:$J$6,AC147)=1),"OK","UNRECOGNISED_BURDEN_VALUE"))</f>
        <v/>
      </c>
    </row>
    <row r="148">
      <c r="P148">
        <f>IF(COUNTA(A148:O148)+COUNTA(Q148)+COUNTA(T148:W148)+COUNTA(Y148:AC148)=0,"",IF(OR(NOT(ISNUMBER(D148)),NOT(ISNUMBER(E148)),NOT(ISNUMBER(F148)),NOT(ISNUMBER(G148)),NOT(ISNUMBER(H148)),NOT(ISNUMBER(I148)),NOT(ISNUMBER(J148)),NOT(ISNUMBER(K148)),AD148&lt;&gt;"OK"),"Not feasible",IF(OR(D148&lt;E148,F148&lt;G148,H148&lt;I148,J148&lt;K148,AND(L148="Yes",OR(M148&lt;&gt;"Yes",N148&lt;&gt;"Yes")),AND(Y148="Yes",OR(Z148&lt;&gt;"Yes",AA148&lt;&gt;"Yes")),AB148&lt;&gt;"Yes",AC148&lt;&gt;"Yes"),"Not feasible",IF(OR(L148="Yes",Y148="Yes"),"Feasible with verified support","Feasible"))))</f>
        <v/>
      </c>
      <c r="R148">
        <f>IF(AND(P148="",Q148=""),"",IF(AND(P148&lt;&gt;"",Q148=""),"UNRECORDED",IF(AND(P148="",Q148&lt;&gt;""),"ORPHAN_RECORDED",IF(P148=Q148,"MATCH","MISMATCH"))))</f>
        <v/>
      </c>
      <c r="S148">
        <f>IF(OR(NOT(ISNUMBER(E148)),NOT(ISNUMBER(G148))),"",E148+G148)</f>
        <v/>
      </c>
      <c r="X148">
        <f>IF(A148="","",IF(AND(W148="Completed",OR(P148="Feasible",P148="Feasible with verified support")),"Completed feasible",IF(OR(P148="Not feasible",W148="Stopped before rating",W148="Aborted during review"),"Infeasible or aborted","Incomplete")))</f>
        <v/>
      </c>
      <c r="Y148" s="303" t="n"/>
      <c r="Z148" s="303" t="n"/>
      <c r="AA148" s="303" t="n"/>
      <c r="AB148" s="303" t="n"/>
      <c r="AC148" s="303" t="n"/>
      <c r="AD148" s="303">
        <f>IF(COUNTA(A148:O148)+COUNTA(Q148)+COUNTA(T148:W148)+COUNTA(Y148:AC148)=0,"",IF(AND(COUNTIF(Vocabulary!$J$5:$J$6,L148)=1,COUNTIF(Vocabulary!$J$5:$J$6,M148)=1,COUNTIF(Vocabulary!$J$5:$J$6,N148)=1,COUNTIF(Vocabulary!$J$5:$J$6,Y148)=1,COUNTIF(Vocabulary!$J$5:$J$6,Z148)=1,COUNTIF(Vocabulary!$J$5:$J$6,AA148)=1,COUNTIF(Vocabulary!$J$5:$J$6,AB148)=1,COUNTIF(Vocabulary!$J$5:$J$6,AC148)=1),"OK","UNRECOGNISED_BURDEN_VALUE"))</f>
        <v/>
      </c>
    </row>
    <row r="149">
      <c r="P149">
        <f>IF(COUNTA(A149:O149)+COUNTA(Q149)+COUNTA(T149:W149)+COUNTA(Y149:AC149)=0,"",IF(OR(NOT(ISNUMBER(D149)),NOT(ISNUMBER(E149)),NOT(ISNUMBER(F149)),NOT(ISNUMBER(G149)),NOT(ISNUMBER(H149)),NOT(ISNUMBER(I149)),NOT(ISNUMBER(J149)),NOT(ISNUMBER(K149)),AD149&lt;&gt;"OK"),"Not feasible",IF(OR(D149&lt;E149,F149&lt;G149,H149&lt;I149,J149&lt;K149,AND(L149="Yes",OR(M149&lt;&gt;"Yes",N149&lt;&gt;"Yes")),AND(Y149="Yes",OR(Z149&lt;&gt;"Yes",AA149&lt;&gt;"Yes")),AB149&lt;&gt;"Yes",AC149&lt;&gt;"Yes"),"Not feasible",IF(OR(L149="Yes",Y149="Yes"),"Feasible with verified support","Feasible"))))</f>
        <v/>
      </c>
      <c r="R149">
        <f>IF(AND(P149="",Q149=""),"",IF(AND(P149&lt;&gt;"",Q149=""),"UNRECORDED",IF(AND(P149="",Q149&lt;&gt;""),"ORPHAN_RECORDED",IF(P149=Q149,"MATCH","MISMATCH"))))</f>
        <v/>
      </c>
      <c r="S149">
        <f>IF(OR(NOT(ISNUMBER(E149)),NOT(ISNUMBER(G149))),"",E149+G149)</f>
        <v/>
      </c>
      <c r="X149">
        <f>IF(A149="","",IF(AND(W149="Completed",OR(P149="Feasible",P149="Feasible with verified support")),"Completed feasible",IF(OR(P149="Not feasible",W149="Stopped before rating",W149="Aborted during review"),"Infeasible or aborted","Incomplete")))</f>
        <v/>
      </c>
      <c r="Y149" s="303" t="n"/>
      <c r="Z149" s="303" t="n"/>
      <c r="AA149" s="303" t="n"/>
      <c r="AB149" s="303" t="n"/>
      <c r="AC149" s="303" t="n"/>
      <c r="AD149" s="303">
        <f>IF(COUNTA(A149:O149)+COUNTA(Q149)+COUNTA(T149:W149)+COUNTA(Y149:AC149)=0,"",IF(AND(COUNTIF(Vocabulary!$J$5:$J$6,L149)=1,COUNTIF(Vocabulary!$J$5:$J$6,M149)=1,COUNTIF(Vocabulary!$J$5:$J$6,N149)=1,COUNTIF(Vocabulary!$J$5:$J$6,Y149)=1,COUNTIF(Vocabulary!$J$5:$J$6,Z149)=1,COUNTIF(Vocabulary!$J$5:$J$6,AA149)=1,COUNTIF(Vocabulary!$J$5:$J$6,AB149)=1,COUNTIF(Vocabulary!$J$5:$J$6,AC149)=1),"OK","UNRECOGNISED_BURDEN_VALUE"))</f>
        <v/>
      </c>
    </row>
    <row r="150">
      <c r="P150">
        <f>IF(COUNTA(A150:O150)+COUNTA(Q150)+COUNTA(T150:W150)+COUNTA(Y150:AC150)=0,"",IF(OR(NOT(ISNUMBER(D150)),NOT(ISNUMBER(E150)),NOT(ISNUMBER(F150)),NOT(ISNUMBER(G150)),NOT(ISNUMBER(H150)),NOT(ISNUMBER(I150)),NOT(ISNUMBER(J150)),NOT(ISNUMBER(K150)),AD150&lt;&gt;"OK"),"Not feasible",IF(OR(D150&lt;E150,F150&lt;G150,H150&lt;I150,J150&lt;K150,AND(L150="Yes",OR(M150&lt;&gt;"Yes",N150&lt;&gt;"Yes")),AND(Y150="Yes",OR(Z150&lt;&gt;"Yes",AA150&lt;&gt;"Yes")),AB150&lt;&gt;"Yes",AC150&lt;&gt;"Yes"),"Not feasible",IF(OR(L150="Yes",Y150="Yes"),"Feasible with verified support","Feasible"))))</f>
        <v/>
      </c>
      <c r="R150">
        <f>IF(AND(P150="",Q150=""),"",IF(AND(P150&lt;&gt;"",Q150=""),"UNRECORDED",IF(AND(P150="",Q150&lt;&gt;""),"ORPHAN_RECORDED",IF(P150=Q150,"MATCH","MISMATCH"))))</f>
        <v/>
      </c>
      <c r="S150">
        <f>IF(OR(NOT(ISNUMBER(E150)),NOT(ISNUMBER(G150))),"",E150+G150)</f>
        <v/>
      </c>
      <c r="X150">
        <f>IF(A150="","",IF(AND(W150="Completed",OR(P150="Feasible",P150="Feasible with verified support")),"Completed feasible",IF(OR(P150="Not feasible",W150="Stopped before rating",W150="Aborted during review"),"Infeasible or aborted","Incomplete")))</f>
        <v/>
      </c>
      <c r="Y150" s="303" t="n"/>
      <c r="Z150" s="303" t="n"/>
      <c r="AA150" s="303" t="n"/>
      <c r="AB150" s="303" t="n"/>
      <c r="AC150" s="303" t="n"/>
      <c r="AD150" s="303">
        <f>IF(COUNTA(A150:O150)+COUNTA(Q150)+COUNTA(T150:W150)+COUNTA(Y150:AC150)=0,"",IF(AND(COUNTIF(Vocabulary!$J$5:$J$6,L150)=1,COUNTIF(Vocabulary!$J$5:$J$6,M150)=1,COUNTIF(Vocabulary!$J$5:$J$6,N150)=1,COUNTIF(Vocabulary!$J$5:$J$6,Y150)=1,COUNTIF(Vocabulary!$J$5:$J$6,Z150)=1,COUNTIF(Vocabulary!$J$5:$J$6,AA150)=1,COUNTIF(Vocabulary!$J$5:$J$6,AB150)=1,COUNTIF(Vocabulary!$J$5:$J$6,AC150)=1),"OK","UNRECOGNISED_BURDEN_VALUE"))</f>
        <v/>
      </c>
    </row>
    <row r="151">
      <c r="P151">
        <f>IF(COUNTA(A151:O151)+COUNTA(Q151)+COUNTA(T151:W151)+COUNTA(Y151:AC151)=0,"",IF(OR(NOT(ISNUMBER(D151)),NOT(ISNUMBER(E151)),NOT(ISNUMBER(F151)),NOT(ISNUMBER(G151)),NOT(ISNUMBER(H151)),NOT(ISNUMBER(I151)),NOT(ISNUMBER(J151)),NOT(ISNUMBER(K151)),AD151&lt;&gt;"OK"),"Not feasible",IF(OR(D151&lt;E151,F151&lt;G151,H151&lt;I151,J151&lt;K151,AND(L151="Yes",OR(M151&lt;&gt;"Yes",N151&lt;&gt;"Yes")),AND(Y151="Yes",OR(Z151&lt;&gt;"Yes",AA151&lt;&gt;"Yes")),AB151&lt;&gt;"Yes",AC151&lt;&gt;"Yes"),"Not feasible",IF(OR(L151="Yes",Y151="Yes"),"Feasible with verified support","Feasible"))))</f>
        <v/>
      </c>
      <c r="R151">
        <f>IF(AND(P151="",Q151=""),"",IF(AND(P151&lt;&gt;"",Q151=""),"UNRECORDED",IF(AND(P151="",Q151&lt;&gt;""),"ORPHAN_RECORDED",IF(P151=Q151,"MATCH","MISMATCH"))))</f>
        <v/>
      </c>
      <c r="S151">
        <f>IF(OR(NOT(ISNUMBER(E151)),NOT(ISNUMBER(G151))),"",E151+G151)</f>
        <v/>
      </c>
      <c r="X151">
        <f>IF(A151="","",IF(AND(W151="Completed",OR(P151="Feasible",P151="Feasible with verified support")),"Completed feasible",IF(OR(P151="Not feasible",W151="Stopped before rating",W151="Aborted during review"),"Infeasible or aborted","Incomplete")))</f>
        <v/>
      </c>
      <c r="Y151" s="303" t="n"/>
      <c r="Z151" s="303" t="n"/>
      <c r="AA151" s="303" t="n"/>
      <c r="AB151" s="303" t="n"/>
      <c r="AC151" s="303" t="n"/>
      <c r="AD151" s="303">
        <f>IF(COUNTA(A151:O151)+COUNTA(Q151)+COUNTA(T151:W151)+COUNTA(Y151:AC151)=0,"",IF(AND(COUNTIF(Vocabulary!$J$5:$J$6,L151)=1,COUNTIF(Vocabulary!$J$5:$J$6,M151)=1,COUNTIF(Vocabulary!$J$5:$J$6,N151)=1,COUNTIF(Vocabulary!$J$5:$J$6,Y151)=1,COUNTIF(Vocabulary!$J$5:$J$6,Z151)=1,COUNTIF(Vocabulary!$J$5:$J$6,AA151)=1,COUNTIF(Vocabulary!$J$5:$J$6,AB151)=1,COUNTIF(Vocabulary!$J$5:$J$6,AC151)=1),"OK","UNRECOGNISED_BURDEN_VALUE"))</f>
        <v/>
      </c>
    </row>
    <row r="152">
      <c r="P152">
        <f>IF(COUNTA(A152:O152)+COUNTA(Q152)+COUNTA(T152:W152)+COUNTA(Y152:AC152)=0,"",IF(OR(NOT(ISNUMBER(D152)),NOT(ISNUMBER(E152)),NOT(ISNUMBER(F152)),NOT(ISNUMBER(G152)),NOT(ISNUMBER(H152)),NOT(ISNUMBER(I152)),NOT(ISNUMBER(J152)),NOT(ISNUMBER(K152)),AD152&lt;&gt;"OK"),"Not feasible",IF(OR(D152&lt;E152,F152&lt;G152,H152&lt;I152,J152&lt;K152,AND(L152="Yes",OR(M152&lt;&gt;"Yes",N152&lt;&gt;"Yes")),AND(Y152="Yes",OR(Z152&lt;&gt;"Yes",AA152&lt;&gt;"Yes")),AB152&lt;&gt;"Yes",AC152&lt;&gt;"Yes"),"Not feasible",IF(OR(L152="Yes",Y152="Yes"),"Feasible with verified support","Feasible"))))</f>
        <v/>
      </c>
      <c r="R152">
        <f>IF(AND(P152="",Q152=""),"",IF(AND(P152&lt;&gt;"",Q152=""),"UNRECORDED",IF(AND(P152="",Q152&lt;&gt;""),"ORPHAN_RECORDED",IF(P152=Q152,"MATCH","MISMATCH"))))</f>
        <v/>
      </c>
      <c r="S152">
        <f>IF(OR(NOT(ISNUMBER(E152)),NOT(ISNUMBER(G152))),"",E152+G152)</f>
        <v/>
      </c>
      <c r="X152">
        <f>IF(A152="","",IF(AND(W152="Completed",OR(P152="Feasible",P152="Feasible with verified support")),"Completed feasible",IF(OR(P152="Not feasible",W152="Stopped before rating",W152="Aborted during review"),"Infeasible or aborted","Incomplete")))</f>
        <v/>
      </c>
      <c r="Y152" s="303" t="n"/>
      <c r="Z152" s="303" t="n"/>
      <c r="AA152" s="303" t="n"/>
      <c r="AB152" s="303" t="n"/>
      <c r="AC152" s="303" t="n"/>
      <c r="AD152" s="303">
        <f>IF(COUNTA(A152:O152)+COUNTA(Q152)+COUNTA(T152:W152)+COUNTA(Y152:AC152)=0,"",IF(AND(COUNTIF(Vocabulary!$J$5:$J$6,L152)=1,COUNTIF(Vocabulary!$J$5:$J$6,M152)=1,COUNTIF(Vocabulary!$J$5:$J$6,N152)=1,COUNTIF(Vocabulary!$J$5:$J$6,Y152)=1,COUNTIF(Vocabulary!$J$5:$J$6,Z152)=1,COUNTIF(Vocabulary!$J$5:$J$6,AA152)=1,COUNTIF(Vocabulary!$J$5:$J$6,AB152)=1,COUNTIF(Vocabulary!$J$5:$J$6,AC152)=1),"OK","UNRECOGNISED_BURDEN_VALUE"))</f>
        <v/>
      </c>
    </row>
    <row r="153">
      <c r="P153">
        <f>IF(COUNTA(A153:O153)+COUNTA(Q153)+COUNTA(T153:W153)+COUNTA(Y153:AC153)=0,"",IF(OR(NOT(ISNUMBER(D153)),NOT(ISNUMBER(E153)),NOT(ISNUMBER(F153)),NOT(ISNUMBER(G153)),NOT(ISNUMBER(H153)),NOT(ISNUMBER(I153)),NOT(ISNUMBER(J153)),NOT(ISNUMBER(K153)),AD153&lt;&gt;"OK"),"Not feasible",IF(OR(D153&lt;E153,F153&lt;G153,H153&lt;I153,J153&lt;K153,AND(L153="Yes",OR(M153&lt;&gt;"Yes",N153&lt;&gt;"Yes")),AND(Y153="Yes",OR(Z153&lt;&gt;"Yes",AA153&lt;&gt;"Yes")),AB153&lt;&gt;"Yes",AC153&lt;&gt;"Yes"),"Not feasible",IF(OR(L153="Yes",Y153="Yes"),"Feasible with verified support","Feasible"))))</f>
        <v/>
      </c>
      <c r="R153">
        <f>IF(AND(P153="",Q153=""),"",IF(AND(P153&lt;&gt;"",Q153=""),"UNRECORDED",IF(AND(P153="",Q153&lt;&gt;""),"ORPHAN_RECORDED",IF(P153=Q153,"MATCH","MISMATCH"))))</f>
        <v/>
      </c>
      <c r="S153">
        <f>IF(OR(NOT(ISNUMBER(E153)),NOT(ISNUMBER(G153))),"",E153+G153)</f>
        <v/>
      </c>
      <c r="X153">
        <f>IF(A153="","",IF(AND(W153="Completed",OR(P153="Feasible",P153="Feasible with verified support")),"Completed feasible",IF(OR(P153="Not feasible",W153="Stopped before rating",W153="Aborted during review"),"Infeasible or aborted","Incomplete")))</f>
        <v/>
      </c>
      <c r="Y153" s="303" t="n"/>
      <c r="Z153" s="303" t="n"/>
      <c r="AA153" s="303" t="n"/>
      <c r="AB153" s="303" t="n"/>
      <c r="AC153" s="303" t="n"/>
      <c r="AD153" s="303">
        <f>IF(COUNTA(A153:O153)+COUNTA(Q153)+COUNTA(T153:W153)+COUNTA(Y153:AC153)=0,"",IF(AND(COUNTIF(Vocabulary!$J$5:$J$6,L153)=1,COUNTIF(Vocabulary!$J$5:$J$6,M153)=1,COUNTIF(Vocabulary!$J$5:$J$6,N153)=1,COUNTIF(Vocabulary!$J$5:$J$6,Y153)=1,COUNTIF(Vocabulary!$J$5:$J$6,Z153)=1,COUNTIF(Vocabulary!$J$5:$J$6,AA153)=1,COUNTIF(Vocabulary!$J$5:$J$6,AB153)=1,COUNTIF(Vocabulary!$J$5:$J$6,AC153)=1),"OK","UNRECOGNISED_BURDEN_VALUE"))</f>
        <v/>
      </c>
    </row>
    <row r="154">
      <c r="P154">
        <f>IF(COUNTA(A154:O154)+COUNTA(Q154)+COUNTA(T154:W154)+COUNTA(Y154:AC154)=0,"",IF(OR(NOT(ISNUMBER(D154)),NOT(ISNUMBER(E154)),NOT(ISNUMBER(F154)),NOT(ISNUMBER(G154)),NOT(ISNUMBER(H154)),NOT(ISNUMBER(I154)),NOT(ISNUMBER(J154)),NOT(ISNUMBER(K154)),AD154&lt;&gt;"OK"),"Not feasible",IF(OR(D154&lt;E154,F154&lt;G154,H154&lt;I154,J154&lt;K154,AND(L154="Yes",OR(M154&lt;&gt;"Yes",N154&lt;&gt;"Yes")),AND(Y154="Yes",OR(Z154&lt;&gt;"Yes",AA154&lt;&gt;"Yes")),AB154&lt;&gt;"Yes",AC154&lt;&gt;"Yes"),"Not feasible",IF(OR(L154="Yes",Y154="Yes"),"Feasible with verified support","Feasible"))))</f>
        <v/>
      </c>
      <c r="R154">
        <f>IF(AND(P154="",Q154=""),"",IF(AND(P154&lt;&gt;"",Q154=""),"UNRECORDED",IF(AND(P154="",Q154&lt;&gt;""),"ORPHAN_RECORDED",IF(P154=Q154,"MATCH","MISMATCH"))))</f>
        <v/>
      </c>
      <c r="S154">
        <f>IF(OR(NOT(ISNUMBER(E154)),NOT(ISNUMBER(G154))),"",E154+G154)</f>
        <v/>
      </c>
      <c r="X154">
        <f>IF(A154="","",IF(AND(W154="Completed",OR(P154="Feasible",P154="Feasible with verified support")),"Completed feasible",IF(OR(P154="Not feasible",W154="Stopped before rating",W154="Aborted during review"),"Infeasible or aborted","Incomplete")))</f>
        <v/>
      </c>
      <c r="Y154" s="303" t="n"/>
      <c r="Z154" s="303" t="n"/>
      <c r="AA154" s="303" t="n"/>
      <c r="AB154" s="303" t="n"/>
      <c r="AC154" s="303" t="n"/>
      <c r="AD154" s="303">
        <f>IF(COUNTA(A154:O154)+COUNTA(Q154)+COUNTA(T154:W154)+COUNTA(Y154:AC154)=0,"",IF(AND(COUNTIF(Vocabulary!$J$5:$J$6,L154)=1,COUNTIF(Vocabulary!$J$5:$J$6,M154)=1,COUNTIF(Vocabulary!$J$5:$J$6,N154)=1,COUNTIF(Vocabulary!$J$5:$J$6,Y154)=1,COUNTIF(Vocabulary!$J$5:$J$6,Z154)=1,COUNTIF(Vocabulary!$J$5:$J$6,AA154)=1,COUNTIF(Vocabulary!$J$5:$J$6,AB154)=1,COUNTIF(Vocabulary!$J$5:$J$6,AC154)=1),"OK","UNRECOGNISED_BURDEN_VALUE"))</f>
        <v/>
      </c>
    </row>
    <row r="155">
      <c r="P155">
        <f>IF(COUNTA(A155:O155)+COUNTA(Q155)+COUNTA(T155:W155)+COUNTA(Y155:AC155)=0,"",IF(OR(NOT(ISNUMBER(D155)),NOT(ISNUMBER(E155)),NOT(ISNUMBER(F155)),NOT(ISNUMBER(G155)),NOT(ISNUMBER(H155)),NOT(ISNUMBER(I155)),NOT(ISNUMBER(J155)),NOT(ISNUMBER(K155)),AD155&lt;&gt;"OK"),"Not feasible",IF(OR(D155&lt;E155,F155&lt;G155,H155&lt;I155,J155&lt;K155,AND(L155="Yes",OR(M155&lt;&gt;"Yes",N155&lt;&gt;"Yes")),AND(Y155="Yes",OR(Z155&lt;&gt;"Yes",AA155&lt;&gt;"Yes")),AB155&lt;&gt;"Yes",AC155&lt;&gt;"Yes"),"Not feasible",IF(OR(L155="Yes",Y155="Yes"),"Feasible with verified support","Feasible"))))</f>
        <v/>
      </c>
      <c r="R155">
        <f>IF(AND(P155="",Q155=""),"",IF(AND(P155&lt;&gt;"",Q155=""),"UNRECORDED",IF(AND(P155="",Q155&lt;&gt;""),"ORPHAN_RECORDED",IF(P155=Q155,"MATCH","MISMATCH"))))</f>
        <v/>
      </c>
      <c r="S155">
        <f>IF(OR(NOT(ISNUMBER(E155)),NOT(ISNUMBER(G155))),"",E155+G155)</f>
        <v/>
      </c>
      <c r="X155">
        <f>IF(A155="","",IF(AND(W155="Completed",OR(P155="Feasible",P155="Feasible with verified support")),"Completed feasible",IF(OR(P155="Not feasible",W155="Stopped before rating",W155="Aborted during review"),"Infeasible or aborted","Incomplete")))</f>
        <v/>
      </c>
      <c r="Y155" s="303" t="n"/>
      <c r="Z155" s="303" t="n"/>
      <c r="AA155" s="303" t="n"/>
      <c r="AB155" s="303" t="n"/>
      <c r="AC155" s="303" t="n"/>
      <c r="AD155" s="303">
        <f>IF(COUNTA(A155:O155)+COUNTA(Q155)+COUNTA(T155:W155)+COUNTA(Y155:AC155)=0,"",IF(AND(COUNTIF(Vocabulary!$J$5:$J$6,L155)=1,COUNTIF(Vocabulary!$J$5:$J$6,M155)=1,COUNTIF(Vocabulary!$J$5:$J$6,N155)=1,COUNTIF(Vocabulary!$J$5:$J$6,Y155)=1,COUNTIF(Vocabulary!$J$5:$J$6,Z155)=1,COUNTIF(Vocabulary!$J$5:$J$6,AA155)=1,COUNTIF(Vocabulary!$J$5:$J$6,AB155)=1,COUNTIF(Vocabulary!$J$5:$J$6,AC155)=1),"OK","UNRECOGNISED_BURDEN_VALUE"))</f>
        <v/>
      </c>
    </row>
    <row r="156">
      <c r="P156">
        <f>IF(COUNTA(A156:O156)+COUNTA(Q156)+COUNTA(T156:W156)+COUNTA(Y156:AC156)=0,"",IF(OR(NOT(ISNUMBER(D156)),NOT(ISNUMBER(E156)),NOT(ISNUMBER(F156)),NOT(ISNUMBER(G156)),NOT(ISNUMBER(H156)),NOT(ISNUMBER(I156)),NOT(ISNUMBER(J156)),NOT(ISNUMBER(K156)),AD156&lt;&gt;"OK"),"Not feasible",IF(OR(D156&lt;E156,F156&lt;G156,H156&lt;I156,J156&lt;K156,AND(L156="Yes",OR(M156&lt;&gt;"Yes",N156&lt;&gt;"Yes")),AND(Y156="Yes",OR(Z156&lt;&gt;"Yes",AA156&lt;&gt;"Yes")),AB156&lt;&gt;"Yes",AC156&lt;&gt;"Yes"),"Not feasible",IF(OR(L156="Yes",Y156="Yes"),"Feasible with verified support","Feasible"))))</f>
        <v/>
      </c>
      <c r="R156">
        <f>IF(AND(P156="",Q156=""),"",IF(AND(P156&lt;&gt;"",Q156=""),"UNRECORDED",IF(AND(P156="",Q156&lt;&gt;""),"ORPHAN_RECORDED",IF(P156=Q156,"MATCH","MISMATCH"))))</f>
        <v/>
      </c>
      <c r="S156">
        <f>IF(OR(NOT(ISNUMBER(E156)),NOT(ISNUMBER(G156))),"",E156+G156)</f>
        <v/>
      </c>
      <c r="X156">
        <f>IF(A156="","",IF(AND(W156="Completed",OR(P156="Feasible",P156="Feasible with verified support")),"Completed feasible",IF(OR(P156="Not feasible",W156="Stopped before rating",W156="Aborted during review"),"Infeasible or aborted","Incomplete")))</f>
        <v/>
      </c>
      <c r="Y156" s="303" t="n"/>
      <c r="Z156" s="303" t="n"/>
      <c r="AA156" s="303" t="n"/>
      <c r="AB156" s="303" t="n"/>
      <c r="AC156" s="303" t="n"/>
      <c r="AD156" s="303">
        <f>IF(COUNTA(A156:O156)+COUNTA(Q156)+COUNTA(T156:W156)+COUNTA(Y156:AC156)=0,"",IF(AND(COUNTIF(Vocabulary!$J$5:$J$6,L156)=1,COUNTIF(Vocabulary!$J$5:$J$6,M156)=1,COUNTIF(Vocabulary!$J$5:$J$6,N156)=1,COUNTIF(Vocabulary!$J$5:$J$6,Y156)=1,COUNTIF(Vocabulary!$J$5:$J$6,Z156)=1,COUNTIF(Vocabulary!$J$5:$J$6,AA156)=1,COUNTIF(Vocabulary!$J$5:$J$6,AB156)=1,COUNTIF(Vocabulary!$J$5:$J$6,AC156)=1),"OK","UNRECOGNISED_BURDEN_VALUE"))</f>
        <v/>
      </c>
    </row>
    <row r="157">
      <c r="P157">
        <f>IF(COUNTA(A157:O157)+COUNTA(Q157)+COUNTA(T157:W157)+COUNTA(Y157:AC157)=0,"",IF(OR(NOT(ISNUMBER(D157)),NOT(ISNUMBER(E157)),NOT(ISNUMBER(F157)),NOT(ISNUMBER(G157)),NOT(ISNUMBER(H157)),NOT(ISNUMBER(I157)),NOT(ISNUMBER(J157)),NOT(ISNUMBER(K157)),AD157&lt;&gt;"OK"),"Not feasible",IF(OR(D157&lt;E157,F157&lt;G157,H157&lt;I157,J157&lt;K157,AND(L157="Yes",OR(M157&lt;&gt;"Yes",N157&lt;&gt;"Yes")),AND(Y157="Yes",OR(Z157&lt;&gt;"Yes",AA157&lt;&gt;"Yes")),AB157&lt;&gt;"Yes",AC157&lt;&gt;"Yes"),"Not feasible",IF(OR(L157="Yes",Y157="Yes"),"Feasible with verified support","Feasible"))))</f>
        <v/>
      </c>
      <c r="R157">
        <f>IF(AND(P157="",Q157=""),"",IF(AND(P157&lt;&gt;"",Q157=""),"UNRECORDED",IF(AND(P157="",Q157&lt;&gt;""),"ORPHAN_RECORDED",IF(P157=Q157,"MATCH","MISMATCH"))))</f>
        <v/>
      </c>
      <c r="S157">
        <f>IF(OR(NOT(ISNUMBER(E157)),NOT(ISNUMBER(G157))),"",E157+G157)</f>
        <v/>
      </c>
      <c r="X157">
        <f>IF(A157="","",IF(AND(W157="Completed",OR(P157="Feasible",P157="Feasible with verified support")),"Completed feasible",IF(OR(P157="Not feasible",W157="Stopped before rating",W157="Aborted during review"),"Infeasible or aborted","Incomplete")))</f>
        <v/>
      </c>
      <c r="Y157" s="303" t="n"/>
      <c r="Z157" s="303" t="n"/>
      <c r="AA157" s="303" t="n"/>
      <c r="AB157" s="303" t="n"/>
      <c r="AC157" s="303" t="n"/>
      <c r="AD157" s="303">
        <f>IF(COUNTA(A157:O157)+COUNTA(Q157)+COUNTA(T157:W157)+COUNTA(Y157:AC157)=0,"",IF(AND(COUNTIF(Vocabulary!$J$5:$J$6,L157)=1,COUNTIF(Vocabulary!$J$5:$J$6,M157)=1,COUNTIF(Vocabulary!$J$5:$J$6,N157)=1,COUNTIF(Vocabulary!$J$5:$J$6,Y157)=1,COUNTIF(Vocabulary!$J$5:$J$6,Z157)=1,COUNTIF(Vocabulary!$J$5:$J$6,AA157)=1,COUNTIF(Vocabulary!$J$5:$J$6,AB157)=1,COUNTIF(Vocabulary!$J$5:$J$6,AC157)=1),"OK","UNRECOGNISED_BURDEN_VALUE"))</f>
        <v/>
      </c>
    </row>
    <row r="158">
      <c r="P158">
        <f>IF(COUNTA(A158:O158)+COUNTA(Q158)+COUNTA(T158:W158)+COUNTA(Y158:AC158)=0,"",IF(OR(NOT(ISNUMBER(D158)),NOT(ISNUMBER(E158)),NOT(ISNUMBER(F158)),NOT(ISNUMBER(G158)),NOT(ISNUMBER(H158)),NOT(ISNUMBER(I158)),NOT(ISNUMBER(J158)),NOT(ISNUMBER(K158)),AD158&lt;&gt;"OK"),"Not feasible",IF(OR(D158&lt;E158,F158&lt;G158,H158&lt;I158,J158&lt;K158,AND(L158="Yes",OR(M158&lt;&gt;"Yes",N158&lt;&gt;"Yes")),AND(Y158="Yes",OR(Z158&lt;&gt;"Yes",AA158&lt;&gt;"Yes")),AB158&lt;&gt;"Yes",AC158&lt;&gt;"Yes"),"Not feasible",IF(OR(L158="Yes",Y158="Yes"),"Feasible with verified support","Feasible"))))</f>
        <v/>
      </c>
      <c r="R158">
        <f>IF(AND(P158="",Q158=""),"",IF(AND(P158&lt;&gt;"",Q158=""),"UNRECORDED",IF(AND(P158="",Q158&lt;&gt;""),"ORPHAN_RECORDED",IF(P158=Q158,"MATCH","MISMATCH"))))</f>
        <v/>
      </c>
      <c r="S158">
        <f>IF(OR(NOT(ISNUMBER(E158)),NOT(ISNUMBER(G158))),"",E158+G158)</f>
        <v/>
      </c>
      <c r="X158">
        <f>IF(A158="","",IF(AND(W158="Completed",OR(P158="Feasible",P158="Feasible with verified support")),"Completed feasible",IF(OR(P158="Not feasible",W158="Stopped before rating",W158="Aborted during review"),"Infeasible or aborted","Incomplete")))</f>
        <v/>
      </c>
      <c r="Y158" s="303" t="n"/>
      <c r="Z158" s="303" t="n"/>
      <c r="AA158" s="303" t="n"/>
      <c r="AB158" s="303" t="n"/>
      <c r="AC158" s="303" t="n"/>
      <c r="AD158" s="303">
        <f>IF(COUNTA(A158:O158)+COUNTA(Q158)+COUNTA(T158:W158)+COUNTA(Y158:AC158)=0,"",IF(AND(COUNTIF(Vocabulary!$J$5:$J$6,L158)=1,COUNTIF(Vocabulary!$J$5:$J$6,M158)=1,COUNTIF(Vocabulary!$J$5:$J$6,N158)=1,COUNTIF(Vocabulary!$J$5:$J$6,Y158)=1,COUNTIF(Vocabulary!$J$5:$J$6,Z158)=1,COUNTIF(Vocabulary!$J$5:$J$6,AA158)=1,COUNTIF(Vocabulary!$J$5:$J$6,AB158)=1,COUNTIF(Vocabulary!$J$5:$J$6,AC158)=1),"OK","UNRECOGNISED_BURDEN_VALUE"))</f>
        <v/>
      </c>
    </row>
    <row r="159">
      <c r="P159">
        <f>IF(COUNTA(A159:O159)+COUNTA(Q159)+COUNTA(T159:W159)+COUNTA(Y159:AC159)=0,"",IF(OR(NOT(ISNUMBER(D159)),NOT(ISNUMBER(E159)),NOT(ISNUMBER(F159)),NOT(ISNUMBER(G159)),NOT(ISNUMBER(H159)),NOT(ISNUMBER(I159)),NOT(ISNUMBER(J159)),NOT(ISNUMBER(K159)),AD159&lt;&gt;"OK"),"Not feasible",IF(OR(D159&lt;E159,F159&lt;G159,H159&lt;I159,J159&lt;K159,AND(L159="Yes",OR(M159&lt;&gt;"Yes",N159&lt;&gt;"Yes")),AND(Y159="Yes",OR(Z159&lt;&gt;"Yes",AA159&lt;&gt;"Yes")),AB159&lt;&gt;"Yes",AC159&lt;&gt;"Yes"),"Not feasible",IF(OR(L159="Yes",Y159="Yes"),"Feasible with verified support","Feasible"))))</f>
        <v/>
      </c>
      <c r="R159">
        <f>IF(AND(P159="",Q159=""),"",IF(AND(P159&lt;&gt;"",Q159=""),"UNRECORDED",IF(AND(P159="",Q159&lt;&gt;""),"ORPHAN_RECORDED",IF(P159=Q159,"MATCH","MISMATCH"))))</f>
        <v/>
      </c>
      <c r="S159">
        <f>IF(OR(NOT(ISNUMBER(E159)),NOT(ISNUMBER(G159))),"",E159+G159)</f>
        <v/>
      </c>
      <c r="X159">
        <f>IF(A159="","",IF(AND(W159="Completed",OR(P159="Feasible",P159="Feasible with verified support")),"Completed feasible",IF(OR(P159="Not feasible",W159="Stopped before rating",W159="Aborted during review"),"Infeasible or aborted","Incomplete")))</f>
        <v/>
      </c>
      <c r="Y159" s="303" t="n"/>
      <c r="Z159" s="303" t="n"/>
      <c r="AA159" s="303" t="n"/>
      <c r="AB159" s="303" t="n"/>
      <c r="AC159" s="303" t="n"/>
      <c r="AD159" s="303">
        <f>IF(COUNTA(A159:O159)+COUNTA(Q159)+COUNTA(T159:W159)+COUNTA(Y159:AC159)=0,"",IF(AND(COUNTIF(Vocabulary!$J$5:$J$6,L159)=1,COUNTIF(Vocabulary!$J$5:$J$6,M159)=1,COUNTIF(Vocabulary!$J$5:$J$6,N159)=1,COUNTIF(Vocabulary!$J$5:$J$6,Y159)=1,COUNTIF(Vocabulary!$J$5:$J$6,Z159)=1,COUNTIF(Vocabulary!$J$5:$J$6,AA159)=1,COUNTIF(Vocabulary!$J$5:$J$6,AB159)=1,COUNTIF(Vocabulary!$J$5:$J$6,AC159)=1),"OK","UNRECOGNISED_BURDEN_VALUE"))</f>
        <v/>
      </c>
    </row>
    <row r="160">
      <c r="P160">
        <f>IF(COUNTA(A160:O160)+COUNTA(Q160)+COUNTA(T160:W160)+COUNTA(Y160:AC160)=0,"",IF(OR(NOT(ISNUMBER(D160)),NOT(ISNUMBER(E160)),NOT(ISNUMBER(F160)),NOT(ISNUMBER(G160)),NOT(ISNUMBER(H160)),NOT(ISNUMBER(I160)),NOT(ISNUMBER(J160)),NOT(ISNUMBER(K160)),AD160&lt;&gt;"OK"),"Not feasible",IF(OR(D160&lt;E160,F160&lt;G160,H160&lt;I160,J160&lt;K160,AND(L160="Yes",OR(M160&lt;&gt;"Yes",N160&lt;&gt;"Yes")),AND(Y160="Yes",OR(Z160&lt;&gt;"Yes",AA160&lt;&gt;"Yes")),AB160&lt;&gt;"Yes",AC160&lt;&gt;"Yes"),"Not feasible",IF(OR(L160="Yes",Y160="Yes"),"Feasible with verified support","Feasible"))))</f>
        <v/>
      </c>
      <c r="R160">
        <f>IF(AND(P160="",Q160=""),"",IF(AND(P160&lt;&gt;"",Q160=""),"UNRECORDED",IF(AND(P160="",Q160&lt;&gt;""),"ORPHAN_RECORDED",IF(P160=Q160,"MATCH","MISMATCH"))))</f>
        <v/>
      </c>
      <c r="S160">
        <f>IF(OR(NOT(ISNUMBER(E160)),NOT(ISNUMBER(G160))),"",E160+G160)</f>
        <v/>
      </c>
      <c r="X160">
        <f>IF(A160="","",IF(AND(W160="Completed",OR(P160="Feasible",P160="Feasible with verified support")),"Completed feasible",IF(OR(P160="Not feasible",W160="Stopped before rating",W160="Aborted during review"),"Infeasible or aborted","Incomplete")))</f>
        <v/>
      </c>
      <c r="Y160" s="303" t="n"/>
      <c r="Z160" s="303" t="n"/>
      <c r="AA160" s="303" t="n"/>
      <c r="AB160" s="303" t="n"/>
      <c r="AC160" s="303" t="n"/>
      <c r="AD160" s="303">
        <f>IF(COUNTA(A160:O160)+COUNTA(Q160)+COUNTA(T160:W160)+COUNTA(Y160:AC160)=0,"",IF(AND(COUNTIF(Vocabulary!$J$5:$J$6,L160)=1,COUNTIF(Vocabulary!$J$5:$J$6,M160)=1,COUNTIF(Vocabulary!$J$5:$J$6,N160)=1,COUNTIF(Vocabulary!$J$5:$J$6,Y160)=1,COUNTIF(Vocabulary!$J$5:$J$6,Z160)=1,COUNTIF(Vocabulary!$J$5:$J$6,AA160)=1,COUNTIF(Vocabulary!$J$5:$J$6,AB160)=1,COUNTIF(Vocabulary!$J$5:$J$6,AC160)=1),"OK","UNRECOGNISED_BURDEN_VALUE"))</f>
        <v/>
      </c>
    </row>
    <row r="161">
      <c r="P161">
        <f>IF(COUNTA(A161:O161)+COUNTA(Q161)+COUNTA(T161:W161)+COUNTA(Y161:AC161)=0,"",IF(OR(NOT(ISNUMBER(D161)),NOT(ISNUMBER(E161)),NOT(ISNUMBER(F161)),NOT(ISNUMBER(G161)),NOT(ISNUMBER(H161)),NOT(ISNUMBER(I161)),NOT(ISNUMBER(J161)),NOT(ISNUMBER(K161)),AD161&lt;&gt;"OK"),"Not feasible",IF(OR(D161&lt;E161,F161&lt;G161,H161&lt;I161,J161&lt;K161,AND(L161="Yes",OR(M161&lt;&gt;"Yes",N161&lt;&gt;"Yes")),AND(Y161="Yes",OR(Z161&lt;&gt;"Yes",AA161&lt;&gt;"Yes")),AB161&lt;&gt;"Yes",AC161&lt;&gt;"Yes"),"Not feasible",IF(OR(L161="Yes",Y161="Yes"),"Feasible with verified support","Feasible"))))</f>
        <v/>
      </c>
      <c r="R161">
        <f>IF(AND(P161="",Q161=""),"",IF(AND(P161&lt;&gt;"",Q161=""),"UNRECORDED",IF(AND(P161="",Q161&lt;&gt;""),"ORPHAN_RECORDED",IF(P161=Q161,"MATCH","MISMATCH"))))</f>
        <v/>
      </c>
      <c r="S161">
        <f>IF(OR(NOT(ISNUMBER(E161)),NOT(ISNUMBER(G161))),"",E161+G161)</f>
        <v/>
      </c>
      <c r="X161">
        <f>IF(A161="","",IF(AND(W161="Completed",OR(P161="Feasible",P161="Feasible with verified support")),"Completed feasible",IF(OR(P161="Not feasible",W161="Stopped before rating",W161="Aborted during review"),"Infeasible or aborted","Incomplete")))</f>
        <v/>
      </c>
      <c r="Y161" s="303" t="n"/>
      <c r="Z161" s="303" t="n"/>
      <c r="AA161" s="303" t="n"/>
      <c r="AB161" s="303" t="n"/>
      <c r="AC161" s="303" t="n"/>
      <c r="AD161" s="303">
        <f>IF(COUNTA(A161:O161)+COUNTA(Q161)+COUNTA(T161:W161)+COUNTA(Y161:AC161)=0,"",IF(AND(COUNTIF(Vocabulary!$J$5:$J$6,L161)=1,COUNTIF(Vocabulary!$J$5:$J$6,M161)=1,COUNTIF(Vocabulary!$J$5:$J$6,N161)=1,COUNTIF(Vocabulary!$J$5:$J$6,Y161)=1,COUNTIF(Vocabulary!$J$5:$J$6,Z161)=1,COUNTIF(Vocabulary!$J$5:$J$6,AA161)=1,COUNTIF(Vocabulary!$J$5:$J$6,AB161)=1,COUNTIF(Vocabulary!$J$5:$J$6,AC161)=1),"OK","UNRECOGNISED_BURDEN_VALUE"))</f>
        <v/>
      </c>
    </row>
    <row r="162">
      <c r="P162">
        <f>IF(COUNTA(A162:O162)+COUNTA(Q162)+COUNTA(T162:W162)+COUNTA(Y162:AC162)=0,"",IF(OR(NOT(ISNUMBER(D162)),NOT(ISNUMBER(E162)),NOT(ISNUMBER(F162)),NOT(ISNUMBER(G162)),NOT(ISNUMBER(H162)),NOT(ISNUMBER(I162)),NOT(ISNUMBER(J162)),NOT(ISNUMBER(K162)),AD162&lt;&gt;"OK"),"Not feasible",IF(OR(D162&lt;E162,F162&lt;G162,H162&lt;I162,J162&lt;K162,AND(L162="Yes",OR(M162&lt;&gt;"Yes",N162&lt;&gt;"Yes")),AND(Y162="Yes",OR(Z162&lt;&gt;"Yes",AA162&lt;&gt;"Yes")),AB162&lt;&gt;"Yes",AC162&lt;&gt;"Yes"),"Not feasible",IF(OR(L162="Yes",Y162="Yes"),"Feasible with verified support","Feasible"))))</f>
        <v/>
      </c>
      <c r="R162">
        <f>IF(AND(P162="",Q162=""),"",IF(AND(P162&lt;&gt;"",Q162=""),"UNRECORDED",IF(AND(P162="",Q162&lt;&gt;""),"ORPHAN_RECORDED",IF(P162=Q162,"MATCH","MISMATCH"))))</f>
        <v/>
      </c>
      <c r="S162">
        <f>IF(OR(NOT(ISNUMBER(E162)),NOT(ISNUMBER(G162))),"",E162+G162)</f>
        <v/>
      </c>
      <c r="X162">
        <f>IF(A162="","",IF(AND(W162="Completed",OR(P162="Feasible",P162="Feasible with verified support")),"Completed feasible",IF(OR(P162="Not feasible",W162="Stopped before rating",W162="Aborted during review"),"Infeasible or aborted","Incomplete")))</f>
        <v/>
      </c>
      <c r="Y162" s="303" t="n"/>
      <c r="Z162" s="303" t="n"/>
      <c r="AA162" s="303" t="n"/>
      <c r="AB162" s="303" t="n"/>
      <c r="AC162" s="303" t="n"/>
      <c r="AD162" s="303">
        <f>IF(COUNTA(A162:O162)+COUNTA(Q162)+COUNTA(T162:W162)+COUNTA(Y162:AC162)=0,"",IF(AND(COUNTIF(Vocabulary!$J$5:$J$6,L162)=1,COUNTIF(Vocabulary!$J$5:$J$6,M162)=1,COUNTIF(Vocabulary!$J$5:$J$6,N162)=1,COUNTIF(Vocabulary!$J$5:$J$6,Y162)=1,COUNTIF(Vocabulary!$J$5:$J$6,Z162)=1,COUNTIF(Vocabulary!$J$5:$J$6,AA162)=1,COUNTIF(Vocabulary!$J$5:$J$6,AB162)=1,COUNTIF(Vocabulary!$J$5:$J$6,AC162)=1),"OK","UNRECOGNISED_BURDEN_VALUE"))</f>
        <v/>
      </c>
    </row>
    <row r="163">
      <c r="P163">
        <f>IF(COUNTA(A163:O163)+COUNTA(Q163)+COUNTA(T163:W163)+COUNTA(Y163:AC163)=0,"",IF(OR(NOT(ISNUMBER(D163)),NOT(ISNUMBER(E163)),NOT(ISNUMBER(F163)),NOT(ISNUMBER(G163)),NOT(ISNUMBER(H163)),NOT(ISNUMBER(I163)),NOT(ISNUMBER(J163)),NOT(ISNUMBER(K163)),AD163&lt;&gt;"OK"),"Not feasible",IF(OR(D163&lt;E163,F163&lt;G163,H163&lt;I163,J163&lt;K163,AND(L163="Yes",OR(M163&lt;&gt;"Yes",N163&lt;&gt;"Yes")),AND(Y163="Yes",OR(Z163&lt;&gt;"Yes",AA163&lt;&gt;"Yes")),AB163&lt;&gt;"Yes",AC163&lt;&gt;"Yes"),"Not feasible",IF(OR(L163="Yes",Y163="Yes"),"Feasible with verified support","Feasible"))))</f>
        <v/>
      </c>
      <c r="R163">
        <f>IF(AND(P163="",Q163=""),"",IF(AND(P163&lt;&gt;"",Q163=""),"UNRECORDED",IF(AND(P163="",Q163&lt;&gt;""),"ORPHAN_RECORDED",IF(P163=Q163,"MATCH","MISMATCH"))))</f>
        <v/>
      </c>
      <c r="S163">
        <f>IF(OR(NOT(ISNUMBER(E163)),NOT(ISNUMBER(G163))),"",E163+G163)</f>
        <v/>
      </c>
      <c r="X163">
        <f>IF(A163="","",IF(AND(W163="Completed",OR(P163="Feasible",P163="Feasible with verified support")),"Completed feasible",IF(OR(P163="Not feasible",W163="Stopped before rating",W163="Aborted during review"),"Infeasible or aborted","Incomplete")))</f>
        <v/>
      </c>
      <c r="Y163" s="303" t="n"/>
      <c r="Z163" s="303" t="n"/>
      <c r="AA163" s="303" t="n"/>
      <c r="AB163" s="303" t="n"/>
      <c r="AC163" s="303" t="n"/>
      <c r="AD163" s="303">
        <f>IF(COUNTA(A163:O163)+COUNTA(Q163)+COUNTA(T163:W163)+COUNTA(Y163:AC163)=0,"",IF(AND(COUNTIF(Vocabulary!$J$5:$J$6,L163)=1,COUNTIF(Vocabulary!$J$5:$J$6,M163)=1,COUNTIF(Vocabulary!$J$5:$J$6,N163)=1,COUNTIF(Vocabulary!$J$5:$J$6,Y163)=1,COUNTIF(Vocabulary!$J$5:$J$6,Z163)=1,COUNTIF(Vocabulary!$J$5:$J$6,AA163)=1,COUNTIF(Vocabulary!$J$5:$J$6,AB163)=1,COUNTIF(Vocabulary!$J$5:$J$6,AC163)=1),"OK","UNRECOGNISED_BURDEN_VALUE"))</f>
        <v/>
      </c>
    </row>
    <row r="164">
      <c r="P164">
        <f>IF(COUNTA(A164:O164)+COUNTA(Q164)+COUNTA(T164:W164)+COUNTA(Y164:AC164)=0,"",IF(OR(NOT(ISNUMBER(D164)),NOT(ISNUMBER(E164)),NOT(ISNUMBER(F164)),NOT(ISNUMBER(G164)),NOT(ISNUMBER(H164)),NOT(ISNUMBER(I164)),NOT(ISNUMBER(J164)),NOT(ISNUMBER(K164)),AD164&lt;&gt;"OK"),"Not feasible",IF(OR(D164&lt;E164,F164&lt;G164,H164&lt;I164,J164&lt;K164,AND(L164="Yes",OR(M164&lt;&gt;"Yes",N164&lt;&gt;"Yes")),AND(Y164="Yes",OR(Z164&lt;&gt;"Yes",AA164&lt;&gt;"Yes")),AB164&lt;&gt;"Yes",AC164&lt;&gt;"Yes"),"Not feasible",IF(OR(L164="Yes",Y164="Yes"),"Feasible with verified support","Feasible"))))</f>
        <v/>
      </c>
      <c r="R164">
        <f>IF(AND(P164="",Q164=""),"",IF(AND(P164&lt;&gt;"",Q164=""),"UNRECORDED",IF(AND(P164="",Q164&lt;&gt;""),"ORPHAN_RECORDED",IF(P164=Q164,"MATCH","MISMATCH"))))</f>
        <v/>
      </c>
      <c r="S164">
        <f>IF(OR(NOT(ISNUMBER(E164)),NOT(ISNUMBER(G164))),"",E164+G164)</f>
        <v/>
      </c>
      <c r="X164">
        <f>IF(A164="","",IF(AND(W164="Completed",OR(P164="Feasible",P164="Feasible with verified support")),"Completed feasible",IF(OR(P164="Not feasible",W164="Stopped before rating",W164="Aborted during review"),"Infeasible or aborted","Incomplete")))</f>
        <v/>
      </c>
      <c r="Y164" s="303" t="n"/>
      <c r="Z164" s="303" t="n"/>
      <c r="AA164" s="303" t="n"/>
      <c r="AB164" s="303" t="n"/>
      <c r="AC164" s="303" t="n"/>
      <c r="AD164" s="303">
        <f>IF(COUNTA(A164:O164)+COUNTA(Q164)+COUNTA(T164:W164)+COUNTA(Y164:AC164)=0,"",IF(AND(COUNTIF(Vocabulary!$J$5:$J$6,L164)=1,COUNTIF(Vocabulary!$J$5:$J$6,M164)=1,COUNTIF(Vocabulary!$J$5:$J$6,N164)=1,COUNTIF(Vocabulary!$J$5:$J$6,Y164)=1,COUNTIF(Vocabulary!$J$5:$J$6,Z164)=1,COUNTIF(Vocabulary!$J$5:$J$6,AA164)=1,COUNTIF(Vocabulary!$J$5:$J$6,AB164)=1,COUNTIF(Vocabulary!$J$5:$J$6,AC164)=1),"OK","UNRECOGNISED_BURDEN_VALUE"))</f>
        <v/>
      </c>
    </row>
    <row r="165">
      <c r="P165">
        <f>IF(COUNTA(A165:O165)+COUNTA(Q165)+COUNTA(T165:W165)+COUNTA(Y165:AC165)=0,"",IF(OR(NOT(ISNUMBER(D165)),NOT(ISNUMBER(E165)),NOT(ISNUMBER(F165)),NOT(ISNUMBER(G165)),NOT(ISNUMBER(H165)),NOT(ISNUMBER(I165)),NOT(ISNUMBER(J165)),NOT(ISNUMBER(K165)),AD165&lt;&gt;"OK"),"Not feasible",IF(OR(D165&lt;E165,F165&lt;G165,H165&lt;I165,J165&lt;K165,AND(L165="Yes",OR(M165&lt;&gt;"Yes",N165&lt;&gt;"Yes")),AND(Y165="Yes",OR(Z165&lt;&gt;"Yes",AA165&lt;&gt;"Yes")),AB165&lt;&gt;"Yes",AC165&lt;&gt;"Yes"),"Not feasible",IF(OR(L165="Yes",Y165="Yes"),"Feasible with verified support","Feasible"))))</f>
        <v/>
      </c>
      <c r="R165">
        <f>IF(AND(P165="",Q165=""),"",IF(AND(P165&lt;&gt;"",Q165=""),"UNRECORDED",IF(AND(P165="",Q165&lt;&gt;""),"ORPHAN_RECORDED",IF(P165=Q165,"MATCH","MISMATCH"))))</f>
        <v/>
      </c>
      <c r="S165">
        <f>IF(OR(NOT(ISNUMBER(E165)),NOT(ISNUMBER(G165))),"",E165+G165)</f>
        <v/>
      </c>
      <c r="X165">
        <f>IF(A165="","",IF(AND(W165="Completed",OR(P165="Feasible",P165="Feasible with verified support")),"Completed feasible",IF(OR(P165="Not feasible",W165="Stopped before rating",W165="Aborted during review"),"Infeasible or aborted","Incomplete")))</f>
        <v/>
      </c>
      <c r="Y165" s="303" t="n"/>
      <c r="Z165" s="303" t="n"/>
      <c r="AA165" s="303" t="n"/>
      <c r="AB165" s="303" t="n"/>
      <c r="AC165" s="303" t="n"/>
      <c r="AD165" s="303">
        <f>IF(COUNTA(A165:O165)+COUNTA(Q165)+COUNTA(T165:W165)+COUNTA(Y165:AC165)=0,"",IF(AND(COUNTIF(Vocabulary!$J$5:$J$6,L165)=1,COUNTIF(Vocabulary!$J$5:$J$6,M165)=1,COUNTIF(Vocabulary!$J$5:$J$6,N165)=1,COUNTIF(Vocabulary!$J$5:$J$6,Y165)=1,COUNTIF(Vocabulary!$J$5:$J$6,Z165)=1,COUNTIF(Vocabulary!$J$5:$J$6,AA165)=1,COUNTIF(Vocabulary!$J$5:$J$6,AB165)=1,COUNTIF(Vocabulary!$J$5:$J$6,AC165)=1),"OK","UNRECOGNISED_BURDEN_VALUE"))</f>
        <v/>
      </c>
    </row>
    <row r="166">
      <c r="P166">
        <f>IF(COUNTA(A166:O166)+COUNTA(Q166)+COUNTA(T166:W166)+COUNTA(Y166:AC166)=0,"",IF(OR(NOT(ISNUMBER(D166)),NOT(ISNUMBER(E166)),NOT(ISNUMBER(F166)),NOT(ISNUMBER(G166)),NOT(ISNUMBER(H166)),NOT(ISNUMBER(I166)),NOT(ISNUMBER(J166)),NOT(ISNUMBER(K166)),AD166&lt;&gt;"OK"),"Not feasible",IF(OR(D166&lt;E166,F166&lt;G166,H166&lt;I166,J166&lt;K166,AND(L166="Yes",OR(M166&lt;&gt;"Yes",N166&lt;&gt;"Yes")),AND(Y166="Yes",OR(Z166&lt;&gt;"Yes",AA166&lt;&gt;"Yes")),AB166&lt;&gt;"Yes",AC166&lt;&gt;"Yes"),"Not feasible",IF(OR(L166="Yes",Y166="Yes"),"Feasible with verified support","Feasible"))))</f>
        <v/>
      </c>
      <c r="R166">
        <f>IF(AND(P166="",Q166=""),"",IF(AND(P166&lt;&gt;"",Q166=""),"UNRECORDED",IF(AND(P166="",Q166&lt;&gt;""),"ORPHAN_RECORDED",IF(P166=Q166,"MATCH","MISMATCH"))))</f>
        <v/>
      </c>
      <c r="S166">
        <f>IF(OR(NOT(ISNUMBER(E166)),NOT(ISNUMBER(G166))),"",E166+G166)</f>
        <v/>
      </c>
      <c r="X166">
        <f>IF(A166="","",IF(AND(W166="Completed",OR(P166="Feasible",P166="Feasible with verified support")),"Completed feasible",IF(OR(P166="Not feasible",W166="Stopped before rating",W166="Aborted during review"),"Infeasible or aborted","Incomplete")))</f>
        <v/>
      </c>
      <c r="Y166" s="303" t="n"/>
      <c r="Z166" s="303" t="n"/>
      <c r="AA166" s="303" t="n"/>
      <c r="AB166" s="303" t="n"/>
      <c r="AC166" s="303" t="n"/>
      <c r="AD166" s="303">
        <f>IF(COUNTA(A166:O166)+COUNTA(Q166)+COUNTA(T166:W166)+COUNTA(Y166:AC166)=0,"",IF(AND(COUNTIF(Vocabulary!$J$5:$J$6,L166)=1,COUNTIF(Vocabulary!$J$5:$J$6,M166)=1,COUNTIF(Vocabulary!$J$5:$J$6,N166)=1,COUNTIF(Vocabulary!$J$5:$J$6,Y166)=1,COUNTIF(Vocabulary!$J$5:$J$6,Z166)=1,COUNTIF(Vocabulary!$J$5:$J$6,AA166)=1,COUNTIF(Vocabulary!$J$5:$J$6,AB166)=1,COUNTIF(Vocabulary!$J$5:$J$6,AC166)=1),"OK","UNRECOGNISED_BURDEN_VALUE"))</f>
        <v/>
      </c>
    </row>
    <row r="167">
      <c r="P167">
        <f>IF(COUNTA(A167:O167)+COUNTA(Q167)+COUNTA(T167:W167)+COUNTA(Y167:AC167)=0,"",IF(OR(NOT(ISNUMBER(D167)),NOT(ISNUMBER(E167)),NOT(ISNUMBER(F167)),NOT(ISNUMBER(G167)),NOT(ISNUMBER(H167)),NOT(ISNUMBER(I167)),NOT(ISNUMBER(J167)),NOT(ISNUMBER(K167)),AD167&lt;&gt;"OK"),"Not feasible",IF(OR(D167&lt;E167,F167&lt;G167,H167&lt;I167,J167&lt;K167,AND(L167="Yes",OR(M167&lt;&gt;"Yes",N167&lt;&gt;"Yes")),AND(Y167="Yes",OR(Z167&lt;&gt;"Yes",AA167&lt;&gt;"Yes")),AB167&lt;&gt;"Yes",AC167&lt;&gt;"Yes"),"Not feasible",IF(OR(L167="Yes",Y167="Yes"),"Feasible with verified support","Feasible"))))</f>
        <v/>
      </c>
      <c r="R167">
        <f>IF(AND(P167="",Q167=""),"",IF(AND(P167&lt;&gt;"",Q167=""),"UNRECORDED",IF(AND(P167="",Q167&lt;&gt;""),"ORPHAN_RECORDED",IF(P167=Q167,"MATCH","MISMATCH"))))</f>
        <v/>
      </c>
      <c r="S167">
        <f>IF(OR(NOT(ISNUMBER(E167)),NOT(ISNUMBER(G167))),"",E167+G167)</f>
        <v/>
      </c>
      <c r="X167">
        <f>IF(A167="","",IF(AND(W167="Completed",OR(P167="Feasible",P167="Feasible with verified support")),"Completed feasible",IF(OR(P167="Not feasible",W167="Stopped before rating",W167="Aborted during review"),"Infeasible or aborted","Incomplete")))</f>
        <v/>
      </c>
      <c r="Y167" s="303" t="n"/>
      <c r="Z167" s="303" t="n"/>
      <c r="AA167" s="303" t="n"/>
      <c r="AB167" s="303" t="n"/>
      <c r="AC167" s="303" t="n"/>
      <c r="AD167" s="303">
        <f>IF(COUNTA(A167:O167)+COUNTA(Q167)+COUNTA(T167:W167)+COUNTA(Y167:AC167)=0,"",IF(AND(COUNTIF(Vocabulary!$J$5:$J$6,L167)=1,COUNTIF(Vocabulary!$J$5:$J$6,M167)=1,COUNTIF(Vocabulary!$J$5:$J$6,N167)=1,COUNTIF(Vocabulary!$J$5:$J$6,Y167)=1,COUNTIF(Vocabulary!$J$5:$J$6,Z167)=1,COUNTIF(Vocabulary!$J$5:$J$6,AA167)=1,COUNTIF(Vocabulary!$J$5:$J$6,AB167)=1,COUNTIF(Vocabulary!$J$5:$J$6,AC167)=1),"OK","UNRECOGNISED_BURDEN_VALUE"))</f>
        <v/>
      </c>
    </row>
    <row r="168">
      <c r="P168">
        <f>IF(COUNTA(A168:O168)+COUNTA(Q168)+COUNTA(T168:W168)+COUNTA(Y168:AC168)=0,"",IF(OR(NOT(ISNUMBER(D168)),NOT(ISNUMBER(E168)),NOT(ISNUMBER(F168)),NOT(ISNUMBER(G168)),NOT(ISNUMBER(H168)),NOT(ISNUMBER(I168)),NOT(ISNUMBER(J168)),NOT(ISNUMBER(K168)),AD168&lt;&gt;"OK"),"Not feasible",IF(OR(D168&lt;E168,F168&lt;G168,H168&lt;I168,J168&lt;K168,AND(L168="Yes",OR(M168&lt;&gt;"Yes",N168&lt;&gt;"Yes")),AND(Y168="Yes",OR(Z168&lt;&gt;"Yes",AA168&lt;&gt;"Yes")),AB168&lt;&gt;"Yes",AC168&lt;&gt;"Yes"),"Not feasible",IF(OR(L168="Yes",Y168="Yes"),"Feasible with verified support","Feasible"))))</f>
        <v/>
      </c>
      <c r="R168">
        <f>IF(AND(P168="",Q168=""),"",IF(AND(P168&lt;&gt;"",Q168=""),"UNRECORDED",IF(AND(P168="",Q168&lt;&gt;""),"ORPHAN_RECORDED",IF(P168=Q168,"MATCH","MISMATCH"))))</f>
        <v/>
      </c>
      <c r="S168">
        <f>IF(OR(NOT(ISNUMBER(E168)),NOT(ISNUMBER(G168))),"",E168+G168)</f>
        <v/>
      </c>
      <c r="X168">
        <f>IF(A168="","",IF(AND(W168="Completed",OR(P168="Feasible",P168="Feasible with verified support")),"Completed feasible",IF(OR(P168="Not feasible",W168="Stopped before rating",W168="Aborted during review"),"Infeasible or aborted","Incomplete")))</f>
        <v/>
      </c>
      <c r="Y168" s="303" t="n"/>
      <c r="Z168" s="303" t="n"/>
      <c r="AA168" s="303" t="n"/>
      <c r="AB168" s="303" t="n"/>
      <c r="AC168" s="303" t="n"/>
      <c r="AD168" s="303">
        <f>IF(COUNTA(A168:O168)+COUNTA(Q168)+COUNTA(T168:W168)+COUNTA(Y168:AC168)=0,"",IF(AND(COUNTIF(Vocabulary!$J$5:$J$6,L168)=1,COUNTIF(Vocabulary!$J$5:$J$6,M168)=1,COUNTIF(Vocabulary!$J$5:$J$6,N168)=1,COUNTIF(Vocabulary!$J$5:$J$6,Y168)=1,COUNTIF(Vocabulary!$J$5:$J$6,Z168)=1,COUNTIF(Vocabulary!$J$5:$J$6,AA168)=1,COUNTIF(Vocabulary!$J$5:$J$6,AB168)=1,COUNTIF(Vocabulary!$J$5:$J$6,AC168)=1),"OK","UNRECOGNISED_BURDEN_VALUE"))</f>
        <v/>
      </c>
    </row>
    <row r="169">
      <c r="P169">
        <f>IF(COUNTA(A169:O169)+COUNTA(Q169)+COUNTA(T169:W169)+COUNTA(Y169:AC169)=0,"",IF(OR(NOT(ISNUMBER(D169)),NOT(ISNUMBER(E169)),NOT(ISNUMBER(F169)),NOT(ISNUMBER(G169)),NOT(ISNUMBER(H169)),NOT(ISNUMBER(I169)),NOT(ISNUMBER(J169)),NOT(ISNUMBER(K169)),AD169&lt;&gt;"OK"),"Not feasible",IF(OR(D169&lt;E169,F169&lt;G169,H169&lt;I169,J169&lt;K169,AND(L169="Yes",OR(M169&lt;&gt;"Yes",N169&lt;&gt;"Yes")),AND(Y169="Yes",OR(Z169&lt;&gt;"Yes",AA169&lt;&gt;"Yes")),AB169&lt;&gt;"Yes",AC169&lt;&gt;"Yes"),"Not feasible",IF(OR(L169="Yes",Y169="Yes"),"Feasible with verified support","Feasible"))))</f>
        <v/>
      </c>
      <c r="R169">
        <f>IF(AND(P169="",Q169=""),"",IF(AND(P169&lt;&gt;"",Q169=""),"UNRECORDED",IF(AND(P169="",Q169&lt;&gt;""),"ORPHAN_RECORDED",IF(P169=Q169,"MATCH","MISMATCH"))))</f>
        <v/>
      </c>
      <c r="S169">
        <f>IF(OR(NOT(ISNUMBER(E169)),NOT(ISNUMBER(G169))),"",E169+G169)</f>
        <v/>
      </c>
      <c r="X169">
        <f>IF(A169="","",IF(AND(W169="Completed",OR(P169="Feasible",P169="Feasible with verified support")),"Completed feasible",IF(OR(P169="Not feasible",W169="Stopped before rating",W169="Aborted during review"),"Infeasible or aborted","Incomplete")))</f>
        <v/>
      </c>
      <c r="Y169" s="303" t="n"/>
      <c r="Z169" s="303" t="n"/>
      <c r="AA169" s="303" t="n"/>
      <c r="AB169" s="303" t="n"/>
      <c r="AC169" s="303" t="n"/>
      <c r="AD169" s="303">
        <f>IF(COUNTA(A169:O169)+COUNTA(Q169)+COUNTA(T169:W169)+COUNTA(Y169:AC169)=0,"",IF(AND(COUNTIF(Vocabulary!$J$5:$J$6,L169)=1,COUNTIF(Vocabulary!$J$5:$J$6,M169)=1,COUNTIF(Vocabulary!$J$5:$J$6,N169)=1,COUNTIF(Vocabulary!$J$5:$J$6,Y169)=1,COUNTIF(Vocabulary!$J$5:$J$6,Z169)=1,COUNTIF(Vocabulary!$J$5:$J$6,AA169)=1,COUNTIF(Vocabulary!$J$5:$J$6,AB169)=1,COUNTIF(Vocabulary!$J$5:$J$6,AC169)=1),"OK","UNRECOGNISED_BURDEN_VALUE"))</f>
        <v/>
      </c>
    </row>
    <row r="170">
      <c r="P170">
        <f>IF(COUNTA(A170:O170)+COUNTA(Q170)+COUNTA(T170:W170)+COUNTA(Y170:AC170)=0,"",IF(OR(NOT(ISNUMBER(D170)),NOT(ISNUMBER(E170)),NOT(ISNUMBER(F170)),NOT(ISNUMBER(G170)),NOT(ISNUMBER(H170)),NOT(ISNUMBER(I170)),NOT(ISNUMBER(J170)),NOT(ISNUMBER(K170)),AD170&lt;&gt;"OK"),"Not feasible",IF(OR(D170&lt;E170,F170&lt;G170,H170&lt;I170,J170&lt;K170,AND(L170="Yes",OR(M170&lt;&gt;"Yes",N170&lt;&gt;"Yes")),AND(Y170="Yes",OR(Z170&lt;&gt;"Yes",AA170&lt;&gt;"Yes")),AB170&lt;&gt;"Yes",AC170&lt;&gt;"Yes"),"Not feasible",IF(OR(L170="Yes",Y170="Yes"),"Feasible with verified support","Feasible"))))</f>
        <v/>
      </c>
      <c r="R170">
        <f>IF(AND(P170="",Q170=""),"",IF(AND(P170&lt;&gt;"",Q170=""),"UNRECORDED",IF(AND(P170="",Q170&lt;&gt;""),"ORPHAN_RECORDED",IF(P170=Q170,"MATCH","MISMATCH"))))</f>
        <v/>
      </c>
      <c r="S170">
        <f>IF(OR(NOT(ISNUMBER(E170)),NOT(ISNUMBER(G170))),"",E170+G170)</f>
        <v/>
      </c>
      <c r="X170">
        <f>IF(A170="","",IF(AND(W170="Completed",OR(P170="Feasible",P170="Feasible with verified support")),"Completed feasible",IF(OR(P170="Not feasible",W170="Stopped before rating",W170="Aborted during review"),"Infeasible or aborted","Incomplete")))</f>
        <v/>
      </c>
      <c r="Y170" s="303" t="n"/>
      <c r="Z170" s="303" t="n"/>
      <c r="AA170" s="303" t="n"/>
      <c r="AB170" s="303" t="n"/>
      <c r="AC170" s="303" t="n"/>
      <c r="AD170" s="303">
        <f>IF(COUNTA(A170:O170)+COUNTA(Q170)+COUNTA(T170:W170)+COUNTA(Y170:AC170)=0,"",IF(AND(COUNTIF(Vocabulary!$J$5:$J$6,L170)=1,COUNTIF(Vocabulary!$J$5:$J$6,M170)=1,COUNTIF(Vocabulary!$J$5:$J$6,N170)=1,COUNTIF(Vocabulary!$J$5:$J$6,Y170)=1,COUNTIF(Vocabulary!$J$5:$J$6,Z170)=1,COUNTIF(Vocabulary!$J$5:$J$6,AA170)=1,COUNTIF(Vocabulary!$J$5:$J$6,AB170)=1,COUNTIF(Vocabulary!$J$5:$J$6,AC170)=1),"OK","UNRECOGNISED_BURDEN_VALUE"))</f>
        <v/>
      </c>
    </row>
    <row r="171">
      <c r="P171">
        <f>IF(COUNTA(A171:O171)+COUNTA(Q171)+COUNTA(T171:W171)+COUNTA(Y171:AC171)=0,"",IF(OR(NOT(ISNUMBER(D171)),NOT(ISNUMBER(E171)),NOT(ISNUMBER(F171)),NOT(ISNUMBER(G171)),NOT(ISNUMBER(H171)),NOT(ISNUMBER(I171)),NOT(ISNUMBER(J171)),NOT(ISNUMBER(K171)),AD171&lt;&gt;"OK"),"Not feasible",IF(OR(D171&lt;E171,F171&lt;G171,H171&lt;I171,J171&lt;K171,AND(L171="Yes",OR(M171&lt;&gt;"Yes",N171&lt;&gt;"Yes")),AND(Y171="Yes",OR(Z171&lt;&gt;"Yes",AA171&lt;&gt;"Yes")),AB171&lt;&gt;"Yes",AC171&lt;&gt;"Yes"),"Not feasible",IF(OR(L171="Yes",Y171="Yes"),"Feasible with verified support","Feasible"))))</f>
        <v/>
      </c>
      <c r="R171">
        <f>IF(AND(P171="",Q171=""),"",IF(AND(P171&lt;&gt;"",Q171=""),"UNRECORDED",IF(AND(P171="",Q171&lt;&gt;""),"ORPHAN_RECORDED",IF(P171=Q171,"MATCH","MISMATCH"))))</f>
        <v/>
      </c>
      <c r="S171">
        <f>IF(OR(NOT(ISNUMBER(E171)),NOT(ISNUMBER(G171))),"",E171+G171)</f>
        <v/>
      </c>
      <c r="X171">
        <f>IF(A171="","",IF(AND(W171="Completed",OR(P171="Feasible",P171="Feasible with verified support")),"Completed feasible",IF(OR(P171="Not feasible",W171="Stopped before rating",W171="Aborted during review"),"Infeasible or aborted","Incomplete")))</f>
        <v/>
      </c>
      <c r="Y171" s="303" t="n"/>
      <c r="Z171" s="303" t="n"/>
      <c r="AA171" s="303" t="n"/>
      <c r="AB171" s="303" t="n"/>
      <c r="AC171" s="303" t="n"/>
      <c r="AD171" s="303">
        <f>IF(COUNTA(A171:O171)+COUNTA(Q171)+COUNTA(T171:W171)+COUNTA(Y171:AC171)=0,"",IF(AND(COUNTIF(Vocabulary!$J$5:$J$6,L171)=1,COUNTIF(Vocabulary!$J$5:$J$6,M171)=1,COUNTIF(Vocabulary!$J$5:$J$6,N171)=1,COUNTIF(Vocabulary!$J$5:$J$6,Y171)=1,COUNTIF(Vocabulary!$J$5:$J$6,Z171)=1,COUNTIF(Vocabulary!$J$5:$J$6,AA171)=1,COUNTIF(Vocabulary!$J$5:$J$6,AB171)=1,COUNTIF(Vocabulary!$J$5:$J$6,AC171)=1),"OK","UNRECOGNISED_BURDEN_VALUE"))</f>
        <v/>
      </c>
    </row>
    <row r="172">
      <c r="P172">
        <f>IF(COUNTA(A172:O172)+COUNTA(Q172)+COUNTA(T172:W172)+COUNTA(Y172:AC172)=0,"",IF(OR(NOT(ISNUMBER(D172)),NOT(ISNUMBER(E172)),NOT(ISNUMBER(F172)),NOT(ISNUMBER(G172)),NOT(ISNUMBER(H172)),NOT(ISNUMBER(I172)),NOT(ISNUMBER(J172)),NOT(ISNUMBER(K172)),AD172&lt;&gt;"OK"),"Not feasible",IF(OR(D172&lt;E172,F172&lt;G172,H172&lt;I172,J172&lt;K172,AND(L172="Yes",OR(M172&lt;&gt;"Yes",N172&lt;&gt;"Yes")),AND(Y172="Yes",OR(Z172&lt;&gt;"Yes",AA172&lt;&gt;"Yes")),AB172&lt;&gt;"Yes",AC172&lt;&gt;"Yes"),"Not feasible",IF(OR(L172="Yes",Y172="Yes"),"Feasible with verified support","Feasible"))))</f>
        <v/>
      </c>
      <c r="R172">
        <f>IF(AND(P172="",Q172=""),"",IF(AND(P172&lt;&gt;"",Q172=""),"UNRECORDED",IF(AND(P172="",Q172&lt;&gt;""),"ORPHAN_RECORDED",IF(P172=Q172,"MATCH","MISMATCH"))))</f>
        <v/>
      </c>
      <c r="S172">
        <f>IF(OR(NOT(ISNUMBER(E172)),NOT(ISNUMBER(G172))),"",E172+G172)</f>
        <v/>
      </c>
      <c r="X172">
        <f>IF(A172="","",IF(AND(W172="Completed",OR(P172="Feasible",P172="Feasible with verified support")),"Completed feasible",IF(OR(P172="Not feasible",W172="Stopped before rating",W172="Aborted during review"),"Infeasible or aborted","Incomplete")))</f>
        <v/>
      </c>
      <c r="Y172" s="303" t="n"/>
      <c r="Z172" s="303" t="n"/>
      <c r="AA172" s="303" t="n"/>
      <c r="AB172" s="303" t="n"/>
      <c r="AC172" s="303" t="n"/>
      <c r="AD172" s="303">
        <f>IF(COUNTA(A172:O172)+COUNTA(Q172)+COUNTA(T172:W172)+COUNTA(Y172:AC172)=0,"",IF(AND(COUNTIF(Vocabulary!$J$5:$J$6,L172)=1,COUNTIF(Vocabulary!$J$5:$J$6,M172)=1,COUNTIF(Vocabulary!$J$5:$J$6,N172)=1,COUNTIF(Vocabulary!$J$5:$J$6,Y172)=1,COUNTIF(Vocabulary!$J$5:$J$6,Z172)=1,COUNTIF(Vocabulary!$J$5:$J$6,AA172)=1,COUNTIF(Vocabulary!$J$5:$J$6,AB172)=1,COUNTIF(Vocabulary!$J$5:$J$6,AC172)=1),"OK","UNRECOGNISED_BURDEN_VALUE"))</f>
        <v/>
      </c>
    </row>
    <row r="173">
      <c r="P173">
        <f>IF(COUNTA(A173:O173)+COUNTA(Q173)+COUNTA(T173:W173)+COUNTA(Y173:AC173)=0,"",IF(OR(NOT(ISNUMBER(D173)),NOT(ISNUMBER(E173)),NOT(ISNUMBER(F173)),NOT(ISNUMBER(G173)),NOT(ISNUMBER(H173)),NOT(ISNUMBER(I173)),NOT(ISNUMBER(J173)),NOT(ISNUMBER(K173)),AD173&lt;&gt;"OK"),"Not feasible",IF(OR(D173&lt;E173,F173&lt;G173,H173&lt;I173,J173&lt;K173,AND(L173="Yes",OR(M173&lt;&gt;"Yes",N173&lt;&gt;"Yes")),AND(Y173="Yes",OR(Z173&lt;&gt;"Yes",AA173&lt;&gt;"Yes")),AB173&lt;&gt;"Yes",AC173&lt;&gt;"Yes"),"Not feasible",IF(OR(L173="Yes",Y173="Yes"),"Feasible with verified support","Feasible"))))</f>
        <v/>
      </c>
      <c r="R173">
        <f>IF(AND(P173="",Q173=""),"",IF(AND(P173&lt;&gt;"",Q173=""),"UNRECORDED",IF(AND(P173="",Q173&lt;&gt;""),"ORPHAN_RECORDED",IF(P173=Q173,"MATCH","MISMATCH"))))</f>
        <v/>
      </c>
      <c r="S173">
        <f>IF(OR(NOT(ISNUMBER(E173)),NOT(ISNUMBER(G173))),"",E173+G173)</f>
        <v/>
      </c>
      <c r="X173">
        <f>IF(A173="","",IF(AND(W173="Completed",OR(P173="Feasible",P173="Feasible with verified support")),"Completed feasible",IF(OR(P173="Not feasible",W173="Stopped before rating",W173="Aborted during review"),"Infeasible or aborted","Incomplete")))</f>
        <v/>
      </c>
      <c r="Y173" s="303" t="n"/>
      <c r="Z173" s="303" t="n"/>
      <c r="AA173" s="303" t="n"/>
      <c r="AB173" s="303" t="n"/>
      <c r="AC173" s="303" t="n"/>
      <c r="AD173" s="303">
        <f>IF(COUNTA(A173:O173)+COUNTA(Q173)+COUNTA(T173:W173)+COUNTA(Y173:AC173)=0,"",IF(AND(COUNTIF(Vocabulary!$J$5:$J$6,L173)=1,COUNTIF(Vocabulary!$J$5:$J$6,M173)=1,COUNTIF(Vocabulary!$J$5:$J$6,N173)=1,COUNTIF(Vocabulary!$J$5:$J$6,Y173)=1,COUNTIF(Vocabulary!$J$5:$J$6,Z173)=1,COUNTIF(Vocabulary!$J$5:$J$6,AA173)=1,COUNTIF(Vocabulary!$J$5:$J$6,AB173)=1,COUNTIF(Vocabulary!$J$5:$J$6,AC173)=1),"OK","UNRECOGNISED_BURDEN_VALUE"))</f>
        <v/>
      </c>
    </row>
    <row r="174">
      <c r="P174">
        <f>IF(COUNTA(A174:O174)+COUNTA(Q174)+COUNTA(T174:W174)+COUNTA(Y174:AC174)=0,"",IF(OR(NOT(ISNUMBER(D174)),NOT(ISNUMBER(E174)),NOT(ISNUMBER(F174)),NOT(ISNUMBER(G174)),NOT(ISNUMBER(H174)),NOT(ISNUMBER(I174)),NOT(ISNUMBER(J174)),NOT(ISNUMBER(K174)),AD174&lt;&gt;"OK"),"Not feasible",IF(OR(D174&lt;E174,F174&lt;G174,H174&lt;I174,J174&lt;K174,AND(L174="Yes",OR(M174&lt;&gt;"Yes",N174&lt;&gt;"Yes")),AND(Y174="Yes",OR(Z174&lt;&gt;"Yes",AA174&lt;&gt;"Yes")),AB174&lt;&gt;"Yes",AC174&lt;&gt;"Yes"),"Not feasible",IF(OR(L174="Yes",Y174="Yes"),"Feasible with verified support","Feasible"))))</f>
        <v/>
      </c>
      <c r="R174">
        <f>IF(AND(P174="",Q174=""),"",IF(AND(P174&lt;&gt;"",Q174=""),"UNRECORDED",IF(AND(P174="",Q174&lt;&gt;""),"ORPHAN_RECORDED",IF(P174=Q174,"MATCH","MISMATCH"))))</f>
        <v/>
      </c>
      <c r="S174">
        <f>IF(OR(NOT(ISNUMBER(E174)),NOT(ISNUMBER(G174))),"",E174+G174)</f>
        <v/>
      </c>
      <c r="X174">
        <f>IF(A174="","",IF(AND(W174="Completed",OR(P174="Feasible",P174="Feasible with verified support")),"Completed feasible",IF(OR(P174="Not feasible",W174="Stopped before rating",W174="Aborted during review"),"Infeasible or aborted","Incomplete")))</f>
        <v/>
      </c>
      <c r="Y174" s="303" t="n"/>
      <c r="Z174" s="303" t="n"/>
      <c r="AA174" s="303" t="n"/>
      <c r="AB174" s="303" t="n"/>
      <c r="AC174" s="303" t="n"/>
      <c r="AD174" s="303">
        <f>IF(COUNTA(A174:O174)+COUNTA(Q174)+COUNTA(T174:W174)+COUNTA(Y174:AC174)=0,"",IF(AND(COUNTIF(Vocabulary!$J$5:$J$6,L174)=1,COUNTIF(Vocabulary!$J$5:$J$6,M174)=1,COUNTIF(Vocabulary!$J$5:$J$6,N174)=1,COUNTIF(Vocabulary!$J$5:$J$6,Y174)=1,COUNTIF(Vocabulary!$J$5:$J$6,Z174)=1,COUNTIF(Vocabulary!$J$5:$J$6,AA174)=1,COUNTIF(Vocabulary!$J$5:$J$6,AB174)=1,COUNTIF(Vocabulary!$J$5:$J$6,AC174)=1),"OK","UNRECOGNISED_BURDEN_VALUE"))</f>
        <v/>
      </c>
    </row>
    <row r="175">
      <c r="P175">
        <f>IF(COUNTA(A175:O175)+COUNTA(Q175)+COUNTA(T175:W175)+COUNTA(Y175:AC175)=0,"",IF(OR(NOT(ISNUMBER(D175)),NOT(ISNUMBER(E175)),NOT(ISNUMBER(F175)),NOT(ISNUMBER(G175)),NOT(ISNUMBER(H175)),NOT(ISNUMBER(I175)),NOT(ISNUMBER(J175)),NOT(ISNUMBER(K175)),AD175&lt;&gt;"OK"),"Not feasible",IF(OR(D175&lt;E175,F175&lt;G175,H175&lt;I175,J175&lt;K175,AND(L175="Yes",OR(M175&lt;&gt;"Yes",N175&lt;&gt;"Yes")),AND(Y175="Yes",OR(Z175&lt;&gt;"Yes",AA175&lt;&gt;"Yes")),AB175&lt;&gt;"Yes",AC175&lt;&gt;"Yes"),"Not feasible",IF(OR(L175="Yes",Y175="Yes"),"Feasible with verified support","Feasible"))))</f>
        <v/>
      </c>
      <c r="R175">
        <f>IF(AND(P175="",Q175=""),"",IF(AND(P175&lt;&gt;"",Q175=""),"UNRECORDED",IF(AND(P175="",Q175&lt;&gt;""),"ORPHAN_RECORDED",IF(P175=Q175,"MATCH","MISMATCH"))))</f>
        <v/>
      </c>
      <c r="S175">
        <f>IF(OR(NOT(ISNUMBER(E175)),NOT(ISNUMBER(G175))),"",E175+G175)</f>
        <v/>
      </c>
      <c r="X175">
        <f>IF(A175="","",IF(AND(W175="Completed",OR(P175="Feasible",P175="Feasible with verified support")),"Completed feasible",IF(OR(P175="Not feasible",W175="Stopped before rating",W175="Aborted during review"),"Infeasible or aborted","Incomplete")))</f>
        <v/>
      </c>
      <c r="Y175" s="303" t="n"/>
      <c r="Z175" s="303" t="n"/>
      <c r="AA175" s="303" t="n"/>
      <c r="AB175" s="303" t="n"/>
      <c r="AC175" s="303" t="n"/>
      <c r="AD175" s="303">
        <f>IF(COUNTA(A175:O175)+COUNTA(Q175)+COUNTA(T175:W175)+COUNTA(Y175:AC175)=0,"",IF(AND(COUNTIF(Vocabulary!$J$5:$J$6,L175)=1,COUNTIF(Vocabulary!$J$5:$J$6,M175)=1,COUNTIF(Vocabulary!$J$5:$J$6,N175)=1,COUNTIF(Vocabulary!$J$5:$J$6,Y175)=1,COUNTIF(Vocabulary!$J$5:$J$6,Z175)=1,COUNTIF(Vocabulary!$J$5:$J$6,AA175)=1,COUNTIF(Vocabulary!$J$5:$J$6,AB175)=1,COUNTIF(Vocabulary!$J$5:$J$6,AC175)=1),"OK","UNRECOGNISED_BURDEN_VALUE"))</f>
        <v/>
      </c>
    </row>
    <row r="176">
      <c r="P176">
        <f>IF(COUNTA(A176:O176)+COUNTA(Q176)+COUNTA(T176:W176)+COUNTA(Y176:AC176)=0,"",IF(OR(NOT(ISNUMBER(D176)),NOT(ISNUMBER(E176)),NOT(ISNUMBER(F176)),NOT(ISNUMBER(G176)),NOT(ISNUMBER(H176)),NOT(ISNUMBER(I176)),NOT(ISNUMBER(J176)),NOT(ISNUMBER(K176)),AD176&lt;&gt;"OK"),"Not feasible",IF(OR(D176&lt;E176,F176&lt;G176,H176&lt;I176,J176&lt;K176,AND(L176="Yes",OR(M176&lt;&gt;"Yes",N176&lt;&gt;"Yes")),AND(Y176="Yes",OR(Z176&lt;&gt;"Yes",AA176&lt;&gt;"Yes")),AB176&lt;&gt;"Yes",AC176&lt;&gt;"Yes"),"Not feasible",IF(OR(L176="Yes",Y176="Yes"),"Feasible with verified support","Feasible"))))</f>
        <v/>
      </c>
      <c r="R176">
        <f>IF(AND(P176="",Q176=""),"",IF(AND(P176&lt;&gt;"",Q176=""),"UNRECORDED",IF(AND(P176="",Q176&lt;&gt;""),"ORPHAN_RECORDED",IF(P176=Q176,"MATCH","MISMATCH"))))</f>
        <v/>
      </c>
      <c r="S176">
        <f>IF(OR(NOT(ISNUMBER(E176)),NOT(ISNUMBER(G176))),"",E176+G176)</f>
        <v/>
      </c>
      <c r="X176">
        <f>IF(A176="","",IF(AND(W176="Completed",OR(P176="Feasible",P176="Feasible with verified support")),"Completed feasible",IF(OR(P176="Not feasible",W176="Stopped before rating",W176="Aborted during review"),"Infeasible or aborted","Incomplete")))</f>
        <v/>
      </c>
      <c r="Y176" s="303" t="n"/>
      <c r="Z176" s="303" t="n"/>
      <c r="AA176" s="303" t="n"/>
      <c r="AB176" s="303" t="n"/>
      <c r="AC176" s="303" t="n"/>
      <c r="AD176" s="303">
        <f>IF(COUNTA(A176:O176)+COUNTA(Q176)+COUNTA(T176:W176)+COUNTA(Y176:AC176)=0,"",IF(AND(COUNTIF(Vocabulary!$J$5:$J$6,L176)=1,COUNTIF(Vocabulary!$J$5:$J$6,M176)=1,COUNTIF(Vocabulary!$J$5:$J$6,N176)=1,COUNTIF(Vocabulary!$J$5:$J$6,Y176)=1,COUNTIF(Vocabulary!$J$5:$J$6,Z176)=1,COUNTIF(Vocabulary!$J$5:$J$6,AA176)=1,COUNTIF(Vocabulary!$J$5:$J$6,AB176)=1,COUNTIF(Vocabulary!$J$5:$J$6,AC176)=1),"OK","UNRECOGNISED_BURDEN_VALUE"))</f>
        <v/>
      </c>
    </row>
    <row r="177">
      <c r="P177">
        <f>IF(COUNTA(A177:O177)+COUNTA(Q177)+COUNTA(T177:W177)+COUNTA(Y177:AC177)=0,"",IF(OR(NOT(ISNUMBER(D177)),NOT(ISNUMBER(E177)),NOT(ISNUMBER(F177)),NOT(ISNUMBER(G177)),NOT(ISNUMBER(H177)),NOT(ISNUMBER(I177)),NOT(ISNUMBER(J177)),NOT(ISNUMBER(K177)),AD177&lt;&gt;"OK"),"Not feasible",IF(OR(D177&lt;E177,F177&lt;G177,H177&lt;I177,J177&lt;K177,AND(L177="Yes",OR(M177&lt;&gt;"Yes",N177&lt;&gt;"Yes")),AND(Y177="Yes",OR(Z177&lt;&gt;"Yes",AA177&lt;&gt;"Yes")),AB177&lt;&gt;"Yes",AC177&lt;&gt;"Yes"),"Not feasible",IF(OR(L177="Yes",Y177="Yes"),"Feasible with verified support","Feasible"))))</f>
        <v/>
      </c>
      <c r="R177">
        <f>IF(AND(P177="",Q177=""),"",IF(AND(P177&lt;&gt;"",Q177=""),"UNRECORDED",IF(AND(P177="",Q177&lt;&gt;""),"ORPHAN_RECORDED",IF(P177=Q177,"MATCH","MISMATCH"))))</f>
        <v/>
      </c>
      <c r="S177">
        <f>IF(OR(NOT(ISNUMBER(E177)),NOT(ISNUMBER(G177))),"",E177+G177)</f>
        <v/>
      </c>
      <c r="X177">
        <f>IF(A177="","",IF(AND(W177="Completed",OR(P177="Feasible",P177="Feasible with verified support")),"Completed feasible",IF(OR(P177="Not feasible",W177="Stopped before rating",W177="Aborted during review"),"Infeasible or aborted","Incomplete")))</f>
        <v/>
      </c>
      <c r="Y177" s="303" t="n"/>
      <c r="Z177" s="303" t="n"/>
      <c r="AA177" s="303" t="n"/>
      <c r="AB177" s="303" t="n"/>
      <c r="AC177" s="303" t="n"/>
      <c r="AD177" s="303">
        <f>IF(COUNTA(A177:O177)+COUNTA(Q177)+COUNTA(T177:W177)+COUNTA(Y177:AC177)=0,"",IF(AND(COUNTIF(Vocabulary!$J$5:$J$6,L177)=1,COUNTIF(Vocabulary!$J$5:$J$6,M177)=1,COUNTIF(Vocabulary!$J$5:$J$6,N177)=1,COUNTIF(Vocabulary!$J$5:$J$6,Y177)=1,COUNTIF(Vocabulary!$J$5:$J$6,Z177)=1,COUNTIF(Vocabulary!$J$5:$J$6,AA177)=1,COUNTIF(Vocabulary!$J$5:$J$6,AB177)=1,COUNTIF(Vocabulary!$J$5:$J$6,AC177)=1),"OK","UNRECOGNISED_BURDEN_VALUE"))</f>
        <v/>
      </c>
    </row>
    <row r="178">
      <c r="P178">
        <f>IF(COUNTA(A178:O178)+COUNTA(Q178)+COUNTA(T178:W178)+COUNTA(Y178:AC178)=0,"",IF(OR(NOT(ISNUMBER(D178)),NOT(ISNUMBER(E178)),NOT(ISNUMBER(F178)),NOT(ISNUMBER(G178)),NOT(ISNUMBER(H178)),NOT(ISNUMBER(I178)),NOT(ISNUMBER(J178)),NOT(ISNUMBER(K178)),AD178&lt;&gt;"OK"),"Not feasible",IF(OR(D178&lt;E178,F178&lt;G178,H178&lt;I178,J178&lt;K178,AND(L178="Yes",OR(M178&lt;&gt;"Yes",N178&lt;&gt;"Yes")),AND(Y178="Yes",OR(Z178&lt;&gt;"Yes",AA178&lt;&gt;"Yes")),AB178&lt;&gt;"Yes",AC178&lt;&gt;"Yes"),"Not feasible",IF(OR(L178="Yes",Y178="Yes"),"Feasible with verified support","Feasible"))))</f>
        <v/>
      </c>
      <c r="R178">
        <f>IF(AND(P178="",Q178=""),"",IF(AND(P178&lt;&gt;"",Q178=""),"UNRECORDED",IF(AND(P178="",Q178&lt;&gt;""),"ORPHAN_RECORDED",IF(P178=Q178,"MATCH","MISMATCH"))))</f>
        <v/>
      </c>
      <c r="S178">
        <f>IF(OR(NOT(ISNUMBER(E178)),NOT(ISNUMBER(G178))),"",E178+G178)</f>
        <v/>
      </c>
      <c r="X178">
        <f>IF(A178="","",IF(AND(W178="Completed",OR(P178="Feasible",P178="Feasible with verified support")),"Completed feasible",IF(OR(P178="Not feasible",W178="Stopped before rating",W178="Aborted during review"),"Infeasible or aborted","Incomplete")))</f>
        <v/>
      </c>
      <c r="Y178" s="303" t="n"/>
      <c r="Z178" s="303" t="n"/>
      <c r="AA178" s="303" t="n"/>
      <c r="AB178" s="303" t="n"/>
      <c r="AC178" s="303" t="n"/>
      <c r="AD178" s="303">
        <f>IF(COUNTA(A178:O178)+COUNTA(Q178)+COUNTA(T178:W178)+COUNTA(Y178:AC178)=0,"",IF(AND(COUNTIF(Vocabulary!$J$5:$J$6,L178)=1,COUNTIF(Vocabulary!$J$5:$J$6,M178)=1,COUNTIF(Vocabulary!$J$5:$J$6,N178)=1,COUNTIF(Vocabulary!$J$5:$J$6,Y178)=1,COUNTIF(Vocabulary!$J$5:$J$6,Z178)=1,COUNTIF(Vocabulary!$J$5:$J$6,AA178)=1,COUNTIF(Vocabulary!$J$5:$J$6,AB178)=1,COUNTIF(Vocabulary!$J$5:$J$6,AC178)=1),"OK","UNRECOGNISED_BURDEN_VALUE"))</f>
        <v/>
      </c>
    </row>
    <row r="179">
      <c r="P179">
        <f>IF(COUNTA(A179:O179)+COUNTA(Q179)+COUNTA(T179:W179)+COUNTA(Y179:AC179)=0,"",IF(OR(NOT(ISNUMBER(D179)),NOT(ISNUMBER(E179)),NOT(ISNUMBER(F179)),NOT(ISNUMBER(G179)),NOT(ISNUMBER(H179)),NOT(ISNUMBER(I179)),NOT(ISNUMBER(J179)),NOT(ISNUMBER(K179)),AD179&lt;&gt;"OK"),"Not feasible",IF(OR(D179&lt;E179,F179&lt;G179,H179&lt;I179,J179&lt;K179,AND(L179="Yes",OR(M179&lt;&gt;"Yes",N179&lt;&gt;"Yes")),AND(Y179="Yes",OR(Z179&lt;&gt;"Yes",AA179&lt;&gt;"Yes")),AB179&lt;&gt;"Yes",AC179&lt;&gt;"Yes"),"Not feasible",IF(OR(L179="Yes",Y179="Yes"),"Feasible with verified support","Feasible"))))</f>
        <v/>
      </c>
      <c r="R179">
        <f>IF(AND(P179="",Q179=""),"",IF(AND(P179&lt;&gt;"",Q179=""),"UNRECORDED",IF(AND(P179="",Q179&lt;&gt;""),"ORPHAN_RECORDED",IF(P179=Q179,"MATCH","MISMATCH"))))</f>
        <v/>
      </c>
      <c r="S179">
        <f>IF(OR(NOT(ISNUMBER(E179)),NOT(ISNUMBER(G179))),"",E179+G179)</f>
        <v/>
      </c>
      <c r="X179">
        <f>IF(A179="","",IF(AND(W179="Completed",OR(P179="Feasible",P179="Feasible with verified support")),"Completed feasible",IF(OR(P179="Not feasible",W179="Stopped before rating",W179="Aborted during review"),"Infeasible or aborted","Incomplete")))</f>
        <v/>
      </c>
      <c r="Y179" s="303" t="n"/>
      <c r="Z179" s="303" t="n"/>
      <c r="AA179" s="303" t="n"/>
      <c r="AB179" s="303" t="n"/>
      <c r="AC179" s="303" t="n"/>
      <c r="AD179" s="303">
        <f>IF(COUNTA(A179:O179)+COUNTA(Q179)+COUNTA(T179:W179)+COUNTA(Y179:AC179)=0,"",IF(AND(COUNTIF(Vocabulary!$J$5:$J$6,L179)=1,COUNTIF(Vocabulary!$J$5:$J$6,M179)=1,COUNTIF(Vocabulary!$J$5:$J$6,N179)=1,COUNTIF(Vocabulary!$J$5:$J$6,Y179)=1,COUNTIF(Vocabulary!$J$5:$J$6,Z179)=1,COUNTIF(Vocabulary!$J$5:$J$6,AA179)=1,COUNTIF(Vocabulary!$J$5:$J$6,AB179)=1,COUNTIF(Vocabulary!$J$5:$J$6,AC179)=1),"OK","UNRECOGNISED_BURDEN_VALUE"))</f>
        <v/>
      </c>
    </row>
    <row r="180">
      <c r="P180">
        <f>IF(COUNTA(A180:O180)+COUNTA(Q180)+COUNTA(T180:W180)+COUNTA(Y180:AC180)=0,"",IF(OR(NOT(ISNUMBER(D180)),NOT(ISNUMBER(E180)),NOT(ISNUMBER(F180)),NOT(ISNUMBER(G180)),NOT(ISNUMBER(H180)),NOT(ISNUMBER(I180)),NOT(ISNUMBER(J180)),NOT(ISNUMBER(K180)),AD180&lt;&gt;"OK"),"Not feasible",IF(OR(D180&lt;E180,F180&lt;G180,H180&lt;I180,J180&lt;K180,AND(L180="Yes",OR(M180&lt;&gt;"Yes",N180&lt;&gt;"Yes")),AND(Y180="Yes",OR(Z180&lt;&gt;"Yes",AA180&lt;&gt;"Yes")),AB180&lt;&gt;"Yes",AC180&lt;&gt;"Yes"),"Not feasible",IF(OR(L180="Yes",Y180="Yes"),"Feasible with verified support","Feasible"))))</f>
        <v/>
      </c>
      <c r="R180">
        <f>IF(AND(P180="",Q180=""),"",IF(AND(P180&lt;&gt;"",Q180=""),"UNRECORDED",IF(AND(P180="",Q180&lt;&gt;""),"ORPHAN_RECORDED",IF(P180=Q180,"MATCH","MISMATCH"))))</f>
        <v/>
      </c>
      <c r="S180">
        <f>IF(OR(NOT(ISNUMBER(E180)),NOT(ISNUMBER(G180))),"",E180+G180)</f>
        <v/>
      </c>
      <c r="X180">
        <f>IF(A180="","",IF(AND(W180="Completed",OR(P180="Feasible",P180="Feasible with verified support")),"Completed feasible",IF(OR(P180="Not feasible",W180="Stopped before rating",W180="Aborted during review"),"Infeasible or aborted","Incomplete")))</f>
        <v/>
      </c>
      <c r="Y180" s="303" t="n"/>
      <c r="Z180" s="303" t="n"/>
      <c r="AA180" s="303" t="n"/>
      <c r="AB180" s="303" t="n"/>
      <c r="AC180" s="303" t="n"/>
      <c r="AD180" s="303">
        <f>IF(COUNTA(A180:O180)+COUNTA(Q180)+COUNTA(T180:W180)+COUNTA(Y180:AC180)=0,"",IF(AND(COUNTIF(Vocabulary!$J$5:$J$6,L180)=1,COUNTIF(Vocabulary!$J$5:$J$6,M180)=1,COUNTIF(Vocabulary!$J$5:$J$6,N180)=1,COUNTIF(Vocabulary!$J$5:$J$6,Y180)=1,COUNTIF(Vocabulary!$J$5:$J$6,Z180)=1,COUNTIF(Vocabulary!$J$5:$J$6,AA180)=1,COUNTIF(Vocabulary!$J$5:$J$6,AB180)=1,COUNTIF(Vocabulary!$J$5:$J$6,AC180)=1),"OK","UNRECOGNISED_BURDEN_VALUE"))</f>
        <v/>
      </c>
    </row>
    <row r="181">
      <c r="P181">
        <f>IF(COUNTA(A181:O181)+COUNTA(Q181)+COUNTA(T181:W181)+COUNTA(Y181:AC181)=0,"",IF(OR(NOT(ISNUMBER(D181)),NOT(ISNUMBER(E181)),NOT(ISNUMBER(F181)),NOT(ISNUMBER(G181)),NOT(ISNUMBER(H181)),NOT(ISNUMBER(I181)),NOT(ISNUMBER(J181)),NOT(ISNUMBER(K181)),AD181&lt;&gt;"OK"),"Not feasible",IF(OR(D181&lt;E181,F181&lt;G181,H181&lt;I181,J181&lt;K181,AND(L181="Yes",OR(M181&lt;&gt;"Yes",N181&lt;&gt;"Yes")),AND(Y181="Yes",OR(Z181&lt;&gt;"Yes",AA181&lt;&gt;"Yes")),AB181&lt;&gt;"Yes",AC181&lt;&gt;"Yes"),"Not feasible",IF(OR(L181="Yes",Y181="Yes"),"Feasible with verified support","Feasible"))))</f>
        <v/>
      </c>
      <c r="R181">
        <f>IF(AND(P181="",Q181=""),"",IF(AND(P181&lt;&gt;"",Q181=""),"UNRECORDED",IF(AND(P181="",Q181&lt;&gt;""),"ORPHAN_RECORDED",IF(P181=Q181,"MATCH","MISMATCH"))))</f>
        <v/>
      </c>
      <c r="S181">
        <f>IF(OR(NOT(ISNUMBER(E181)),NOT(ISNUMBER(G181))),"",E181+G181)</f>
        <v/>
      </c>
      <c r="X181">
        <f>IF(A181="","",IF(AND(W181="Completed",OR(P181="Feasible",P181="Feasible with verified support")),"Completed feasible",IF(OR(P181="Not feasible",W181="Stopped before rating",W181="Aborted during review"),"Infeasible or aborted","Incomplete")))</f>
        <v/>
      </c>
      <c r="Y181" s="303" t="n"/>
      <c r="Z181" s="303" t="n"/>
      <c r="AA181" s="303" t="n"/>
      <c r="AB181" s="303" t="n"/>
      <c r="AC181" s="303" t="n"/>
      <c r="AD181" s="303">
        <f>IF(COUNTA(A181:O181)+COUNTA(Q181)+COUNTA(T181:W181)+COUNTA(Y181:AC181)=0,"",IF(AND(COUNTIF(Vocabulary!$J$5:$J$6,L181)=1,COUNTIF(Vocabulary!$J$5:$J$6,M181)=1,COUNTIF(Vocabulary!$J$5:$J$6,N181)=1,COUNTIF(Vocabulary!$J$5:$J$6,Y181)=1,COUNTIF(Vocabulary!$J$5:$J$6,Z181)=1,COUNTIF(Vocabulary!$J$5:$J$6,AA181)=1,COUNTIF(Vocabulary!$J$5:$J$6,AB181)=1,COUNTIF(Vocabulary!$J$5:$J$6,AC181)=1),"OK","UNRECOGNISED_BURDEN_VALUE"))</f>
        <v/>
      </c>
    </row>
    <row r="182">
      <c r="P182">
        <f>IF(COUNTA(A182:O182)+COUNTA(Q182)+COUNTA(T182:W182)+COUNTA(Y182:AC182)=0,"",IF(OR(NOT(ISNUMBER(D182)),NOT(ISNUMBER(E182)),NOT(ISNUMBER(F182)),NOT(ISNUMBER(G182)),NOT(ISNUMBER(H182)),NOT(ISNUMBER(I182)),NOT(ISNUMBER(J182)),NOT(ISNUMBER(K182)),AD182&lt;&gt;"OK"),"Not feasible",IF(OR(D182&lt;E182,F182&lt;G182,H182&lt;I182,J182&lt;K182,AND(L182="Yes",OR(M182&lt;&gt;"Yes",N182&lt;&gt;"Yes")),AND(Y182="Yes",OR(Z182&lt;&gt;"Yes",AA182&lt;&gt;"Yes")),AB182&lt;&gt;"Yes",AC182&lt;&gt;"Yes"),"Not feasible",IF(OR(L182="Yes",Y182="Yes"),"Feasible with verified support","Feasible"))))</f>
        <v/>
      </c>
      <c r="R182">
        <f>IF(AND(P182="",Q182=""),"",IF(AND(P182&lt;&gt;"",Q182=""),"UNRECORDED",IF(AND(P182="",Q182&lt;&gt;""),"ORPHAN_RECORDED",IF(P182=Q182,"MATCH","MISMATCH"))))</f>
        <v/>
      </c>
      <c r="S182">
        <f>IF(OR(NOT(ISNUMBER(E182)),NOT(ISNUMBER(G182))),"",E182+G182)</f>
        <v/>
      </c>
      <c r="X182">
        <f>IF(A182="","",IF(AND(W182="Completed",OR(P182="Feasible",P182="Feasible with verified support")),"Completed feasible",IF(OR(P182="Not feasible",W182="Stopped before rating",W182="Aborted during review"),"Infeasible or aborted","Incomplete")))</f>
        <v/>
      </c>
      <c r="Y182" s="303" t="n"/>
      <c r="Z182" s="303" t="n"/>
      <c r="AA182" s="303" t="n"/>
      <c r="AB182" s="303" t="n"/>
      <c r="AC182" s="303" t="n"/>
      <c r="AD182" s="303">
        <f>IF(COUNTA(A182:O182)+COUNTA(Q182)+COUNTA(T182:W182)+COUNTA(Y182:AC182)=0,"",IF(AND(COUNTIF(Vocabulary!$J$5:$J$6,L182)=1,COUNTIF(Vocabulary!$J$5:$J$6,M182)=1,COUNTIF(Vocabulary!$J$5:$J$6,N182)=1,COUNTIF(Vocabulary!$J$5:$J$6,Y182)=1,COUNTIF(Vocabulary!$J$5:$J$6,Z182)=1,COUNTIF(Vocabulary!$J$5:$J$6,AA182)=1,COUNTIF(Vocabulary!$J$5:$J$6,AB182)=1,COUNTIF(Vocabulary!$J$5:$J$6,AC182)=1),"OK","UNRECOGNISED_BURDEN_VALUE"))</f>
        <v/>
      </c>
    </row>
    <row r="183">
      <c r="P183">
        <f>IF(COUNTA(A183:O183)+COUNTA(Q183)+COUNTA(T183:W183)+COUNTA(Y183:AC183)=0,"",IF(OR(NOT(ISNUMBER(D183)),NOT(ISNUMBER(E183)),NOT(ISNUMBER(F183)),NOT(ISNUMBER(G183)),NOT(ISNUMBER(H183)),NOT(ISNUMBER(I183)),NOT(ISNUMBER(J183)),NOT(ISNUMBER(K183)),AD183&lt;&gt;"OK"),"Not feasible",IF(OR(D183&lt;E183,F183&lt;G183,H183&lt;I183,J183&lt;K183,AND(L183="Yes",OR(M183&lt;&gt;"Yes",N183&lt;&gt;"Yes")),AND(Y183="Yes",OR(Z183&lt;&gt;"Yes",AA183&lt;&gt;"Yes")),AB183&lt;&gt;"Yes",AC183&lt;&gt;"Yes"),"Not feasible",IF(OR(L183="Yes",Y183="Yes"),"Feasible with verified support","Feasible"))))</f>
        <v/>
      </c>
      <c r="R183">
        <f>IF(AND(P183="",Q183=""),"",IF(AND(P183&lt;&gt;"",Q183=""),"UNRECORDED",IF(AND(P183="",Q183&lt;&gt;""),"ORPHAN_RECORDED",IF(P183=Q183,"MATCH","MISMATCH"))))</f>
        <v/>
      </c>
      <c r="S183">
        <f>IF(OR(NOT(ISNUMBER(E183)),NOT(ISNUMBER(G183))),"",E183+G183)</f>
        <v/>
      </c>
      <c r="X183">
        <f>IF(A183="","",IF(AND(W183="Completed",OR(P183="Feasible",P183="Feasible with verified support")),"Completed feasible",IF(OR(P183="Not feasible",W183="Stopped before rating",W183="Aborted during review"),"Infeasible or aborted","Incomplete")))</f>
        <v/>
      </c>
      <c r="Y183" s="303" t="n"/>
      <c r="Z183" s="303" t="n"/>
      <c r="AA183" s="303" t="n"/>
      <c r="AB183" s="303" t="n"/>
      <c r="AC183" s="303" t="n"/>
      <c r="AD183" s="303">
        <f>IF(COUNTA(A183:O183)+COUNTA(Q183)+COUNTA(T183:W183)+COUNTA(Y183:AC183)=0,"",IF(AND(COUNTIF(Vocabulary!$J$5:$J$6,L183)=1,COUNTIF(Vocabulary!$J$5:$J$6,M183)=1,COUNTIF(Vocabulary!$J$5:$J$6,N183)=1,COUNTIF(Vocabulary!$J$5:$J$6,Y183)=1,COUNTIF(Vocabulary!$J$5:$J$6,Z183)=1,COUNTIF(Vocabulary!$J$5:$J$6,AA183)=1,COUNTIF(Vocabulary!$J$5:$J$6,AB183)=1,COUNTIF(Vocabulary!$J$5:$J$6,AC183)=1),"OK","UNRECOGNISED_BURDEN_VALUE"))</f>
        <v/>
      </c>
    </row>
    <row r="184">
      <c r="P184">
        <f>IF(COUNTA(A184:O184)+COUNTA(Q184)+COUNTA(T184:W184)+COUNTA(Y184:AC184)=0,"",IF(OR(NOT(ISNUMBER(D184)),NOT(ISNUMBER(E184)),NOT(ISNUMBER(F184)),NOT(ISNUMBER(G184)),NOT(ISNUMBER(H184)),NOT(ISNUMBER(I184)),NOT(ISNUMBER(J184)),NOT(ISNUMBER(K184)),AD184&lt;&gt;"OK"),"Not feasible",IF(OR(D184&lt;E184,F184&lt;G184,H184&lt;I184,J184&lt;K184,AND(L184="Yes",OR(M184&lt;&gt;"Yes",N184&lt;&gt;"Yes")),AND(Y184="Yes",OR(Z184&lt;&gt;"Yes",AA184&lt;&gt;"Yes")),AB184&lt;&gt;"Yes",AC184&lt;&gt;"Yes"),"Not feasible",IF(OR(L184="Yes",Y184="Yes"),"Feasible with verified support","Feasible"))))</f>
        <v/>
      </c>
      <c r="R184">
        <f>IF(AND(P184="",Q184=""),"",IF(AND(P184&lt;&gt;"",Q184=""),"UNRECORDED",IF(AND(P184="",Q184&lt;&gt;""),"ORPHAN_RECORDED",IF(P184=Q184,"MATCH","MISMATCH"))))</f>
        <v/>
      </c>
      <c r="S184">
        <f>IF(OR(NOT(ISNUMBER(E184)),NOT(ISNUMBER(G184))),"",E184+G184)</f>
        <v/>
      </c>
      <c r="X184">
        <f>IF(A184="","",IF(AND(W184="Completed",OR(P184="Feasible",P184="Feasible with verified support")),"Completed feasible",IF(OR(P184="Not feasible",W184="Stopped before rating",W184="Aborted during review"),"Infeasible or aborted","Incomplete")))</f>
        <v/>
      </c>
      <c r="Y184" s="303" t="n"/>
      <c r="Z184" s="303" t="n"/>
      <c r="AA184" s="303" t="n"/>
      <c r="AB184" s="303" t="n"/>
      <c r="AC184" s="303" t="n"/>
      <c r="AD184" s="303">
        <f>IF(COUNTA(A184:O184)+COUNTA(Q184)+COUNTA(T184:W184)+COUNTA(Y184:AC184)=0,"",IF(AND(COUNTIF(Vocabulary!$J$5:$J$6,L184)=1,COUNTIF(Vocabulary!$J$5:$J$6,M184)=1,COUNTIF(Vocabulary!$J$5:$J$6,N184)=1,COUNTIF(Vocabulary!$J$5:$J$6,Y184)=1,COUNTIF(Vocabulary!$J$5:$J$6,Z184)=1,COUNTIF(Vocabulary!$J$5:$J$6,AA184)=1,COUNTIF(Vocabulary!$J$5:$J$6,AB184)=1,COUNTIF(Vocabulary!$J$5:$J$6,AC184)=1),"OK","UNRECOGNISED_BURDEN_VALUE"))</f>
        <v/>
      </c>
    </row>
    <row r="185">
      <c r="P185">
        <f>IF(COUNTA(A185:O185)+COUNTA(Q185)+COUNTA(T185:W185)+COUNTA(Y185:AC185)=0,"",IF(OR(NOT(ISNUMBER(D185)),NOT(ISNUMBER(E185)),NOT(ISNUMBER(F185)),NOT(ISNUMBER(G185)),NOT(ISNUMBER(H185)),NOT(ISNUMBER(I185)),NOT(ISNUMBER(J185)),NOT(ISNUMBER(K185)),AD185&lt;&gt;"OK"),"Not feasible",IF(OR(D185&lt;E185,F185&lt;G185,H185&lt;I185,J185&lt;K185,AND(L185="Yes",OR(M185&lt;&gt;"Yes",N185&lt;&gt;"Yes")),AND(Y185="Yes",OR(Z185&lt;&gt;"Yes",AA185&lt;&gt;"Yes")),AB185&lt;&gt;"Yes",AC185&lt;&gt;"Yes"),"Not feasible",IF(OR(L185="Yes",Y185="Yes"),"Feasible with verified support","Feasible"))))</f>
        <v/>
      </c>
      <c r="R185">
        <f>IF(AND(P185="",Q185=""),"",IF(AND(P185&lt;&gt;"",Q185=""),"UNRECORDED",IF(AND(P185="",Q185&lt;&gt;""),"ORPHAN_RECORDED",IF(P185=Q185,"MATCH","MISMATCH"))))</f>
        <v/>
      </c>
      <c r="S185">
        <f>IF(OR(NOT(ISNUMBER(E185)),NOT(ISNUMBER(G185))),"",E185+G185)</f>
        <v/>
      </c>
      <c r="X185">
        <f>IF(A185="","",IF(AND(W185="Completed",OR(P185="Feasible",P185="Feasible with verified support")),"Completed feasible",IF(OR(P185="Not feasible",W185="Stopped before rating",W185="Aborted during review"),"Infeasible or aborted","Incomplete")))</f>
        <v/>
      </c>
      <c r="Y185" s="303" t="n"/>
      <c r="Z185" s="303" t="n"/>
      <c r="AA185" s="303" t="n"/>
      <c r="AB185" s="303" t="n"/>
      <c r="AC185" s="303" t="n"/>
      <c r="AD185" s="303">
        <f>IF(COUNTA(A185:O185)+COUNTA(Q185)+COUNTA(T185:W185)+COUNTA(Y185:AC185)=0,"",IF(AND(COUNTIF(Vocabulary!$J$5:$J$6,L185)=1,COUNTIF(Vocabulary!$J$5:$J$6,M185)=1,COUNTIF(Vocabulary!$J$5:$J$6,N185)=1,COUNTIF(Vocabulary!$J$5:$J$6,Y185)=1,COUNTIF(Vocabulary!$J$5:$J$6,Z185)=1,COUNTIF(Vocabulary!$J$5:$J$6,AA185)=1,COUNTIF(Vocabulary!$J$5:$J$6,AB185)=1,COUNTIF(Vocabulary!$J$5:$J$6,AC185)=1),"OK","UNRECOGNISED_BURDEN_VALUE"))</f>
        <v/>
      </c>
    </row>
    <row r="186">
      <c r="P186">
        <f>IF(COUNTA(A186:O186)+COUNTA(Q186)+COUNTA(T186:W186)+COUNTA(Y186:AC186)=0,"",IF(OR(NOT(ISNUMBER(D186)),NOT(ISNUMBER(E186)),NOT(ISNUMBER(F186)),NOT(ISNUMBER(G186)),NOT(ISNUMBER(H186)),NOT(ISNUMBER(I186)),NOT(ISNUMBER(J186)),NOT(ISNUMBER(K186)),AD186&lt;&gt;"OK"),"Not feasible",IF(OR(D186&lt;E186,F186&lt;G186,H186&lt;I186,J186&lt;K186,AND(L186="Yes",OR(M186&lt;&gt;"Yes",N186&lt;&gt;"Yes")),AND(Y186="Yes",OR(Z186&lt;&gt;"Yes",AA186&lt;&gt;"Yes")),AB186&lt;&gt;"Yes",AC186&lt;&gt;"Yes"),"Not feasible",IF(OR(L186="Yes",Y186="Yes"),"Feasible with verified support","Feasible"))))</f>
        <v/>
      </c>
      <c r="R186">
        <f>IF(AND(P186="",Q186=""),"",IF(AND(P186&lt;&gt;"",Q186=""),"UNRECORDED",IF(AND(P186="",Q186&lt;&gt;""),"ORPHAN_RECORDED",IF(P186=Q186,"MATCH","MISMATCH"))))</f>
        <v/>
      </c>
      <c r="S186">
        <f>IF(OR(NOT(ISNUMBER(E186)),NOT(ISNUMBER(G186))),"",E186+G186)</f>
        <v/>
      </c>
      <c r="X186">
        <f>IF(A186="","",IF(AND(W186="Completed",OR(P186="Feasible",P186="Feasible with verified support")),"Completed feasible",IF(OR(P186="Not feasible",W186="Stopped before rating",W186="Aborted during review"),"Infeasible or aborted","Incomplete")))</f>
        <v/>
      </c>
      <c r="Y186" s="303" t="n"/>
      <c r="Z186" s="303" t="n"/>
      <c r="AA186" s="303" t="n"/>
      <c r="AB186" s="303" t="n"/>
      <c r="AC186" s="303" t="n"/>
      <c r="AD186" s="303">
        <f>IF(COUNTA(A186:O186)+COUNTA(Q186)+COUNTA(T186:W186)+COUNTA(Y186:AC186)=0,"",IF(AND(COUNTIF(Vocabulary!$J$5:$J$6,L186)=1,COUNTIF(Vocabulary!$J$5:$J$6,M186)=1,COUNTIF(Vocabulary!$J$5:$J$6,N186)=1,COUNTIF(Vocabulary!$J$5:$J$6,Y186)=1,COUNTIF(Vocabulary!$J$5:$J$6,Z186)=1,COUNTIF(Vocabulary!$J$5:$J$6,AA186)=1,COUNTIF(Vocabulary!$J$5:$J$6,AB186)=1,COUNTIF(Vocabulary!$J$5:$J$6,AC186)=1),"OK","UNRECOGNISED_BURDEN_VALUE"))</f>
        <v/>
      </c>
    </row>
    <row r="187">
      <c r="P187">
        <f>IF(COUNTA(A187:O187)+COUNTA(Q187)+COUNTA(T187:W187)+COUNTA(Y187:AC187)=0,"",IF(OR(NOT(ISNUMBER(D187)),NOT(ISNUMBER(E187)),NOT(ISNUMBER(F187)),NOT(ISNUMBER(G187)),NOT(ISNUMBER(H187)),NOT(ISNUMBER(I187)),NOT(ISNUMBER(J187)),NOT(ISNUMBER(K187)),AD187&lt;&gt;"OK"),"Not feasible",IF(OR(D187&lt;E187,F187&lt;G187,H187&lt;I187,J187&lt;K187,AND(L187="Yes",OR(M187&lt;&gt;"Yes",N187&lt;&gt;"Yes")),AND(Y187="Yes",OR(Z187&lt;&gt;"Yes",AA187&lt;&gt;"Yes")),AB187&lt;&gt;"Yes",AC187&lt;&gt;"Yes"),"Not feasible",IF(OR(L187="Yes",Y187="Yes"),"Feasible with verified support","Feasible"))))</f>
        <v/>
      </c>
      <c r="R187">
        <f>IF(AND(P187="",Q187=""),"",IF(AND(P187&lt;&gt;"",Q187=""),"UNRECORDED",IF(AND(P187="",Q187&lt;&gt;""),"ORPHAN_RECORDED",IF(P187=Q187,"MATCH","MISMATCH"))))</f>
        <v/>
      </c>
      <c r="S187">
        <f>IF(OR(NOT(ISNUMBER(E187)),NOT(ISNUMBER(G187))),"",E187+G187)</f>
        <v/>
      </c>
      <c r="X187">
        <f>IF(A187="","",IF(AND(W187="Completed",OR(P187="Feasible",P187="Feasible with verified support")),"Completed feasible",IF(OR(P187="Not feasible",W187="Stopped before rating",W187="Aborted during review"),"Infeasible or aborted","Incomplete")))</f>
        <v/>
      </c>
      <c r="Y187" s="303" t="n"/>
      <c r="Z187" s="303" t="n"/>
      <c r="AA187" s="303" t="n"/>
      <c r="AB187" s="303" t="n"/>
      <c r="AC187" s="303" t="n"/>
      <c r="AD187" s="303">
        <f>IF(COUNTA(A187:O187)+COUNTA(Q187)+COUNTA(T187:W187)+COUNTA(Y187:AC187)=0,"",IF(AND(COUNTIF(Vocabulary!$J$5:$J$6,L187)=1,COUNTIF(Vocabulary!$J$5:$J$6,M187)=1,COUNTIF(Vocabulary!$J$5:$J$6,N187)=1,COUNTIF(Vocabulary!$J$5:$J$6,Y187)=1,COUNTIF(Vocabulary!$J$5:$J$6,Z187)=1,COUNTIF(Vocabulary!$J$5:$J$6,AA187)=1,COUNTIF(Vocabulary!$J$5:$J$6,AB187)=1,COUNTIF(Vocabulary!$J$5:$J$6,AC187)=1),"OK","UNRECOGNISED_BURDEN_VALUE"))</f>
        <v/>
      </c>
    </row>
    <row r="188">
      <c r="P188">
        <f>IF(COUNTA(A188:O188)+COUNTA(Q188)+COUNTA(T188:W188)+COUNTA(Y188:AC188)=0,"",IF(OR(NOT(ISNUMBER(D188)),NOT(ISNUMBER(E188)),NOT(ISNUMBER(F188)),NOT(ISNUMBER(G188)),NOT(ISNUMBER(H188)),NOT(ISNUMBER(I188)),NOT(ISNUMBER(J188)),NOT(ISNUMBER(K188)),AD188&lt;&gt;"OK"),"Not feasible",IF(OR(D188&lt;E188,F188&lt;G188,H188&lt;I188,J188&lt;K188,AND(L188="Yes",OR(M188&lt;&gt;"Yes",N188&lt;&gt;"Yes")),AND(Y188="Yes",OR(Z188&lt;&gt;"Yes",AA188&lt;&gt;"Yes")),AB188&lt;&gt;"Yes",AC188&lt;&gt;"Yes"),"Not feasible",IF(OR(L188="Yes",Y188="Yes"),"Feasible with verified support","Feasible"))))</f>
        <v/>
      </c>
      <c r="R188">
        <f>IF(AND(P188="",Q188=""),"",IF(AND(P188&lt;&gt;"",Q188=""),"UNRECORDED",IF(AND(P188="",Q188&lt;&gt;""),"ORPHAN_RECORDED",IF(P188=Q188,"MATCH","MISMATCH"))))</f>
        <v/>
      </c>
      <c r="S188">
        <f>IF(OR(NOT(ISNUMBER(E188)),NOT(ISNUMBER(G188))),"",E188+G188)</f>
        <v/>
      </c>
      <c r="X188">
        <f>IF(A188="","",IF(AND(W188="Completed",OR(P188="Feasible",P188="Feasible with verified support")),"Completed feasible",IF(OR(P188="Not feasible",W188="Stopped before rating",W188="Aborted during review"),"Infeasible or aborted","Incomplete")))</f>
        <v/>
      </c>
      <c r="Y188" s="303" t="n"/>
      <c r="Z188" s="303" t="n"/>
      <c r="AA188" s="303" t="n"/>
      <c r="AB188" s="303" t="n"/>
      <c r="AC188" s="303" t="n"/>
      <c r="AD188" s="303">
        <f>IF(COUNTA(A188:O188)+COUNTA(Q188)+COUNTA(T188:W188)+COUNTA(Y188:AC188)=0,"",IF(AND(COUNTIF(Vocabulary!$J$5:$J$6,L188)=1,COUNTIF(Vocabulary!$J$5:$J$6,M188)=1,COUNTIF(Vocabulary!$J$5:$J$6,N188)=1,COUNTIF(Vocabulary!$J$5:$J$6,Y188)=1,COUNTIF(Vocabulary!$J$5:$J$6,Z188)=1,COUNTIF(Vocabulary!$J$5:$J$6,AA188)=1,COUNTIF(Vocabulary!$J$5:$J$6,AB188)=1,COUNTIF(Vocabulary!$J$5:$J$6,AC188)=1),"OK","UNRECOGNISED_BURDEN_VALUE"))</f>
        <v/>
      </c>
    </row>
    <row r="189">
      <c r="P189">
        <f>IF(COUNTA(A189:O189)+COUNTA(Q189)+COUNTA(T189:W189)+COUNTA(Y189:AC189)=0,"",IF(OR(NOT(ISNUMBER(D189)),NOT(ISNUMBER(E189)),NOT(ISNUMBER(F189)),NOT(ISNUMBER(G189)),NOT(ISNUMBER(H189)),NOT(ISNUMBER(I189)),NOT(ISNUMBER(J189)),NOT(ISNUMBER(K189)),AD189&lt;&gt;"OK"),"Not feasible",IF(OR(D189&lt;E189,F189&lt;G189,H189&lt;I189,J189&lt;K189,AND(L189="Yes",OR(M189&lt;&gt;"Yes",N189&lt;&gt;"Yes")),AND(Y189="Yes",OR(Z189&lt;&gt;"Yes",AA189&lt;&gt;"Yes")),AB189&lt;&gt;"Yes",AC189&lt;&gt;"Yes"),"Not feasible",IF(OR(L189="Yes",Y189="Yes"),"Feasible with verified support","Feasible"))))</f>
        <v/>
      </c>
      <c r="R189">
        <f>IF(AND(P189="",Q189=""),"",IF(AND(P189&lt;&gt;"",Q189=""),"UNRECORDED",IF(AND(P189="",Q189&lt;&gt;""),"ORPHAN_RECORDED",IF(P189=Q189,"MATCH","MISMATCH"))))</f>
        <v/>
      </c>
      <c r="S189">
        <f>IF(OR(NOT(ISNUMBER(E189)),NOT(ISNUMBER(G189))),"",E189+G189)</f>
        <v/>
      </c>
      <c r="X189">
        <f>IF(A189="","",IF(AND(W189="Completed",OR(P189="Feasible",P189="Feasible with verified support")),"Completed feasible",IF(OR(P189="Not feasible",W189="Stopped before rating",W189="Aborted during review"),"Infeasible or aborted","Incomplete")))</f>
        <v/>
      </c>
      <c r="Y189" s="303" t="n"/>
      <c r="Z189" s="303" t="n"/>
      <c r="AA189" s="303" t="n"/>
      <c r="AB189" s="303" t="n"/>
      <c r="AC189" s="303" t="n"/>
      <c r="AD189" s="303">
        <f>IF(COUNTA(A189:O189)+COUNTA(Q189)+COUNTA(T189:W189)+COUNTA(Y189:AC189)=0,"",IF(AND(COUNTIF(Vocabulary!$J$5:$J$6,L189)=1,COUNTIF(Vocabulary!$J$5:$J$6,M189)=1,COUNTIF(Vocabulary!$J$5:$J$6,N189)=1,COUNTIF(Vocabulary!$J$5:$J$6,Y189)=1,COUNTIF(Vocabulary!$J$5:$J$6,Z189)=1,COUNTIF(Vocabulary!$J$5:$J$6,AA189)=1,COUNTIF(Vocabulary!$J$5:$J$6,AB189)=1,COUNTIF(Vocabulary!$J$5:$J$6,AC189)=1),"OK","UNRECOGNISED_BURDEN_VALUE"))</f>
        <v/>
      </c>
    </row>
    <row r="190">
      <c r="P190">
        <f>IF(COUNTA(A190:O190)+COUNTA(Q190)+COUNTA(T190:W190)+COUNTA(Y190:AC190)=0,"",IF(OR(NOT(ISNUMBER(D190)),NOT(ISNUMBER(E190)),NOT(ISNUMBER(F190)),NOT(ISNUMBER(G190)),NOT(ISNUMBER(H190)),NOT(ISNUMBER(I190)),NOT(ISNUMBER(J190)),NOT(ISNUMBER(K190)),AD190&lt;&gt;"OK"),"Not feasible",IF(OR(D190&lt;E190,F190&lt;G190,H190&lt;I190,J190&lt;K190,AND(L190="Yes",OR(M190&lt;&gt;"Yes",N190&lt;&gt;"Yes")),AND(Y190="Yes",OR(Z190&lt;&gt;"Yes",AA190&lt;&gt;"Yes")),AB190&lt;&gt;"Yes",AC190&lt;&gt;"Yes"),"Not feasible",IF(OR(L190="Yes",Y190="Yes"),"Feasible with verified support","Feasible"))))</f>
        <v/>
      </c>
      <c r="R190">
        <f>IF(AND(P190="",Q190=""),"",IF(AND(P190&lt;&gt;"",Q190=""),"UNRECORDED",IF(AND(P190="",Q190&lt;&gt;""),"ORPHAN_RECORDED",IF(P190=Q190,"MATCH","MISMATCH"))))</f>
        <v/>
      </c>
      <c r="S190">
        <f>IF(OR(NOT(ISNUMBER(E190)),NOT(ISNUMBER(G190))),"",E190+G190)</f>
        <v/>
      </c>
      <c r="X190">
        <f>IF(A190="","",IF(AND(W190="Completed",OR(P190="Feasible",P190="Feasible with verified support")),"Completed feasible",IF(OR(P190="Not feasible",W190="Stopped before rating",W190="Aborted during review"),"Infeasible or aborted","Incomplete")))</f>
        <v/>
      </c>
      <c r="Y190" s="303" t="n"/>
      <c r="Z190" s="303" t="n"/>
      <c r="AA190" s="303" t="n"/>
      <c r="AB190" s="303" t="n"/>
      <c r="AC190" s="303" t="n"/>
      <c r="AD190" s="303">
        <f>IF(COUNTA(A190:O190)+COUNTA(Q190)+COUNTA(T190:W190)+COUNTA(Y190:AC190)=0,"",IF(AND(COUNTIF(Vocabulary!$J$5:$J$6,L190)=1,COUNTIF(Vocabulary!$J$5:$J$6,M190)=1,COUNTIF(Vocabulary!$J$5:$J$6,N190)=1,COUNTIF(Vocabulary!$J$5:$J$6,Y190)=1,COUNTIF(Vocabulary!$J$5:$J$6,Z190)=1,COUNTIF(Vocabulary!$J$5:$J$6,AA190)=1,COUNTIF(Vocabulary!$J$5:$J$6,AB190)=1,COUNTIF(Vocabulary!$J$5:$J$6,AC190)=1),"OK","UNRECOGNISED_BURDEN_VALUE"))</f>
        <v/>
      </c>
    </row>
    <row r="191">
      <c r="P191">
        <f>IF(COUNTA(A191:O191)+COUNTA(Q191)+COUNTA(T191:W191)+COUNTA(Y191:AC191)=0,"",IF(OR(NOT(ISNUMBER(D191)),NOT(ISNUMBER(E191)),NOT(ISNUMBER(F191)),NOT(ISNUMBER(G191)),NOT(ISNUMBER(H191)),NOT(ISNUMBER(I191)),NOT(ISNUMBER(J191)),NOT(ISNUMBER(K191)),AD191&lt;&gt;"OK"),"Not feasible",IF(OR(D191&lt;E191,F191&lt;G191,H191&lt;I191,J191&lt;K191,AND(L191="Yes",OR(M191&lt;&gt;"Yes",N191&lt;&gt;"Yes")),AND(Y191="Yes",OR(Z191&lt;&gt;"Yes",AA191&lt;&gt;"Yes")),AB191&lt;&gt;"Yes",AC191&lt;&gt;"Yes"),"Not feasible",IF(OR(L191="Yes",Y191="Yes"),"Feasible with verified support","Feasible"))))</f>
        <v/>
      </c>
      <c r="R191">
        <f>IF(AND(P191="",Q191=""),"",IF(AND(P191&lt;&gt;"",Q191=""),"UNRECORDED",IF(AND(P191="",Q191&lt;&gt;""),"ORPHAN_RECORDED",IF(P191=Q191,"MATCH","MISMATCH"))))</f>
        <v/>
      </c>
      <c r="S191">
        <f>IF(OR(NOT(ISNUMBER(E191)),NOT(ISNUMBER(G191))),"",E191+G191)</f>
        <v/>
      </c>
      <c r="X191">
        <f>IF(A191="","",IF(AND(W191="Completed",OR(P191="Feasible",P191="Feasible with verified support")),"Completed feasible",IF(OR(P191="Not feasible",W191="Stopped before rating",W191="Aborted during review"),"Infeasible or aborted","Incomplete")))</f>
        <v/>
      </c>
      <c r="Y191" s="303" t="n"/>
      <c r="Z191" s="303" t="n"/>
      <c r="AA191" s="303" t="n"/>
      <c r="AB191" s="303" t="n"/>
      <c r="AC191" s="303" t="n"/>
      <c r="AD191" s="303">
        <f>IF(COUNTA(A191:O191)+COUNTA(Q191)+COUNTA(T191:W191)+COUNTA(Y191:AC191)=0,"",IF(AND(COUNTIF(Vocabulary!$J$5:$J$6,L191)=1,COUNTIF(Vocabulary!$J$5:$J$6,M191)=1,COUNTIF(Vocabulary!$J$5:$J$6,N191)=1,COUNTIF(Vocabulary!$J$5:$J$6,Y191)=1,COUNTIF(Vocabulary!$J$5:$J$6,Z191)=1,COUNTIF(Vocabulary!$J$5:$J$6,AA191)=1,COUNTIF(Vocabulary!$J$5:$J$6,AB191)=1,COUNTIF(Vocabulary!$J$5:$J$6,AC191)=1),"OK","UNRECOGNISED_BURDEN_VALUE"))</f>
        <v/>
      </c>
    </row>
    <row r="192">
      <c r="P192">
        <f>IF(COUNTA(A192:O192)+COUNTA(Q192)+COUNTA(T192:W192)+COUNTA(Y192:AC192)=0,"",IF(OR(NOT(ISNUMBER(D192)),NOT(ISNUMBER(E192)),NOT(ISNUMBER(F192)),NOT(ISNUMBER(G192)),NOT(ISNUMBER(H192)),NOT(ISNUMBER(I192)),NOT(ISNUMBER(J192)),NOT(ISNUMBER(K192)),AD192&lt;&gt;"OK"),"Not feasible",IF(OR(D192&lt;E192,F192&lt;G192,H192&lt;I192,J192&lt;K192,AND(L192="Yes",OR(M192&lt;&gt;"Yes",N192&lt;&gt;"Yes")),AND(Y192="Yes",OR(Z192&lt;&gt;"Yes",AA192&lt;&gt;"Yes")),AB192&lt;&gt;"Yes",AC192&lt;&gt;"Yes"),"Not feasible",IF(OR(L192="Yes",Y192="Yes"),"Feasible with verified support","Feasible"))))</f>
        <v/>
      </c>
      <c r="R192">
        <f>IF(AND(P192="",Q192=""),"",IF(AND(P192&lt;&gt;"",Q192=""),"UNRECORDED",IF(AND(P192="",Q192&lt;&gt;""),"ORPHAN_RECORDED",IF(P192=Q192,"MATCH","MISMATCH"))))</f>
        <v/>
      </c>
      <c r="S192">
        <f>IF(OR(NOT(ISNUMBER(E192)),NOT(ISNUMBER(G192))),"",E192+G192)</f>
        <v/>
      </c>
      <c r="X192">
        <f>IF(A192="","",IF(AND(W192="Completed",OR(P192="Feasible",P192="Feasible with verified support")),"Completed feasible",IF(OR(P192="Not feasible",W192="Stopped before rating",W192="Aborted during review"),"Infeasible or aborted","Incomplete")))</f>
        <v/>
      </c>
      <c r="Y192" s="303" t="n"/>
      <c r="Z192" s="303" t="n"/>
      <c r="AA192" s="303" t="n"/>
      <c r="AB192" s="303" t="n"/>
      <c r="AC192" s="303" t="n"/>
      <c r="AD192" s="303">
        <f>IF(COUNTA(A192:O192)+COUNTA(Q192)+COUNTA(T192:W192)+COUNTA(Y192:AC192)=0,"",IF(AND(COUNTIF(Vocabulary!$J$5:$J$6,L192)=1,COUNTIF(Vocabulary!$J$5:$J$6,M192)=1,COUNTIF(Vocabulary!$J$5:$J$6,N192)=1,COUNTIF(Vocabulary!$J$5:$J$6,Y192)=1,COUNTIF(Vocabulary!$J$5:$J$6,Z192)=1,COUNTIF(Vocabulary!$J$5:$J$6,AA192)=1,COUNTIF(Vocabulary!$J$5:$J$6,AB192)=1,COUNTIF(Vocabulary!$J$5:$J$6,AC192)=1),"OK","UNRECOGNISED_BURDEN_VALUE"))</f>
        <v/>
      </c>
    </row>
    <row r="193">
      <c r="P193">
        <f>IF(COUNTA(A193:O193)+COUNTA(Q193)+COUNTA(T193:W193)+COUNTA(Y193:AC193)=0,"",IF(OR(NOT(ISNUMBER(D193)),NOT(ISNUMBER(E193)),NOT(ISNUMBER(F193)),NOT(ISNUMBER(G193)),NOT(ISNUMBER(H193)),NOT(ISNUMBER(I193)),NOT(ISNUMBER(J193)),NOT(ISNUMBER(K193)),AD193&lt;&gt;"OK"),"Not feasible",IF(OR(D193&lt;E193,F193&lt;G193,H193&lt;I193,J193&lt;K193,AND(L193="Yes",OR(M193&lt;&gt;"Yes",N193&lt;&gt;"Yes")),AND(Y193="Yes",OR(Z193&lt;&gt;"Yes",AA193&lt;&gt;"Yes")),AB193&lt;&gt;"Yes",AC193&lt;&gt;"Yes"),"Not feasible",IF(OR(L193="Yes",Y193="Yes"),"Feasible with verified support","Feasible"))))</f>
        <v/>
      </c>
      <c r="R193">
        <f>IF(AND(P193="",Q193=""),"",IF(AND(P193&lt;&gt;"",Q193=""),"UNRECORDED",IF(AND(P193="",Q193&lt;&gt;""),"ORPHAN_RECORDED",IF(P193=Q193,"MATCH","MISMATCH"))))</f>
        <v/>
      </c>
      <c r="S193">
        <f>IF(OR(NOT(ISNUMBER(E193)),NOT(ISNUMBER(G193))),"",E193+G193)</f>
        <v/>
      </c>
      <c r="X193">
        <f>IF(A193="","",IF(AND(W193="Completed",OR(P193="Feasible",P193="Feasible with verified support")),"Completed feasible",IF(OR(P193="Not feasible",W193="Stopped before rating",W193="Aborted during review"),"Infeasible or aborted","Incomplete")))</f>
        <v/>
      </c>
      <c r="Y193" s="303" t="n"/>
      <c r="Z193" s="303" t="n"/>
      <c r="AA193" s="303" t="n"/>
      <c r="AB193" s="303" t="n"/>
      <c r="AC193" s="303" t="n"/>
      <c r="AD193" s="303">
        <f>IF(COUNTA(A193:O193)+COUNTA(Q193)+COUNTA(T193:W193)+COUNTA(Y193:AC193)=0,"",IF(AND(COUNTIF(Vocabulary!$J$5:$J$6,L193)=1,COUNTIF(Vocabulary!$J$5:$J$6,M193)=1,COUNTIF(Vocabulary!$J$5:$J$6,N193)=1,COUNTIF(Vocabulary!$J$5:$J$6,Y193)=1,COUNTIF(Vocabulary!$J$5:$J$6,Z193)=1,COUNTIF(Vocabulary!$J$5:$J$6,AA193)=1,COUNTIF(Vocabulary!$J$5:$J$6,AB193)=1,COUNTIF(Vocabulary!$J$5:$J$6,AC193)=1),"OK","UNRECOGNISED_BURDEN_VALUE"))</f>
        <v/>
      </c>
    </row>
    <row r="194">
      <c r="P194">
        <f>IF(COUNTA(A194:O194)+COUNTA(Q194)+COUNTA(T194:W194)+COUNTA(Y194:AC194)=0,"",IF(OR(NOT(ISNUMBER(D194)),NOT(ISNUMBER(E194)),NOT(ISNUMBER(F194)),NOT(ISNUMBER(G194)),NOT(ISNUMBER(H194)),NOT(ISNUMBER(I194)),NOT(ISNUMBER(J194)),NOT(ISNUMBER(K194)),AD194&lt;&gt;"OK"),"Not feasible",IF(OR(D194&lt;E194,F194&lt;G194,H194&lt;I194,J194&lt;K194,AND(L194="Yes",OR(M194&lt;&gt;"Yes",N194&lt;&gt;"Yes")),AND(Y194="Yes",OR(Z194&lt;&gt;"Yes",AA194&lt;&gt;"Yes")),AB194&lt;&gt;"Yes",AC194&lt;&gt;"Yes"),"Not feasible",IF(OR(L194="Yes",Y194="Yes"),"Feasible with verified support","Feasible"))))</f>
        <v/>
      </c>
      <c r="R194">
        <f>IF(AND(P194="",Q194=""),"",IF(AND(P194&lt;&gt;"",Q194=""),"UNRECORDED",IF(AND(P194="",Q194&lt;&gt;""),"ORPHAN_RECORDED",IF(P194=Q194,"MATCH","MISMATCH"))))</f>
        <v/>
      </c>
      <c r="S194">
        <f>IF(OR(NOT(ISNUMBER(E194)),NOT(ISNUMBER(G194))),"",E194+G194)</f>
        <v/>
      </c>
      <c r="X194">
        <f>IF(A194="","",IF(AND(W194="Completed",OR(P194="Feasible",P194="Feasible with verified support")),"Completed feasible",IF(OR(P194="Not feasible",W194="Stopped before rating",W194="Aborted during review"),"Infeasible or aborted","Incomplete")))</f>
        <v/>
      </c>
      <c r="Y194" s="303" t="n"/>
      <c r="Z194" s="303" t="n"/>
      <c r="AA194" s="303" t="n"/>
      <c r="AB194" s="303" t="n"/>
      <c r="AC194" s="303" t="n"/>
      <c r="AD194" s="303">
        <f>IF(COUNTA(A194:O194)+COUNTA(Q194)+COUNTA(T194:W194)+COUNTA(Y194:AC194)=0,"",IF(AND(COUNTIF(Vocabulary!$J$5:$J$6,L194)=1,COUNTIF(Vocabulary!$J$5:$J$6,M194)=1,COUNTIF(Vocabulary!$J$5:$J$6,N194)=1,COUNTIF(Vocabulary!$J$5:$J$6,Y194)=1,COUNTIF(Vocabulary!$J$5:$J$6,Z194)=1,COUNTIF(Vocabulary!$J$5:$J$6,AA194)=1,COUNTIF(Vocabulary!$J$5:$J$6,AB194)=1,COUNTIF(Vocabulary!$J$5:$J$6,AC194)=1),"OK","UNRECOGNISED_BURDEN_VALUE"))</f>
        <v/>
      </c>
    </row>
    <row r="195">
      <c r="P195">
        <f>IF(COUNTA(A195:O195)+COUNTA(Q195)+COUNTA(T195:W195)+COUNTA(Y195:AC195)=0,"",IF(OR(NOT(ISNUMBER(D195)),NOT(ISNUMBER(E195)),NOT(ISNUMBER(F195)),NOT(ISNUMBER(G195)),NOT(ISNUMBER(H195)),NOT(ISNUMBER(I195)),NOT(ISNUMBER(J195)),NOT(ISNUMBER(K195)),AD195&lt;&gt;"OK"),"Not feasible",IF(OR(D195&lt;E195,F195&lt;G195,H195&lt;I195,J195&lt;K195,AND(L195="Yes",OR(M195&lt;&gt;"Yes",N195&lt;&gt;"Yes")),AND(Y195="Yes",OR(Z195&lt;&gt;"Yes",AA195&lt;&gt;"Yes")),AB195&lt;&gt;"Yes",AC195&lt;&gt;"Yes"),"Not feasible",IF(OR(L195="Yes",Y195="Yes"),"Feasible with verified support","Feasible"))))</f>
        <v/>
      </c>
      <c r="R195">
        <f>IF(AND(P195="",Q195=""),"",IF(AND(P195&lt;&gt;"",Q195=""),"UNRECORDED",IF(AND(P195="",Q195&lt;&gt;""),"ORPHAN_RECORDED",IF(P195=Q195,"MATCH","MISMATCH"))))</f>
        <v/>
      </c>
      <c r="S195">
        <f>IF(OR(NOT(ISNUMBER(E195)),NOT(ISNUMBER(G195))),"",E195+G195)</f>
        <v/>
      </c>
      <c r="X195">
        <f>IF(A195="","",IF(AND(W195="Completed",OR(P195="Feasible",P195="Feasible with verified support")),"Completed feasible",IF(OR(P195="Not feasible",W195="Stopped before rating",W195="Aborted during review"),"Infeasible or aborted","Incomplete")))</f>
        <v/>
      </c>
      <c r="Y195" s="303" t="n"/>
      <c r="Z195" s="303" t="n"/>
      <c r="AA195" s="303" t="n"/>
      <c r="AB195" s="303" t="n"/>
      <c r="AC195" s="303" t="n"/>
      <c r="AD195" s="303">
        <f>IF(COUNTA(A195:O195)+COUNTA(Q195)+COUNTA(T195:W195)+COUNTA(Y195:AC195)=0,"",IF(AND(COUNTIF(Vocabulary!$J$5:$J$6,L195)=1,COUNTIF(Vocabulary!$J$5:$J$6,M195)=1,COUNTIF(Vocabulary!$J$5:$J$6,N195)=1,COUNTIF(Vocabulary!$J$5:$J$6,Y195)=1,COUNTIF(Vocabulary!$J$5:$J$6,Z195)=1,COUNTIF(Vocabulary!$J$5:$J$6,AA195)=1,COUNTIF(Vocabulary!$J$5:$J$6,AB195)=1,COUNTIF(Vocabulary!$J$5:$J$6,AC195)=1),"OK","UNRECOGNISED_BURDEN_VALUE"))</f>
        <v/>
      </c>
    </row>
    <row r="196">
      <c r="P196">
        <f>IF(COUNTA(A196:O196)+COUNTA(Q196)+COUNTA(T196:W196)+COUNTA(Y196:AC196)=0,"",IF(OR(NOT(ISNUMBER(D196)),NOT(ISNUMBER(E196)),NOT(ISNUMBER(F196)),NOT(ISNUMBER(G196)),NOT(ISNUMBER(H196)),NOT(ISNUMBER(I196)),NOT(ISNUMBER(J196)),NOT(ISNUMBER(K196)),AD196&lt;&gt;"OK"),"Not feasible",IF(OR(D196&lt;E196,F196&lt;G196,H196&lt;I196,J196&lt;K196,AND(L196="Yes",OR(M196&lt;&gt;"Yes",N196&lt;&gt;"Yes")),AND(Y196="Yes",OR(Z196&lt;&gt;"Yes",AA196&lt;&gt;"Yes")),AB196&lt;&gt;"Yes",AC196&lt;&gt;"Yes"),"Not feasible",IF(OR(L196="Yes",Y196="Yes"),"Feasible with verified support","Feasible"))))</f>
        <v/>
      </c>
      <c r="R196">
        <f>IF(AND(P196="",Q196=""),"",IF(AND(P196&lt;&gt;"",Q196=""),"UNRECORDED",IF(AND(P196="",Q196&lt;&gt;""),"ORPHAN_RECORDED",IF(P196=Q196,"MATCH","MISMATCH"))))</f>
        <v/>
      </c>
      <c r="S196">
        <f>IF(OR(NOT(ISNUMBER(E196)),NOT(ISNUMBER(G196))),"",E196+G196)</f>
        <v/>
      </c>
      <c r="X196">
        <f>IF(A196="","",IF(AND(W196="Completed",OR(P196="Feasible",P196="Feasible with verified support")),"Completed feasible",IF(OR(P196="Not feasible",W196="Stopped before rating",W196="Aborted during review"),"Infeasible or aborted","Incomplete")))</f>
        <v/>
      </c>
      <c r="Y196" s="303" t="n"/>
      <c r="Z196" s="303" t="n"/>
      <c r="AA196" s="303" t="n"/>
      <c r="AB196" s="303" t="n"/>
      <c r="AC196" s="303" t="n"/>
      <c r="AD196" s="303">
        <f>IF(COUNTA(A196:O196)+COUNTA(Q196)+COUNTA(T196:W196)+COUNTA(Y196:AC196)=0,"",IF(AND(COUNTIF(Vocabulary!$J$5:$J$6,L196)=1,COUNTIF(Vocabulary!$J$5:$J$6,M196)=1,COUNTIF(Vocabulary!$J$5:$J$6,N196)=1,COUNTIF(Vocabulary!$J$5:$J$6,Y196)=1,COUNTIF(Vocabulary!$J$5:$J$6,Z196)=1,COUNTIF(Vocabulary!$J$5:$J$6,AA196)=1,COUNTIF(Vocabulary!$J$5:$J$6,AB196)=1,COUNTIF(Vocabulary!$J$5:$J$6,AC196)=1),"OK","UNRECOGNISED_BURDEN_VALUE"))</f>
        <v/>
      </c>
    </row>
    <row r="197">
      <c r="P197">
        <f>IF(COUNTA(A197:O197)+COUNTA(Q197)+COUNTA(T197:W197)+COUNTA(Y197:AC197)=0,"",IF(OR(NOT(ISNUMBER(D197)),NOT(ISNUMBER(E197)),NOT(ISNUMBER(F197)),NOT(ISNUMBER(G197)),NOT(ISNUMBER(H197)),NOT(ISNUMBER(I197)),NOT(ISNUMBER(J197)),NOT(ISNUMBER(K197)),AD197&lt;&gt;"OK"),"Not feasible",IF(OR(D197&lt;E197,F197&lt;G197,H197&lt;I197,J197&lt;K197,AND(L197="Yes",OR(M197&lt;&gt;"Yes",N197&lt;&gt;"Yes")),AND(Y197="Yes",OR(Z197&lt;&gt;"Yes",AA197&lt;&gt;"Yes")),AB197&lt;&gt;"Yes",AC197&lt;&gt;"Yes"),"Not feasible",IF(OR(L197="Yes",Y197="Yes"),"Feasible with verified support","Feasible"))))</f>
        <v/>
      </c>
      <c r="R197">
        <f>IF(AND(P197="",Q197=""),"",IF(AND(P197&lt;&gt;"",Q197=""),"UNRECORDED",IF(AND(P197="",Q197&lt;&gt;""),"ORPHAN_RECORDED",IF(P197=Q197,"MATCH","MISMATCH"))))</f>
        <v/>
      </c>
      <c r="S197">
        <f>IF(OR(NOT(ISNUMBER(E197)),NOT(ISNUMBER(G197))),"",E197+G197)</f>
        <v/>
      </c>
      <c r="X197">
        <f>IF(A197="","",IF(AND(W197="Completed",OR(P197="Feasible",P197="Feasible with verified support")),"Completed feasible",IF(OR(P197="Not feasible",W197="Stopped before rating",W197="Aborted during review"),"Infeasible or aborted","Incomplete")))</f>
        <v/>
      </c>
      <c r="Y197" s="303" t="n"/>
      <c r="Z197" s="303" t="n"/>
      <c r="AA197" s="303" t="n"/>
      <c r="AB197" s="303" t="n"/>
      <c r="AC197" s="303" t="n"/>
      <c r="AD197" s="303">
        <f>IF(COUNTA(A197:O197)+COUNTA(Q197)+COUNTA(T197:W197)+COUNTA(Y197:AC197)=0,"",IF(AND(COUNTIF(Vocabulary!$J$5:$J$6,L197)=1,COUNTIF(Vocabulary!$J$5:$J$6,M197)=1,COUNTIF(Vocabulary!$J$5:$J$6,N197)=1,COUNTIF(Vocabulary!$J$5:$J$6,Y197)=1,COUNTIF(Vocabulary!$J$5:$J$6,Z197)=1,COUNTIF(Vocabulary!$J$5:$J$6,AA197)=1,COUNTIF(Vocabulary!$J$5:$J$6,AB197)=1,COUNTIF(Vocabulary!$J$5:$J$6,AC197)=1),"OK","UNRECOGNISED_BURDEN_VALUE"))</f>
        <v/>
      </c>
    </row>
    <row r="198">
      <c r="P198">
        <f>IF(COUNTA(A198:O198)+COUNTA(Q198)+COUNTA(T198:W198)+COUNTA(Y198:AC198)=0,"",IF(OR(NOT(ISNUMBER(D198)),NOT(ISNUMBER(E198)),NOT(ISNUMBER(F198)),NOT(ISNUMBER(G198)),NOT(ISNUMBER(H198)),NOT(ISNUMBER(I198)),NOT(ISNUMBER(J198)),NOT(ISNUMBER(K198)),AD198&lt;&gt;"OK"),"Not feasible",IF(OR(D198&lt;E198,F198&lt;G198,H198&lt;I198,J198&lt;K198,AND(L198="Yes",OR(M198&lt;&gt;"Yes",N198&lt;&gt;"Yes")),AND(Y198="Yes",OR(Z198&lt;&gt;"Yes",AA198&lt;&gt;"Yes")),AB198&lt;&gt;"Yes",AC198&lt;&gt;"Yes"),"Not feasible",IF(OR(L198="Yes",Y198="Yes"),"Feasible with verified support","Feasible"))))</f>
        <v/>
      </c>
      <c r="R198">
        <f>IF(AND(P198="",Q198=""),"",IF(AND(P198&lt;&gt;"",Q198=""),"UNRECORDED",IF(AND(P198="",Q198&lt;&gt;""),"ORPHAN_RECORDED",IF(P198=Q198,"MATCH","MISMATCH"))))</f>
        <v/>
      </c>
      <c r="S198">
        <f>IF(OR(NOT(ISNUMBER(E198)),NOT(ISNUMBER(G198))),"",E198+G198)</f>
        <v/>
      </c>
      <c r="X198">
        <f>IF(A198="","",IF(AND(W198="Completed",OR(P198="Feasible",P198="Feasible with verified support")),"Completed feasible",IF(OR(P198="Not feasible",W198="Stopped before rating",W198="Aborted during review"),"Infeasible or aborted","Incomplete")))</f>
        <v/>
      </c>
      <c r="Y198" s="303" t="n"/>
      <c r="Z198" s="303" t="n"/>
      <c r="AA198" s="303" t="n"/>
      <c r="AB198" s="303" t="n"/>
      <c r="AC198" s="303" t="n"/>
      <c r="AD198" s="303">
        <f>IF(COUNTA(A198:O198)+COUNTA(Q198)+COUNTA(T198:W198)+COUNTA(Y198:AC198)=0,"",IF(AND(COUNTIF(Vocabulary!$J$5:$J$6,L198)=1,COUNTIF(Vocabulary!$J$5:$J$6,M198)=1,COUNTIF(Vocabulary!$J$5:$J$6,N198)=1,COUNTIF(Vocabulary!$J$5:$J$6,Y198)=1,COUNTIF(Vocabulary!$J$5:$J$6,Z198)=1,COUNTIF(Vocabulary!$J$5:$J$6,AA198)=1,COUNTIF(Vocabulary!$J$5:$J$6,AB198)=1,COUNTIF(Vocabulary!$J$5:$J$6,AC198)=1),"OK","UNRECOGNISED_BURDEN_VALUE"))</f>
        <v/>
      </c>
    </row>
    <row r="199">
      <c r="P199">
        <f>IF(COUNTA(A199:O199)+COUNTA(Q199)+COUNTA(T199:W199)+COUNTA(Y199:AC199)=0,"",IF(OR(NOT(ISNUMBER(D199)),NOT(ISNUMBER(E199)),NOT(ISNUMBER(F199)),NOT(ISNUMBER(G199)),NOT(ISNUMBER(H199)),NOT(ISNUMBER(I199)),NOT(ISNUMBER(J199)),NOT(ISNUMBER(K199)),AD199&lt;&gt;"OK"),"Not feasible",IF(OR(D199&lt;E199,F199&lt;G199,H199&lt;I199,J199&lt;K199,AND(L199="Yes",OR(M199&lt;&gt;"Yes",N199&lt;&gt;"Yes")),AND(Y199="Yes",OR(Z199&lt;&gt;"Yes",AA199&lt;&gt;"Yes")),AB199&lt;&gt;"Yes",AC199&lt;&gt;"Yes"),"Not feasible",IF(OR(L199="Yes",Y199="Yes"),"Feasible with verified support","Feasible"))))</f>
        <v/>
      </c>
      <c r="R199">
        <f>IF(AND(P199="",Q199=""),"",IF(AND(P199&lt;&gt;"",Q199=""),"UNRECORDED",IF(AND(P199="",Q199&lt;&gt;""),"ORPHAN_RECORDED",IF(P199=Q199,"MATCH","MISMATCH"))))</f>
        <v/>
      </c>
      <c r="S199">
        <f>IF(OR(NOT(ISNUMBER(E199)),NOT(ISNUMBER(G199))),"",E199+G199)</f>
        <v/>
      </c>
      <c r="X199">
        <f>IF(A199="","",IF(AND(W199="Completed",OR(P199="Feasible",P199="Feasible with verified support")),"Completed feasible",IF(OR(P199="Not feasible",W199="Stopped before rating",W199="Aborted during review"),"Infeasible or aborted","Incomplete")))</f>
        <v/>
      </c>
      <c r="Y199" s="303" t="n"/>
      <c r="Z199" s="303" t="n"/>
      <c r="AA199" s="303" t="n"/>
      <c r="AB199" s="303" t="n"/>
      <c r="AC199" s="303" t="n"/>
      <c r="AD199" s="303">
        <f>IF(COUNTA(A199:O199)+COUNTA(Q199)+COUNTA(T199:W199)+COUNTA(Y199:AC199)=0,"",IF(AND(COUNTIF(Vocabulary!$J$5:$J$6,L199)=1,COUNTIF(Vocabulary!$J$5:$J$6,M199)=1,COUNTIF(Vocabulary!$J$5:$J$6,N199)=1,COUNTIF(Vocabulary!$J$5:$J$6,Y199)=1,COUNTIF(Vocabulary!$J$5:$J$6,Z199)=1,COUNTIF(Vocabulary!$J$5:$J$6,AA199)=1,COUNTIF(Vocabulary!$J$5:$J$6,AB199)=1,COUNTIF(Vocabulary!$J$5:$J$6,AC199)=1),"OK","UNRECOGNISED_BURDEN_VALUE"))</f>
        <v/>
      </c>
    </row>
    <row r="200">
      <c r="P200">
        <f>IF(COUNTA(A200:O200)+COUNTA(Q200)+COUNTA(T200:W200)+COUNTA(Y200:AC200)=0,"",IF(OR(NOT(ISNUMBER(D200)),NOT(ISNUMBER(E200)),NOT(ISNUMBER(F200)),NOT(ISNUMBER(G200)),NOT(ISNUMBER(H200)),NOT(ISNUMBER(I200)),NOT(ISNUMBER(J200)),NOT(ISNUMBER(K200)),AD200&lt;&gt;"OK"),"Not feasible",IF(OR(D200&lt;E200,F200&lt;G200,H200&lt;I200,J200&lt;K200,AND(L200="Yes",OR(M200&lt;&gt;"Yes",N200&lt;&gt;"Yes")),AND(Y200="Yes",OR(Z200&lt;&gt;"Yes",AA200&lt;&gt;"Yes")),AB200&lt;&gt;"Yes",AC200&lt;&gt;"Yes"),"Not feasible",IF(OR(L200="Yes",Y200="Yes"),"Feasible with verified support","Feasible"))))</f>
        <v/>
      </c>
      <c r="R200">
        <f>IF(AND(P200="",Q200=""),"",IF(AND(P200&lt;&gt;"",Q200=""),"UNRECORDED",IF(AND(P200="",Q200&lt;&gt;""),"ORPHAN_RECORDED",IF(P200=Q200,"MATCH","MISMATCH"))))</f>
        <v/>
      </c>
      <c r="S200">
        <f>IF(OR(NOT(ISNUMBER(E200)),NOT(ISNUMBER(G200))),"",E200+G200)</f>
        <v/>
      </c>
      <c r="X200">
        <f>IF(A200="","",IF(AND(W200="Completed",OR(P200="Feasible",P200="Feasible with verified support")),"Completed feasible",IF(OR(P200="Not feasible",W200="Stopped before rating",W200="Aborted during review"),"Infeasible or aborted","Incomplete")))</f>
        <v/>
      </c>
      <c r="Y200" s="303" t="n"/>
      <c r="Z200" s="303" t="n"/>
      <c r="AA200" s="303" t="n"/>
      <c r="AB200" s="303" t="n"/>
      <c r="AC200" s="303" t="n"/>
      <c r="AD200" s="303">
        <f>IF(COUNTA(A200:O200)+COUNTA(Q200)+COUNTA(T200:W200)+COUNTA(Y200:AC200)=0,"",IF(AND(COUNTIF(Vocabulary!$J$5:$J$6,L200)=1,COUNTIF(Vocabulary!$J$5:$J$6,M200)=1,COUNTIF(Vocabulary!$J$5:$J$6,N200)=1,COUNTIF(Vocabulary!$J$5:$J$6,Y200)=1,COUNTIF(Vocabulary!$J$5:$J$6,Z200)=1,COUNTIF(Vocabulary!$J$5:$J$6,AA200)=1,COUNTIF(Vocabulary!$J$5:$J$6,AB200)=1,COUNTIF(Vocabulary!$J$5:$J$6,AC200)=1),"OK","UNRECOGNISED_BURDEN_VALUE"))</f>
        <v/>
      </c>
    </row>
    <row r="201">
      <c r="P201">
        <f>IF(COUNTA(A201:O201)+COUNTA(Q201)+COUNTA(T201:W201)+COUNTA(Y201:AC201)=0,"",IF(OR(NOT(ISNUMBER(D201)),NOT(ISNUMBER(E201)),NOT(ISNUMBER(F201)),NOT(ISNUMBER(G201)),NOT(ISNUMBER(H201)),NOT(ISNUMBER(I201)),NOT(ISNUMBER(J201)),NOT(ISNUMBER(K201)),AD201&lt;&gt;"OK"),"Not feasible",IF(OR(D201&lt;E201,F201&lt;G201,H201&lt;I201,J201&lt;K201,AND(L201="Yes",OR(M201&lt;&gt;"Yes",N201&lt;&gt;"Yes")),AND(Y201="Yes",OR(Z201&lt;&gt;"Yes",AA201&lt;&gt;"Yes")),AB201&lt;&gt;"Yes",AC201&lt;&gt;"Yes"),"Not feasible",IF(OR(L201="Yes",Y201="Yes"),"Feasible with verified support","Feasible"))))</f>
        <v/>
      </c>
      <c r="R201">
        <f>IF(AND(P201="",Q201=""),"",IF(AND(P201&lt;&gt;"",Q201=""),"UNRECORDED",IF(AND(P201="",Q201&lt;&gt;""),"ORPHAN_RECORDED",IF(P201=Q201,"MATCH","MISMATCH"))))</f>
        <v/>
      </c>
      <c r="S201">
        <f>IF(OR(NOT(ISNUMBER(E201)),NOT(ISNUMBER(G201))),"",E201+G201)</f>
        <v/>
      </c>
      <c r="X201">
        <f>IF(A201="","",IF(AND(W201="Completed",OR(P201="Feasible",P201="Feasible with verified support")),"Completed feasible",IF(OR(P201="Not feasible",W201="Stopped before rating",W201="Aborted during review"),"Infeasible or aborted","Incomplete")))</f>
        <v/>
      </c>
      <c r="Y201" s="303" t="n"/>
      <c r="Z201" s="303" t="n"/>
      <c r="AA201" s="303" t="n"/>
      <c r="AB201" s="303" t="n"/>
      <c r="AC201" s="303" t="n"/>
      <c r="AD201" s="303">
        <f>IF(COUNTA(A201:O201)+COUNTA(Q201)+COUNTA(T201:W201)+COUNTA(Y201:AC201)=0,"",IF(AND(COUNTIF(Vocabulary!$J$5:$J$6,L201)=1,COUNTIF(Vocabulary!$J$5:$J$6,M201)=1,COUNTIF(Vocabulary!$J$5:$J$6,N201)=1,COUNTIF(Vocabulary!$J$5:$J$6,Y201)=1,COUNTIF(Vocabulary!$J$5:$J$6,Z201)=1,COUNTIF(Vocabulary!$J$5:$J$6,AA201)=1,COUNTIF(Vocabulary!$J$5:$J$6,AB201)=1,COUNTIF(Vocabulary!$J$5:$J$6,AC201)=1),"OK","UNRECOGNISED_BURDEN_VALUE"))</f>
        <v/>
      </c>
    </row>
    <row r="202">
      <c r="P202">
        <f>IF(COUNTA(A202:O202)+COUNTA(Q202)+COUNTA(T202:W202)+COUNTA(Y202:AC202)=0,"",IF(OR(NOT(ISNUMBER(D202)),NOT(ISNUMBER(E202)),NOT(ISNUMBER(F202)),NOT(ISNUMBER(G202)),NOT(ISNUMBER(H202)),NOT(ISNUMBER(I202)),NOT(ISNUMBER(J202)),NOT(ISNUMBER(K202)),AD202&lt;&gt;"OK"),"Not feasible",IF(OR(D202&lt;E202,F202&lt;G202,H202&lt;I202,J202&lt;K202,AND(L202="Yes",OR(M202&lt;&gt;"Yes",N202&lt;&gt;"Yes")),AND(Y202="Yes",OR(Z202&lt;&gt;"Yes",AA202&lt;&gt;"Yes")),AB202&lt;&gt;"Yes",AC202&lt;&gt;"Yes"),"Not feasible",IF(OR(L202="Yes",Y202="Yes"),"Feasible with verified support","Feasible"))))</f>
        <v/>
      </c>
      <c r="R202">
        <f>IF(AND(P202="",Q202=""),"",IF(AND(P202&lt;&gt;"",Q202=""),"UNRECORDED",IF(AND(P202="",Q202&lt;&gt;""),"ORPHAN_RECORDED",IF(P202=Q202,"MATCH","MISMATCH"))))</f>
        <v/>
      </c>
      <c r="S202">
        <f>IF(OR(NOT(ISNUMBER(E202)),NOT(ISNUMBER(G202))),"",E202+G202)</f>
        <v/>
      </c>
      <c r="X202">
        <f>IF(A202="","",IF(AND(W202="Completed",OR(P202="Feasible",P202="Feasible with verified support")),"Completed feasible",IF(OR(P202="Not feasible",W202="Stopped before rating",W202="Aborted during review"),"Infeasible or aborted","Incomplete")))</f>
        <v/>
      </c>
      <c r="Y202" s="303" t="n"/>
      <c r="Z202" s="303" t="n"/>
      <c r="AA202" s="303" t="n"/>
      <c r="AB202" s="303" t="n"/>
      <c r="AC202" s="303" t="n"/>
      <c r="AD202" s="303">
        <f>IF(COUNTA(A202:O202)+COUNTA(Q202)+COUNTA(T202:W202)+COUNTA(Y202:AC202)=0,"",IF(AND(COUNTIF(Vocabulary!$J$5:$J$6,L202)=1,COUNTIF(Vocabulary!$J$5:$J$6,M202)=1,COUNTIF(Vocabulary!$J$5:$J$6,N202)=1,COUNTIF(Vocabulary!$J$5:$J$6,Y202)=1,COUNTIF(Vocabulary!$J$5:$J$6,Z202)=1,COUNTIF(Vocabulary!$J$5:$J$6,AA202)=1,COUNTIF(Vocabulary!$J$5:$J$6,AB202)=1,COUNTIF(Vocabulary!$J$5:$J$6,AC202)=1),"OK","UNRECOGNISED_BURDEN_VALUE"))</f>
        <v/>
      </c>
    </row>
    <row r="203">
      <c r="P203">
        <f>IF(COUNTA(A203:O203)+COUNTA(Q203)+COUNTA(T203:W203)+COUNTA(Y203:AC203)=0,"",IF(OR(NOT(ISNUMBER(D203)),NOT(ISNUMBER(E203)),NOT(ISNUMBER(F203)),NOT(ISNUMBER(G203)),NOT(ISNUMBER(H203)),NOT(ISNUMBER(I203)),NOT(ISNUMBER(J203)),NOT(ISNUMBER(K203)),AD203&lt;&gt;"OK"),"Not feasible",IF(OR(D203&lt;E203,F203&lt;G203,H203&lt;I203,J203&lt;K203,AND(L203="Yes",OR(M203&lt;&gt;"Yes",N203&lt;&gt;"Yes")),AND(Y203="Yes",OR(Z203&lt;&gt;"Yes",AA203&lt;&gt;"Yes")),AB203&lt;&gt;"Yes",AC203&lt;&gt;"Yes"),"Not feasible",IF(OR(L203="Yes",Y203="Yes"),"Feasible with verified support","Feasible"))))</f>
        <v/>
      </c>
      <c r="R203">
        <f>IF(AND(P203="",Q203=""),"",IF(AND(P203&lt;&gt;"",Q203=""),"UNRECORDED",IF(AND(P203="",Q203&lt;&gt;""),"ORPHAN_RECORDED",IF(P203=Q203,"MATCH","MISMATCH"))))</f>
        <v/>
      </c>
      <c r="S203">
        <f>IF(OR(NOT(ISNUMBER(E203)),NOT(ISNUMBER(G203))),"",E203+G203)</f>
        <v/>
      </c>
      <c r="X203">
        <f>IF(A203="","",IF(AND(W203="Completed",OR(P203="Feasible",P203="Feasible with verified support")),"Completed feasible",IF(OR(P203="Not feasible",W203="Stopped before rating",W203="Aborted during review"),"Infeasible or aborted","Incomplete")))</f>
        <v/>
      </c>
      <c r="Y203" s="303" t="n"/>
      <c r="Z203" s="303" t="n"/>
      <c r="AA203" s="303" t="n"/>
      <c r="AB203" s="303" t="n"/>
      <c r="AC203" s="303" t="n"/>
      <c r="AD203" s="303">
        <f>IF(COUNTA(A203:O203)+COUNTA(Q203)+COUNTA(T203:W203)+COUNTA(Y203:AC203)=0,"",IF(AND(COUNTIF(Vocabulary!$J$5:$J$6,L203)=1,COUNTIF(Vocabulary!$J$5:$J$6,M203)=1,COUNTIF(Vocabulary!$J$5:$J$6,N203)=1,COUNTIF(Vocabulary!$J$5:$J$6,Y203)=1,COUNTIF(Vocabulary!$J$5:$J$6,Z203)=1,COUNTIF(Vocabulary!$J$5:$J$6,AA203)=1,COUNTIF(Vocabulary!$J$5:$J$6,AB203)=1,COUNTIF(Vocabulary!$J$5:$J$6,AC203)=1),"OK","UNRECOGNISED_BURDEN_VALUE"))</f>
        <v/>
      </c>
    </row>
    <row r="204">
      <c r="P204">
        <f>IF(COUNTA(A204:O204)+COUNTA(Q204)+COUNTA(T204:W204)+COUNTA(Y204:AC204)=0,"",IF(OR(NOT(ISNUMBER(D204)),NOT(ISNUMBER(E204)),NOT(ISNUMBER(F204)),NOT(ISNUMBER(G204)),NOT(ISNUMBER(H204)),NOT(ISNUMBER(I204)),NOT(ISNUMBER(J204)),NOT(ISNUMBER(K204)),AD204&lt;&gt;"OK"),"Not feasible",IF(OR(D204&lt;E204,F204&lt;G204,H204&lt;I204,J204&lt;K204,AND(L204="Yes",OR(M204&lt;&gt;"Yes",N204&lt;&gt;"Yes")),AND(Y204="Yes",OR(Z204&lt;&gt;"Yes",AA204&lt;&gt;"Yes")),AB204&lt;&gt;"Yes",AC204&lt;&gt;"Yes"),"Not feasible",IF(OR(L204="Yes",Y204="Yes"),"Feasible with verified support","Feasible"))))</f>
        <v/>
      </c>
      <c r="R204">
        <f>IF(AND(P204="",Q204=""),"",IF(AND(P204&lt;&gt;"",Q204=""),"UNRECORDED",IF(AND(P204="",Q204&lt;&gt;""),"ORPHAN_RECORDED",IF(P204=Q204,"MATCH","MISMATCH"))))</f>
        <v/>
      </c>
      <c r="S204">
        <f>IF(OR(NOT(ISNUMBER(E204)),NOT(ISNUMBER(G204))),"",E204+G204)</f>
        <v/>
      </c>
      <c r="X204">
        <f>IF(A204="","",IF(AND(W204="Completed",OR(P204="Feasible",P204="Feasible with verified support")),"Completed feasible",IF(OR(P204="Not feasible",W204="Stopped before rating",W204="Aborted during review"),"Infeasible or aborted","Incomplete")))</f>
        <v/>
      </c>
      <c r="Y204" s="303" t="n"/>
      <c r="Z204" s="303" t="n"/>
      <c r="AA204" s="303" t="n"/>
      <c r="AB204" s="303" t="n"/>
      <c r="AC204" s="303" t="n"/>
      <c r="AD204" s="303">
        <f>IF(COUNTA(A204:O204)+COUNTA(Q204)+COUNTA(T204:W204)+COUNTA(Y204:AC204)=0,"",IF(AND(COUNTIF(Vocabulary!$J$5:$J$6,L204)=1,COUNTIF(Vocabulary!$J$5:$J$6,M204)=1,COUNTIF(Vocabulary!$J$5:$J$6,N204)=1,COUNTIF(Vocabulary!$J$5:$J$6,Y204)=1,COUNTIF(Vocabulary!$J$5:$J$6,Z204)=1,COUNTIF(Vocabulary!$J$5:$J$6,AA204)=1,COUNTIF(Vocabulary!$J$5:$J$6,AB204)=1,COUNTIF(Vocabulary!$J$5:$J$6,AC204)=1),"OK","UNRECOGNISED_BURDEN_VALUE"))</f>
        <v/>
      </c>
    </row>
    <row r="205">
      <c r="P205">
        <f>IF(COUNTA(A205:O205)+COUNTA(Q205)+COUNTA(T205:W205)+COUNTA(Y205:AC205)=0,"",IF(OR(NOT(ISNUMBER(D205)),NOT(ISNUMBER(E205)),NOT(ISNUMBER(F205)),NOT(ISNUMBER(G205)),NOT(ISNUMBER(H205)),NOT(ISNUMBER(I205)),NOT(ISNUMBER(J205)),NOT(ISNUMBER(K205)),AD205&lt;&gt;"OK"),"Not feasible",IF(OR(D205&lt;E205,F205&lt;G205,H205&lt;I205,J205&lt;K205,AND(L205="Yes",OR(M205&lt;&gt;"Yes",N205&lt;&gt;"Yes")),AND(Y205="Yes",OR(Z205&lt;&gt;"Yes",AA205&lt;&gt;"Yes")),AB205&lt;&gt;"Yes",AC205&lt;&gt;"Yes"),"Not feasible",IF(OR(L205="Yes",Y205="Yes"),"Feasible with verified support","Feasible"))))</f>
        <v/>
      </c>
      <c r="R205">
        <f>IF(AND(P205="",Q205=""),"",IF(AND(P205&lt;&gt;"",Q205=""),"UNRECORDED",IF(AND(P205="",Q205&lt;&gt;""),"ORPHAN_RECORDED",IF(P205=Q205,"MATCH","MISMATCH"))))</f>
        <v/>
      </c>
      <c r="S205">
        <f>IF(OR(NOT(ISNUMBER(E205)),NOT(ISNUMBER(G205))),"",E205+G205)</f>
        <v/>
      </c>
      <c r="X205">
        <f>IF(A205="","",IF(AND(W205="Completed",OR(P205="Feasible",P205="Feasible with verified support")),"Completed feasible",IF(OR(P205="Not feasible",W205="Stopped before rating",W205="Aborted during review"),"Infeasible or aborted","Incomplete")))</f>
        <v/>
      </c>
      <c r="Y205" s="303" t="n"/>
      <c r="Z205" s="303" t="n"/>
      <c r="AA205" s="303" t="n"/>
      <c r="AB205" s="303" t="n"/>
      <c r="AC205" s="303" t="n"/>
      <c r="AD205" s="303">
        <f>IF(COUNTA(A205:O205)+COUNTA(Q205)+COUNTA(T205:W205)+COUNTA(Y205:AC205)=0,"",IF(AND(COUNTIF(Vocabulary!$J$5:$J$6,L205)=1,COUNTIF(Vocabulary!$J$5:$J$6,M205)=1,COUNTIF(Vocabulary!$J$5:$J$6,N205)=1,COUNTIF(Vocabulary!$J$5:$J$6,Y205)=1,COUNTIF(Vocabulary!$J$5:$J$6,Z205)=1,COUNTIF(Vocabulary!$J$5:$J$6,AA205)=1,COUNTIF(Vocabulary!$J$5:$J$6,AB205)=1,COUNTIF(Vocabulary!$J$5:$J$6,AC205)=1),"OK","UNRECOGNISED_BURDEN_VALUE"))</f>
        <v/>
      </c>
    </row>
    <row r="206">
      <c r="P206">
        <f>IF(COUNTA(A206:O206)+COUNTA(Q206)+COUNTA(T206:W206)+COUNTA(Y206:AC206)=0,"",IF(OR(NOT(ISNUMBER(D206)),NOT(ISNUMBER(E206)),NOT(ISNUMBER(F206)),NOT(ISNUMBER(G206)),NOT(ISNUMBER(H206)),NOT(ISNUMBER(I206)),NOT(ISNUMBER(J206)),NOT(ISNUMBER(K206)),AD206&lt;&gt;"OK"),"Not feasible",IF(OR(D206&lt;E206,F206&lt;G206,H206&lt;I206,J206&lt;K206,AND(L206="Yes",OR(M206&lt;&gt;"Yes",N206&lt;&gt;"Yes")),AND(Y206="Yes",OR(Z206&lt;&gt;"Yes",AA206&lt;&gt;"Yes")),AB206&lt;&gt;"Yes",AC206&lt;&gt;"Yes"),"Not feasible",IF(OR(L206="Yes",Y206="Yes"),"Feasible with verified support","Feasible"))))</f>
        <v/>
      </c>
      <c r="R206">
        <f>IF(AND(P206="",Q206=""),"",IF(AND(P206&lt;&gt;"",Q206=""),"UNRECORDED",IF(AND(P206="",Q206&lt;&gt;""),"ORPHAN_RECORDED",IF(P206=Q206,"MATCH","MISMATCH"))))</f>
        <v/>
      </c>
      <c r="S206">
        <f>IF(OR(NOT(ISNUMBER(E206)),NOT(ISNUMBER(G206))),"",E206+G206)</f>
        <v/>
      </c>
      <c r="X206">
        <f>IF(A206="","",IF(AND(W206="Completed",OR(P206="Feasible",P206="Feasible with verified support")),"Completed feasible",IF(OR(P206="Not feasible",W206="Stopped before rating",W206="Aborted during review"),"Infeasible or aborted","Incomplete")))</f>
        <v/>
      </c>
      <c r="Y206" s="303" t="n"/>
      <c r="Z206" s="303" t="n"/>
      <c r="AA206" s="303" t="n"/>
      <c r="AB206" s="303" t="n"/>
      <c r="AC206" s="303" t="n"/>
      <c r="AD206" s="303">
        <f>IF(COUNTA(A206:O206)+COUNTA(Q206)+COUNTA(T206:W206)+COUNTA(Y206:AC206)=0,"",IF(AND(COUNTIF(Vocabulary!$J$5:$J$6,L206)=1,COUNTIF(Vocabulary!$J$5:$J$6,M206)=1,COUNTIF(Vocabulary!$J$5:$J$6,N206)=1,COUNTIF(Vocabulary!$J$5:$J$6,Y206)=1,COUNTIF(Vocabulary!$J$5:$J$6,Z206)=1,COUNTIF(Vocabulary!$J$5:$J$6,AA206)=1,COUNTIF(Vocabulary!$J$5:$J$6,AB206)=1,COUNTIF(Vocabulary!$J$5:$J$6,AC206)=1),"OK","UNRECOGNISED_BURDEN_VALUE"))</f>
        <v/>
      </c>
    </row>
    <row r="207">
      <c r="P207">
        <f>IF(COUNTA(A207:O207)+COUNTA(Q207)+COUNTA(T207:W207)+COUNTA(Y207:AC207)=0,"",IF(OR(NOT(ISNUMBER(D207)),NOT(ISNUMBER(E207)),NOT(ISNUMBER(F207)),NOT(ISNUMBER(G207)),NOT(ISNUMBER(H207)),NOT(ISNUMBER(I207)),NOT(ISNUMBER(J207)),NOT(ISNUMBER(K207)),AD207&lt;&gt;"OK"),"Not feasible",IF(OR(D207&lt;E207,F207&lt;G207,H207&lt;I207,J207&lt;K207,AND(L207="Yes",OR(M207&lt;&gt;"Yes",N207&lt;&gt;"Yes")),AND(Y207="Yes",OR(Z207&lt;&gt;"Yes",AA207&lt;&gt;"Yes")),AB207&lt;&gt;"Yes",AC207&lt;&gt;"Yes"),"Not feasible",IF(OR(L207="Yes",Y207="Yes"),"Feasible with verified support","Feasible"))))</f>
        <v/>
      </c>
      <c r="R207">
        <f>IF(AND(P207="",Q207=""),"",IF(AND(P207&lt;&gt;"",Q207=""),"UNRECORDED",IF(AND(P207="",Q207&lt;&gt;""),"ORPHAN_RECORDED",IF(P207=Q207,"MATCH","MISMATCH"))))</f>
        <v/>
      </c>
      <c r="S207">
        <f>IF(OR(NOT(ISNUMBER(E207)),NOT(ISNUMBER(G207))),"",E207+G207)</f>
        <v/>
      </c>
      <c r="X207">
        <f>IF(A207="","",IF(AND(W207="Completed",OR(P207="Feasible",P207="Feasible with verified support")),"Completed feasible",IF(OR(P207="Not feasible",W207="Stopped before rating",W207="Aborted during review"),"Infeasible or aborted","Incomplete")))</f>
        <v/>
      </c>
      <c r="Y207" s="303" t="n"/>
      <c r="Z207" s="303" t="n"/>
      <c r="AA207" s="303" t="n"/>
      <c r="AB207" s="303" t="n"/>
      <c r="AC207" s="303" t="n"/>
      <c r="AD207" s="303">
        <f>IF(COUNTA(A207:O207)+COUNTA(Q207)+COUNTA(T207:W207)+COUNTA(Y207:AC207)=0,"",IF(AND(COUNTIF(Vocabulary!$J$5:$J$6,L207)=1,COUNTIF(Vocabulary!$J$5:$J$6,M207)=1,COUNTIF(Vocabulary!$J$5:$J$6,N207)=1,COUNTIF(Vocabulary!$J$5:$J$6,Y207)=1,COUNTIF(Vocabulary!$J$5:$J$6,Z207)=1,COUNTIF(Vocabulary!$J$5:$J$6,AA207)=1,COUNTIF(Vocabulary!$J$5:$J$6,AB207)=1,COUNTIF(Vocabulary!$J$5:$J$6,AC207)=1),"OK","UNRECOGNISED_BURDEN_VALUE"))</f>
        <v/>
      </c>
    </row>
    <row r="208">
      <c r="P208">
        <f>IF(COUNTA(A208:O208)+COUNTA(Q208)+COUNTA(T208:W208)+COUNTA(Y208:AC208)=0,"",IF(OR(NOT(ISNUMBER(D208)),NOT(ISNUMBER(E208)),NOT(ISNUMBER(F208)),NOT(ISNUMBER(G208)),NOT(ISNUMBER(H208)),NOT(ISNUMBER(I208)),NOT(ISNUMBER(J208)),NOT(ISNUMBER(K208)),AD208&lt;&gt;"OK"),"Not feasible",IF(OR(D208&lt;E208,F208&lt;G208,H208&lt;I208,J208&lt;K208,AND(L208="Yes",OR(M208&lt;&gt;"Yes",N208&lt;&gt;"Yes")),AND(Y208="Yes",OR(Z208&lt;&gt;"Yes",AA208&lt;&gt;"Yes")),AB208&lt;&gt;"Yes",AC208&lt;&gt;"Yes"),"Not feasible",IF(OR(L208="Yes",Y208="Yes"),"Feasible with verified support","Feasible"))))</f>
        <v/>
      </c>
      <c r="R208">
        <f>IF(AND(P208="",Q208=""),"",IF(AND(P208&lt;&gt;"",Q208=""),"UNRECORDED",IF(AND(P208="",Q208&lt;&gt;""),"ORPHAN_RECORDED",IF(P208=Q208,"MATCH","MISMATCH"))))</f>
        <v/>
      </c>
      <c r="S208">
        <f>IF(OR(NOT(ISNUMBER(E208)),NOT(ISNUMBER(G208))),"",E208+G208)</f>
        <v/>
      </c>
      <c r="X208">
        <f>IF(A208="","",IF(AND(W208="Completed",OR(P208="Feasible",P208="Feasible with verified support")),"Completed feasible",IF(OR(P208="Not feasible",W208="Stopped before rating",W208="Aborted during review"),"Infeasible or aborted","Incomplete")))</f>
        <v/>
      </c>
      <c r="Y208" s="303" t="n"/>
      <c r="Z208" s="303" t="n"/>
      <c r="AA208" s="303" t="n"/>
      <c r="AB208" s="303" t="n"/>
      <c r="AC208" s="303" t="n"/>
      <c r="AD208" s="303">
        <f>IF(COUNTA(A208:O208)+COUNTA(Q208)+COUNTA(T208:W208)+COUNTA(Y208:AC208)=0,"",IF(AND(COUNTIF(Vocabulary!$J$5:$J$6,L208)=1,COUNTIF(Vocabulary!$J$5:$J$6,M208)=1,COUNTIF(Vocabulary!$J$5:$J$6,N208)=1,COUNTIF(Vocabulary!$J$5:$J$6,Y208)=1,COUNTIF(Vocabulary!$J$5:$J$6,Z208)=1,COUNTIF(Vocabulary!$J$5:$J$6,AA208)=1,COUNTIF(Vocabulary!$J$5:$J$6,AB208)=1,COUNTIF(Vocabulary!$J$5:$J$6,AC208)=1),"OK","UNRECOGNISED_BURDEN_VALUE"))</f>
        <v/>
      </c>
    </row>
    <row r="209">
      <c r="P209">
        <f>IF(COUNTA(A209:O209)+COUNTA(Q209)+COUNTA(T209:W209)+COUNTA(Y209:AC209)=0,"",IF(OR(NOT(ISNUMBER(D209)),NOT(ISNUMBER(E209)),NOT(ISNUMBER(F209)),NOT(ISNUMBER(G209)),NOT(ISNUMBER(H209)),NOT(ISNUMBER(I209)),NOT(ISNUMBER(J209)),NOT(ISNUMBER(K209)),AD209&lt;&gt;"OK"),"Not feasible",IF(OR(D209&lt;E209,F209&lt;G209,H209&lt;I209,J209&lt;K209,AND(L209="Yes",OR(M209&lt;&gt;"Yes",N209&lt;&gt;"Yes")),AND(Y209="Yes",OR(Z209&lt;&gt;"Yes",AA209&lt;&gt;"Yes")),AB209&lt;&gt;"Yes",AC209&lt;&gt;"Yes"),"Not feasible",IF(OR(L209="Yes",Y209="Yes"),"Feasible with verified support","Feasible"))))</f>
        <v/>
      </c>
      <c r="R209">
        <f>IF(AND(P209="",Q209=""),"",IF(AND(P209&lt;&gt;"",Q209=""),"UNRECORDED",IF(AND(P209="",Q209&lt;&gt;""),"ORPHAN_RECORDED",IF(P209=Q209,"MATCH","MISMATCH"))))</f>
        <v/>
      </c>
      <c r="S209">
        <f>IF(OR(NOT(ISNUMBER(E209)),NOT(ISNUMBER(G209))),"",E209+G209)</f>
        <v/>
      </c>
      <c r="X209">
        <f>IF(A209="","",IF(AND(W209="Completed",OR(P209="Feasible",P209="Feasible with verified support")),"Completed feasible",IF(OR(P209="Not feasible",W209="Stopped before rating",W209="Aborted during review"),"Infeasible or aborted","Incomplete")))</f>
        <v/>
      </c>
      <c r="Y209" s="303" t="n"/>
      <c r="Z209" s="303" t="n"/>
      <c r="AA209" s="303" t="n"/>
      <c r="AB209" s="303" t="n"/>
      <c r="AC209" s="303" t="n"/>
      <c r="AD209" s="303">
        <f>IF(COUNTA(A209:O209)+COUNTA(Q209)+COUNTA(T209:W209)+COUNTA(Y209:AC209)=0,"",IF(AND(COUNTIF(Vocabulary!$J$5:$J$6,L209)=1,COUNTIF(Vocabulary!$J$5:$J$6,M209)=1,COUNTIF(Vocabulary!$J$5:$J$6,N209)=1,COUNTIF(Vocabulary!$J$5:$J$6,Y209)=1,COUNTIF(Vocabulary!$J$5:$J$6,Z209)=1,COUNTIF(Vocabulary!$J$5:$J$6,AA209)=1,COUNTIF(Vocabulary!$J$5:$J$6,AB209)=1,COUNTIF(Vocabulary!$J$5:$J$6,AC209)=1),"OK","UNRECOGNISED_BURDEN_VALUE"))</f>
        <v/>
      </c>
    </row>
    <row r="210">
      <c r="P210">
        <f>IF(COUNTA(A210:O210)+COUNTA(Q210)+COUNTA(T210:W210)+COUNTA(Y210:AC210)=0,"",IF(OR(NOT(ISNUMBER(D210)),NOT(ISNUMBER(E210)),NOT(ISNUMBER(F210)),NOT(ISNUMBER(G210)),NOT(ISNUMBER(H210)),NOT(ISNUMBER(I210)),NOT(ISNUMBER(J210)),NOT(ISNUMBER(K210)),AD210&lt;&gt;"OK"),"Not feasible",IF(OR(D210&lt;E210,F210&lt;G210,H210&lt;I210,J210&lt;K210,AND(L210="Yes",OR(M210&lt;&gt;"Yes",N210&lt;&gt;"Yes")),AND(Y210="Yes",OR(Z210&lt;&gt;"Yes",AA210&lt;&gt;"Yes")),AB210&lt;&gt;"Yes",AC210&lt;&gt;"Yes"),"Not feasible",IF(OR(L210="Yes",Y210="Yes"),"Feasible with verified support","Feasible"))))</f>
        <v/>
      </c>
      <c r="R210">
        <f>IF(AND(P210="",Q210=""),"",IF(AND(P210&lt;&gt;"",Q210=""),"UNRECORDED",IF(AND(P210="",Q210&lt;&gt;""),"ORPHAN_RECORDED",IF(P210=Q210,"MATCH","MISMATCH"))))</f>
        <v/>
      </c>
      <c r="S210">
        <f>IF(OR(NOT(ISNUMBER(E210)),NOT(ISNUMBER(G210))),"",E210+G210)</f>
        <v/>
      </c>
      <c r="X210">
        <f>IF(A210="","",IF(AND(W210="Completed",OR(P210="Feasible",P210="Feasible with verified support")),"Completed feasible",IF(OR(P210="Not feasible",W210="Stopped before rating",W210="Aborted during review"),"Infeasible or aborted","Incomplete")))</f>
        <v/>
      </c>
      <c r="Y210" s="303" t="n"/>
      <c r="Z210" s="303" t="n"/>
      <c r="AA210" s="303" t="n"/>
      <c r="AB210" s="303" t="n"/>
      <c r="AC210" s="303" t="n"/>
      <c r="AD210" s="303">
        <f>IF(COUNTA(A210:O210)+COUNTA(Q210)+COUNTA(T210:W210)+COUNTA(Y210:AC210)=0,"",IF(AND(COUNTIF(Vocabulary!$J$5:$J$6,L210)=1,COUNTIF(Vocabulary!$J$5:$J$6,M210)=1,COUNTIF(Vocabulary!$J$5:$J$6,N210)=1,COUNTIF(Vocabulary!$J$5:$J$6,Y210)=1,COUNTIF(Vocabulary!$J$5:$J$6,Z210)=1,COUNTIF(Vocabulary!$J$5:$J$6,AA210)=1,COUNTIF(Vocabulary!$J$5:$J$6,AB210)=1,COUNTIF(Vocabulary!$J$5:$J$6,AC210)=1),"OK","UNRECOGNISED_BURDEN_VALUE"))</f>
        <v/>
      </c>
    </row>
    <row r="211">
      <c r="P211">
        <f>IF(COUNTA(A211:O211)+COUNTA(Q211)+COUNTA(T211:W211)+COUNTA(Y211:AC211)=0,"",IF(OR(NOT(ISNUMBER(D211)),NOT(ISNUMBER(E211)),NOT(ISNUMBER(F211)),NOT(ISNUMBER(G211)),NOT(ISNUMBER(H211)),NOT(ISNUMBER(I211)),NOT(ISNUMBER(J211)),NOT(ISNUMBER(K211)),AD211&lt;&gt;"OK"),"Not feasible",IF(OR(D211&lt;E211,F211&lt;G211,H211&lt;I211,J211&lt;K211,AND(L211="Yes",OR(M211&lt;&gt;"Yes",N211&lt;&gt;"Yes")),AND(Y211="Yes",OR(Z211&lt;&gt;"Yes",AA211&lt;&gt;"Yes")),AB211&lt;&gt;"Yes",AC211&lt;&gt;"Yes"),"Not feasible",IF(OR(L211="Yes",Y211="Yes"),"Feasible with verified support","Feasible"))))</f>
        <v/>
      </c>
      <c r="R211">
        <f>IF(AND(P211="",Q211=""),"",IF(AND(P211&lt;&gt;"",Q211=""),"UNRECORDED",IF(AND(P211="",Q211&lt;&gt;""),"ORPHAN_RECORDED",IF(P211=Q211,"MATCH","MISMATCH"))))</f>
        <v/>
      </c>
      <c r="S211">
        <f>IF(OR(NOT(ISNUMBER(E211)),NOT(ISNUMBER(G211))),"",E211+G211)</f>
        <v/>
      </c>
      <c r="X211">
        <f>IF(A211="","",IF(AND(W211="Completed",OR(P211="Feasible",P211="Feasible with verified support")),"Completed feasible",IF(OR(P211="Not feasible",W211="Stopped before rating",W211="Aborted during review"),"Infeasible or aborted","Incomplete")))</f>
        <v/>
      </c>
      <c r="Y211" s="303" t="n"/>
      <c r="Z211" s="303" t="n"/>
      <c r="AA211" s="303" t="n"/>
      <c r="AB211" s="303" t="n"/>
      <c r="AC211" s="303" t="n"/>
      <c r="AD211" s="303">
        <f>IF(COUNTA(A211:O211)+COUNTA(Q211)+COUNTA(T211:W211)+COUNTA(Y211:AC211)=0,"",IF(AND(COUNTIF(Vocabulary!$J$5:$J$6,L211)=1,COUNTIF(Vocabulary!$J$5:$J$6,M211)=1,COUNTIF(Vocabulary!$J$5:$J$6,N211)=1,COUNTIF(Vocabulary!$J$5:$J$6,Y211)=1,COUNTIF(Vocabulary!$J$5:$J$6,Z211)=1,COUNTIF(Vocabulary!$J$5:$J$6,AA211)=1,COUNTIF(Vocabulary!$J$5:$J$6,AB211)=1,COUNTIF(Vocabulary!$J$5:$J$6,AC211)=1),"OK","UNRECOGNISED_BURDEN_VALUE"))</f>
        <v/>
      </c>
    </row>
    <row r="212">
      <c r="P212">
        <f>IF(COUNTA(A212:O212)+COUNTA(Q212)+COUNTA(T212:W212)+COUNTA(Y212:AC212)=0,"",IF(OR(NOT(ISNUMBER(D212)),NOT(ISNUMBER(E212)),NOT(ISNUMBER(F212)),NOT(ISNUMBER(G212)),NOT(ISNUMBER(H212)),NOT(ISNUMBER(I212)),NOT(ISNUMBER(J212)),NOT(ISNUMBER(K212)),AD212&lt;&gt;"OK"),"Not feasible",IF(OR(D212&lt;E212,F212&lt;G212,H212&lt;I212,J212&lt;K212,AND(L212="Yes",OR(M212&lt;&gt;"Yes",N212&lt;&gt;"Yes")),AND(Y212="Yes",OR(Z212&lt;&gt;"Yes",AA212&lt;&gt;"Yes")),AB212&lt;&gt;"Yes",AC212&lt;&gt;"Yes"),"Not feasible",IF(OR(L212="Yes",Y212="Yes"),"Feasible with verified support","Feasible"))))</f>
        <v/>
      </c>
      <c r="R212">
        <f>IF(AND(P212="",Q212=""),"",IF(AND(P212&lt;&gt;"",Q212=""),"UNRECORDED",IF(AND(P212="",Q212&lt;&gt;""),"ORPHAN_RECORDED",IF(P212=Q212,"MATCH","MISMATCH"))))</f>
        <v/>
      </c>
      <c r="S212">
        <f>IF(OR(NOT(ISNUMBER(E212)),NOT(ISNUMBER(G212))),"",E212+G212)</f>
        <v/>
      </c>
      <c r="X212">
        <f>IF(A212="","",IF(AND(W212="Completed",OR(P212="Feasible",P212="Feasible with verified support")),"Completed feasible",IF(OR(P212="Not feasible",W212="Stopped before rating",W212="Aborted during review"),"Infeasible or aborted","Incomplete")))</f>
        <v/>
      </c>
      <c r="Y212" s="303" t="n"/>
      <c r="Z212" s="303" t="n"/>
      <c r="AA212" s="303" t="n"/>
      <c r="AB212" s="303" t="n"/>
      <c r="AC212" s="303" t="n"/>
      <c r="AD212" s="303">
        <f>IF(COUNTA(A212:O212)+COUNTA(Q212)+COUNTA(T212:W212)+COUNTA(Y212:AC212)=0,"",IF(AND(COUNTIF(Vocabulary!$J$5:$J$6,L212)=1,COUNTIF(Vocabulary!$J$5:$J$6,M212)=1,COUNTIF(Vocabulary!$J$5:$J$6,N212)=1,COUNTIF(Vocabulary!$J$5:$J$6,Y212)=1,COUNTIF(Vocabulary!$J$5:$J$6,Z212)=1,COUNTIF(Vocabulary!$J$5:$J$6,AA212)=1,COUNTIF(Vocabulary!$J$5:$J$6,AB212)=1,COUNTIF(Vocabulary!$J$5:$J$6,AC212)=1),"OK","UNRECOGNISED_BURDEN_VALUE"))</f>
        <v/>
      </c>
    </row>
    <row r="213">
      <c r="P213">
        <f>IF(COUNTA(A213:O213)+COUNTA(Q213)+COUNTA(T213:W213)+COUNTA(Y213:AC213)=0,"",IF(OR(NOT(ISNUMBER(D213)),NOT(ISNUMBER(E213)),NOT(ISNUMBER(F213)),NOT(ISNUMBER(G213)),NOT(ISNUMBER(H213)),NOT(ISNUMBER(I213)),NOT(ISNUMBER(J213)),NOT(ISNUMBER(K213)),AD213&lt;&gt;"OK"),"Not feasible",IF(OR(D213&lt;E213,F213&lt;G213,H213&lt;I213,J213&lt;K213,AND(L213="Yes",OR(M213&lt;&gt;"Yes",N213&lt;&gt;"Yes")),AND(Y213="Yes",OR(Z213&lt;&gt;"Yes",AA213&lt;&gt;"Yes")),AB213&lt;&gt;"Yes",AC213&lt;&gt;"Yes"),"Not feasible",IF(OR(L213="Yes",Y213="Yes"),"Feasible with verified support","Feasible"))))</f>
        <v/>
      </c>
      <c r="R213">
        <f>IF(AND(P213="",Q213=""),"",IF(AND(P213&lt;&gt;"",Q213=""),"UNRECORDED",IF(AND(P213="",Q213&lt;&gt;""),"ORPHAN_RECORDED",IF(P213=Q213,"MATCH","MISMATCH"))))</f>
        <v/>
      </c>
      <c r="S213">
        <f>IF(OR(NOT(ISNUMBER(E213)),NOT(ISNUMBER(G213))),"",E213+G213)</f>
        <v/>
      </c>
      <c r="X213">
        <f>IF(A213="","",IF(AND(W213="Completed",OR(P213="Feasible",P213="Feasible with verified support")),"Completed feasible",IF(OR(P213="Not feasible",W213="Stopped before rating",W213="Aborted during review"),"Infeasible or aborted","Incomplete")))</f>
        <v/>
      </c>
      <c r="Y213" s="303" t="n"/>
      <c r="Z213" s="303" t="n"/>
      <c r="AA213" s="303" t="n"/>
      <c r="AB213" s="303" t="n"/>
      <c r="AC213" s="303" t="n"/>
      <c r="AD213" s="303">
        <f>IF(COUNTA(A213:O213)+COUNTA(Q213)+COUNTA(T213:W213)+COUNTA(Y213:AC213)=0,"",IF(AND(COUNTIF(Vocabulary!$J$5:$J$6,L213)=1,COUNTIF(Vocabulary!$J$5:$J$6,M213)=1,COUNTIF(Vocabulary!$J$5:$J$6,N213)=1,COUNTIF(Vocabulary!$J$5:$J$6,Y213)=1,COUNTIF(Vocabulary!$J$5:$J$6,Z213)=1,COUNTIF(Vocabulary!$J$5:$J$6,AA213)=1,COUNTIF(Vocabulary!$J$5:$J$6,AB213)=1,COUNTIF(Vocabulary!$J$5:$J$6,AC213)=1),"OK","UNRECOGNISED_BURDEN_VALUE"))</f>
        <v/>
      </c>
    </row>
    <row r="214">
      <c r="P214">
        <f>IF(COUNTA(A214:O214)+COUNTA(Q214)+COUNTA(T214:W214)+COUNTA(Y214:AC214)=0,"",IF(OR(NOT(ISNUMBER(D214)),NOT(ISNUMBER(E214)),NOT(ISNUMBER(F214)),NOT(ISNUMBER(G214)),NOT(ISNUMBER(H214)),NOT(ISNUMBER(I214)),NOT(ISNUMBER(J214)),NOT(ISNUMBER(K214)),AD214&lt;&gt;"OK"),"Not feasible",IF(OR(D214&lt;E214,F214&lt;G214,H214&lt;I214,J214&lt;K214,AND(L214="Yes",OR(M214&lt;&gt;"Yes",N214&lt;&gt;"Yes")),AND(Y214="Yes",OR(Z214&lt;&gt;"Yes",AA214&lt;&gt;"Yes")),AB214&lt;&gt;"Yes",AC214&lt;&gt;"Yes"),"Not feasible",IF(OR(L214="Yes",Y214="Yes"),"Feasible with verified support","Feasible"))))</f>
        <v/>
      </c>
      <c r="R214">
        <f>IF(AND(P214="",Q214=""),"",IF(AND(P214&lt;&gt;"",Q214=""),"UNRECORDED",IF(AND(P214="",Q214&lt;&gt;""),"ORPHAN_RECORDED",IF(P214=Q214,"MATCH","MISMATCH"))))</f>
        <v/>
      </c>
      <c r="S214">
        <f>IF(OR(NOT(ISNUMBER(E214)),NOT(ISNUMBER(G214))),"",E214+G214)</f>
        <v/>
      </c>
      <c r="X214">
        <f>IF(A214="","",IF(AND(W214="Completed",OR(P214="Feasible",P214="Feasible with verified support")),"Completed feasible",IF(OR(P214="Not feasible",W214="Stopped before rating",W214="Aborted during review"),"Infeasible or aborted","Incomplete")))</f>
        <v/>
      </c>
      <c r="Y214" s="303" t="n"/>
      <c r="Z214" s="303" t="n"/>
      <c r="AA214" s="303" t="n"/>
      <c r="AB214" s="303" t="n"/>
      <c r="AC214" s="303" t="n"/>
      <c r="AD214" s="303">
        <f>IF(COUNTA(A214:O214)+COUNTA(Q214)+COUNTA(T214:W214)+COUNTA(Y214:AC214)=0,"",IF(AND(COUNTIF(Vocabulary!$J$5:$J$6,L214)=1,COUNTIF(Vocabulary!$J$5:$J$6,M214)=1,COUNTIF(Vocabulary!$J$5:$J$6,N214)=1,COUNTIF(Vocabulary!$J$5:$J$6,Y214)=1,COUNTIF(Vocabulary!$J$5:$J$6,Z214)=1,COUNTIF(Vocabulary!$J$5:$J$6,AA214)=1,COUNTIF(Vocabulary!$J$5:$J$6,AB214)=1,COUNTIF(Vocabulary!$J$5:$J$6,AC214)=1),"OK","UNRECOGNISED_BURDEN_VALUE"))</f>
        <v/>
      </c>
    </row>
    <row r="215">
      <c r="P215">
        <f>IF(COUNTA(A215:O215)+COUNTA(Q215)+COUNTA(T215:W215)+COUNTA(Y215:AC215)=0,"",IF(OR(NOT(ISNUMBER(D215)),NOT(ISNUMBER(E215)),NOT(ISNUMBER(F215)),NOT(ISNUMBER(G215)),NOT(ISNUMBER(H215)),NOT(ISNUMBER(I215)),NOT(ISNUMBER(J215)),NOT(ISNUMBER(K215)),AD215&lt;&gt;"OK"),"Not feasible",IF(OR(D215&lt;E215,F215&lt;G215,H215&lt;I215,J215&lt;K215,AND(L215="Yes",OR(M215&lt;&gt;"Yes",N215&lt;&gt;"Yes")),AND(Y215="Yes",OR(Z215&lt;&gt;"Yes",AA215&lt;&gt;"Yes")),AB215&lt;&gt;"Yes",AC215&lt;&gt;"Yes"),"Not feasible",IF(OR(L215="Yes",Y215="Yes"),"Feasible with verified support","Feasible"))))</f>
        <v/>
      </c>
      <c r="R215">
        <f>IF(AND(P215="",Q215=""),"",IF(AND(P215&lt;&gt;"",Q215=""),"UNRECORDED",IF(AND(P215="",Q215&lt;&gt;""),"ORPHAN_RECORDED",IF(P215=Q215,"MATCH","MISMATCH"))))</f>
        <v/>
      </c>
      <c r="S215">
        <f>IF(OR(NOT(ISNUMBER(E215)),NOT(ISNUMBER(G215))),"",E215+G215)</f>
        <v/>
      </c>
      <c r="X215">
        <f>IF(A215="","",IF(AND(W215="Completed",OR(P215="Feasible",P215="Feasible with verified support")),"Completed feasible",IF(OR(P215="Not feasible",W215="Stopped before rating",W215="Aborted during review"),"Infeasible or aborted","Incomplete")))</f>
        <v/>
      </c>
      <c r="Y215" s="303" t="n"/>
      <c r="Z215" s="303" t="n"/>
      <c r="AA215" s="303" t="n"/>
      <c r="AB215" s="303" t="n"/>
      <c r="AC215" s="303" t="n"/>
      <c r="AD215" s="303">
        <f>IF(COUNTA(A215:O215)+COUNTA(Q215)+COUNTA(T215:W215)+COUNTA(Y215:AC215)=0,"",IF(AND(COUNTIF(Vocabulary!$J$5:$J$6,L215)=1,COUNTIF(Vocabulary!$J$5:$J$6,M215)=1,COUNTIF(Vocabulary!$J$5:$J$6,N215)=1,COUNTIF(Vocabulary!$J$5:$J$6,Y215)=1,COUNTIF(Vocabulary!$J$5:$J$6,Z215)=1,COUNTIF(Vocabulary!$J$5:$J$6,AA215)=1,COUNTIF(Vocabulary!$J$5:$J$6,AB215)=1,COUNTIF(Vocabulary!$J$5:$J$6,AC215)=1),"OK","UNRECOGNISED_BURDEN_VALUE"))</f>
        <v/>
      </c>
    </row>
    <row r="216">
      <c r="P216">
        <f>IF(COUNTA(A216:O216)+COUNTA(Q216)+COUNTA(T216:W216)+COUNTA(Y216:AC216)=0,"",IF(OR(NOT(ISNUMBER(D216)),NOT(ISNUMBER(E216)),NOT(ISNUMBER(F216)),NOT(ISNUMBER(G216)),NOT(ISNUMBER(H216)),NOT(ISNUMBER(I216)),NOT(ISNUMBER(J216)),NOT(ISNUMBER(K216)),AD216&lt;&gt;"OK"),"Not feasible",IF(OR(D216&lt;E216,F216&lt;G216,H216&lt;I216,J216&lt;K216,AND(L216="Yes",OR(M216&lt;&gt;"Yes",N216&lt;&gt;"Yes")),AND(Y216="Yes",OR(Z216&lt;&gt;"Yes",AA216&lt;&gt;"Yes")),AB216&lt;&gt;"Yes",AC216&lt;&gt;"Yes"),"Not feasible",IF(OR(L216="Yes",Y216="Yes"),"Feasible with verified support","Feasible"))))</f>
        <v/>
      </c>
      <c r="R216">
        <f>IF(AND(P216="",Q216=""),"",IF(AND(P216&lt;&gt;"",Q216=""),"UNRECORDED",IF(AND(P216="",Q216&lt;&gt;""),"ORPHAN_RECORDED",IF(P216=Q216,"MATCH","MISMATCH"))))</f>
        <v/>
      </c>
      <c r="S216">
        <f>IF(OR(NOT(ISNUMBER(E216)),NOT(ISNUMBER(G216))),"",E216+G216)</f>
        <v/>
      </c>
      <c r="X216">
        <f>IF(A216="","",IF(AND(W216="Completed",OR(P216="Feasible",P216="Feasible with verified support")),"Completed feasible",IF(OR(P216="Not feasible",W216="Stopped before rating",W216="Aborted during review"),"Infeasible or aborted","Incomplete")))</f>
        <v/>
      </c>
      <c r="Y216" s="303" t="n"/>
      <c r="Z216" s="303" t="n"/>
      <c r="AA216" s="303" t="n"/>
      <c r="AB216" s="303" t="n"/>
      <c r="AC216" s="303" t="n"/>
      <c r="AD216" s="303">
        <f>IF(COUNTA(A216:O216)+COUNTA(Q216)+COUNTA(T216:W216)+COUNTA(Y216:AC216)=0,"",IF(AND(COUNTIF(Vocabulary!$J$5:$J$6,L216)=1,COUNTIF(Vocabulary!$J$5:$J$6,M216)=1,COUNTIF(Vocabulary!$J$5:$J$6,N216)=1,COUNTIF(Vocabulary!$J$5:$J$6,Y216)=1,COUNTIF(Vocabulary!$J$5:$J$6,Z216)=1,COUNTIF(Vocabulary!$J$5:$J$6,AA216)=1,COUNTIF(Vocabulary!$J$5:$J$6,AB216)=1,COUNTIF(Vocabulary!$J$5:$J$6,AC216)=1),"OK","UNRECOGNISED_BURDEN_VALUE"))</f>
        <v/>
      </c>
    </row>
    <row r="217">
      <c r="P217">
        <f>IF(COUNTA(A217:O217)+COUNTA(Q217)+COUNTA(T217:W217)+COUNTA(Y217:AC217)=0,"",IF(OR(NOT(ISNUMBER(D217)),NOT(ISNUMBER(E217)),NOT(ISNUMBER(F217)),NOT(ISNUMBER(G217)),NOT(ISNUMBER(H217)),NOT(ISNUMBER(I217)),NOT(ISNUMBER(J217)),NOT(ISNUMBER(K217)),AD217&lt;&gt;"OK"),"Not feasible",IF(OR(D217&lt;E217,F217&lt;G217,H217&lt;I217,J217&lt;K217,AND(L217="Yes",OR(M217&lt;&gt;"Yes",N217&lt;&gt;"Yes")),AND(Y217="Yes",OR(Z217&lt;&gt;"Yes",AA217&lt;&gt;"Yes")),AB217&lt;&gt;"Yes",AC217&lt;&gt;"Yes"),"Not feasible",IF(OR(L217="Yes",Y217="Yes"),"Feasible with verified support","Feasible"))))</f>
        <v/>
      </c>
      <c r="R217">
        <f>IF(AND(P217="",Q217=""),"",IF(AND(P217&lt;&gt;"",Q217=""),"UNRECORDED",IF(AND(P217="",Q217&lt;&gt;""),"ORPHAN_RECORDED",IF(P217=Q217,"MATCH","MISMATCH"))))</f>
        <v/>
      </c>
      <c r="S217">
        <f>IF(OR(NOT(ISNUMBER(E217)),NOT(ISNUMBER(G217))),"",E217+G217)</f>
        <v/>
      </c>
      <c r="X217">
        <f>IF(A217="","",IF(AND(W217="Completed",OR(P217="Feasible",P217="Feasible with verified support")),"Completed feasible",IF(OR(P217="Not feasible",W217="Stopped before rating",W217="Aborted during review"),"Infeasible or aborted","Incomplete")))</f>
        <v/>
      </c>
      <c r="Y217" s="303" t="n"/>
      <c r="Z217" s="303" t="n"/>
      <c r="AA217" s="303" t="n"/>
      <c r="AB217" s="303" t="n"/>
      <c r="AC217" s="303" t="n"/>
      <c r="AD217" s="303">
        <f>IF(COUNTA(A217:O217)+COUNTA(Q217)+COUNTA(T217:W217)+COUNTA(Y217:AC217)=0,"",IF(AND(COUNTIF(Vocabulary!$J$5:$J$6,L217)=1,COUNTIF(Vocabulary!$J$5:$J$6,M217)=1,COUNTIF(Vocabulary!$J$5:$J$6,N217)=1,COUNTIF(Vocabulary!$J$5:$J$6,Y217)=1,COUNTIF(Vocabulary!$J$5:$J$6,Z217)=1,COUNTIF(Vocabulary!$J$5:$J$6,AA217)=1,COUNTIF(Vocabulary!$J$5:$J$6,AB217)=1,COUNTIF(Vocabulary!$J$5:$J$6,AC217)=1),"OK","UNRECOGNISED_BURDEN_VALUE"))</f>
        <v/>
      </c>
    </row>
    <row r="218">
      <c r="P218">
        <f>IF(COUNTA(A218:O218)+COUNTA(Q218)+COUNTA(T218:W218)+COUNTA(Y218:AC218)=0,"",IF(OR(NOT(ISNUMBER(D218)),NOT(ISNUMBER(E218)),NOT(ISNUMBER(F218)),NOT(ISNUMBER(G218)),NOT(ISNUMBER(H218)),NOT(ISNUMBER(I218)),NOT(ISNUMBER(J218)),NOT(ISNUMBER(K218)),AD218&lt;&gt;"OK"),"Not feasible",IF(OR(D218&lt;E218,F218&lt;G218,H218&lt;I218,J218&lt;K218,AND(L218="Yes",OR(M218&lt;&gt;"Yes",N218&lt;&gt;"Yes")),AND(Y218="Yes",OR(Z218&lt;&gt;"Yes",AA218&lt;&gt;"Yes")),AB218&lt;&gt;"Yes",AC218&lt;&gt;"Yes"),"Not feasible",IF(OR(L218="Yes",Y218="Yes"),"Feasible with verified support","Feasible"))))</f>
        <v/>
      </c>
      <c r="R218">
        <f>IF(AND(P218="",Q218=""),"",IF(AND(P218&lt;&gt;"",Q218=""),"UNRECORDED",IF(AND(P218="",Q218&lt;&gt;""),"ORPHAN_RECORDED",IF(P218=Q218,"MATCH","MISMATCH"))))</f>
        <v/>
      </c>
      <c r="S218">
        <f>IF(OR(NOT(ISNUMBER(E218)),NOT(ISNUMBER(G218))),"",E218+G218)</f>
        <v/>
      </c>
      <c r="X218">
        <f>IF(A218="","",IF(AND(W218="Completed",OR(P218="Feasible",P218="Feasible with verified support")),"Completed feasible",IF(OR(P218="Not feasible",W218="Stopped before rating",W218="Aborted during review"),"Infeasible or aborted","Incomplete")))</f>
        <v/>
      </c>
      <c r="Y218" s="303" t="n"/>
      <c r="Z218" s="303" t="n"/>
      <c r="AA218" s="303" t="n"/>
      <c r="AB218" s="303" t="n"/>
      <c r="AC218" s="303" t="n"/>
      <c r="AD218" s="303">
        <f>IF(COUNTA(A218:O218)+COUNTA(Q218)+COUNTA(T218:W218)+COUNTA(Y218:AC218)=0,"",IF(AND(COUNTIF(Vocabulary!$J$5:$J$6,L218)=1,COUNTIF(Vocabulary!$J$5:$J$6,M218)=1,COUNTIF(Vocabulary!$J$5:$J$6,N218)=1,COUNTIF(Vocabulary!$J$5:$J$6,Y218)=1,COUNTIF(Vocabulary!$J$5:$J$6,Z218)=1,COUNTIF(Vocabulary!$J$5:$J$6,AA218)=1,COUNTIF(Vocabulary!$J$5:$J$6,AB218)=1,COUNTIF(Vocabulary!$J$5:$J$6,AC218)=1),"OK","UNRECOGNISED_BURDEN_VALUE"))</f>
        <v/>
      </c>
    </row>
    <row r="219">
      <c r="P219">
        <f>IF(COUNTA(A219:O219)+COUNTA(Q219)+COUNTA(T219:W219)+COUNTA(Y219:AC219)=0,"",IF(OR(NOT(ISNUMBER(D219)),NOT(ISNUMBER(E219)),NOT(ISNUMBER(F219)),NOT(ISNUMBER(G219)),NOT(ISNUMBER(H219)),NOT(ISNUMBER(I219)),NOT(ISNUMBER(J219)),NOT(ISNUMBER(K219)),AD219&lt;&gt;"OK"),"Not feasible",IF(OR(D219&lt;E219,F219&lt;G219,H219&lt;I219,J219&lt;K219,AND(L219="Yes",OR(M219&lt;&gt;"Yes",N219&lt;&gt;"Yes")),AND(Y219="Yes",OR(Z219&lt;&gt;"Yes",AA219&lt;&gt;"Yes")),AB219&lt;&gt;"Yes",AC219&lt;&gt;"Yes"),"Not feasible",IF(OR(L219="Yes",Y219="Yes"),"Feasible with verified support","Feasible"))))</f>
        <v/>
      </c>
      <c r="R219">
        <f>IF(AND(P219="",Q219=""),"",IF(AND(P219&lt;&gt;"",Q219=""),"UNRECORDED",IF(AND(P219="",Q219&lt;&gt;""),"ORPHAN_RECORDED",IF(P219=Q219,"MATCH","MISMATCH"))))</f>
        <v/>
      </c>
      <c r="S219">
        <f>IF(OR(NOT(ISNUMBER(E219)),NOT(ISNUMBER(G219))),"",E219+G219)</f>
        <v/>
      </c>
      <c r="X219">
        <f>IF(A219="","",IF(AND(W219="Completed",OR(P219="Feasible",P219="Feasible with verified support")),"Completed feasible",IF(OR(P219="Not feasible",W219="Stopped before rating",W219="Aborted during review"),"Infeasible or aborted","Incomplete")))</f>
        <v/>
      </c>
      <c r="Y219" s="303" t="n"/>
      <c r="Z219" s="303" t="n"/>
      <c r="AA219" s="303" t="n"/>
      <c r="AB219" s="303" t="n"/>
      <c r="AC219" s="303" t="n"/>
      <c r="AD219" s="303">
        <f>IF(COUNTA(A219:O219)+COUNTA(Q219)+COUNTA(T219:W219)+COUNTA(Y219:AC219)=0,"",IF(AND(COUNTIF(Vocabulary!$J$5:$J$6,L219)=1,COUNTIF(Vocabulary!$J$5:$J$6,M219)=1,COUNTIF(Vocabulary!$J$5:$J$6,N219)=1,COUNTIF(Vocabulary!$J$5:$J$6,Y219)=1,COUNTIF(Vocabulary!$J$5:$J$6,Z219)=1,COUNTIF(Vocabulary!$J$5:$J$6,AA219)=1,COUNTIF(Vocabulary!$J$5:$J$6,AB219)=1,COUNTIF(Vocabulary!$J$5:$J$6,AC219)=1),"OK","UNRECOGNISED_BURDEN_VALUE"))</f>
        <v/>
      </c>
    </row>
    <row r="220">
      <c r="P220">
        <f>IF(COUNTA(A220:O220)+COUNTA(Q220)+COUNTA(T220:W220)+COUNTA(Y220:AC220)=0,"",IF(OR(NOT(ISNUMBER(D220)),NOT(ISNUMBER(E220)),NOT(ISNUMBER(F220)),NOT(ISNUMBER(G220)),NOT(ISNUMBER(H220)),NOT(ISNUMBER(I220)),NOT(ISNUMBER(J220)),NOT(ISNUMBER(K220)),AD220&lt;&gt;"OK"),"Not feasible",IF(OR(D220&lt;E220,F220&lt;G220,H220&lt;I220,J220&lt;K220,AND(L220="Yes",OR(M220&lt;&gt;"Yes",N220&lt;&gt;"Yes")),AND(Y220="Yes",OR(Z220&lt;&gt;"Yes",AA220&lt;&gt;"Yes")),AB220&lt;&gt;"Yes",AC220&lt;&gt;"Yes"),"Not feasible",IF(OR(L220="Yes",Y220="Yes"),"Feasible with verified support","Feasible"))))</f>
        <v/>
      </c>
      <c r="R220">
        <f>IF(AND(P220="",Q220=""),"",IF(AND(P220&lt;&gt;"",Q220=""),"UNRECORDED",IF(AND(P220="",Q220&lt;&gt;""),"ORPHAN_RECORDED",IF(P220=Q220,"MATCH","MISMATCH"))))</f>
        <v/>
      </c>
      <c r="S220">
        <f>IF(OR(NOT(ISNUMBER(E220)),NOT(ISNUMBER(G220))),"",E220+G220)</f>
        <v/>
      </c>
      <c r="X220">
        <f>IF(A220="","",IF(AND(W220="Completed",OR(P220="Feasible",P220="Feasible with verified support")),"Completed feasible",IF(OR(P220="Not feasible",W220="Stopped before rating",W220="Aborted during review"),"Infeasible or aborted","Incomplete")))</f>
        <v/>
      </c>
      <c r="Y220" s="303" t="n"/>
      <c r="Z220" s="303" t="n"/>
      <c r="AA220" s="303" t="n"/>
      <c r="AB220" s="303" t="n"/>
      <c r="AC220" s="303" t="n"/>
      <c r="AD220" s="303">
        <f>IF(COUNTA(A220:O220)+COUNTA(Q220)+COUNTA(T220:W220)+COUNTA(Y220:AC220)=0,"",IF(AND(COUNTIF(Vocabulary!$J$5:$J$6,L220)=1,COUNTIF(Vocabulary!$J$5:$J$6,M220)=1,COUNTIF(Vocabulary!$J$5:$J$6,N220)=1,COUNTIF(Vocabulary!$J$5:$J$6,Y220)=1,COUNTIF(Vocabulary!$J$5:$J$6,Z220)=1,COUNTIF(Vocabulary!$J$5:$J$6,AA220)=1,COUNTIF(Vocabulary!$J$5:$J$6,AB220)=1,COUNTIF(Vocabulary!$J$5:$J$6,AC220)=1),"OK","UNRECOGNISED_BURDEN_VALUE"))</f>
        <v/>
      </c>
    </row>
    <row r="221">
      <c r="P221">
        <f>IF(COUNTA(A221:O221)+COUNTA(Q221)+COUNTA(T221:W221)+COUNTA(Y221:AC221)=0,"",IF(OR(NOT(ISNUMBER(D221)),NOT(ISNUMBER(E221)),NOT(ISNUMBER(F221)),NOT(ISNUMBER(G221)),NOT(ISNUMBER(H221)),NOT(ISNUMBER(I221)),NOT(ISNUMBER(J221)),NOT(ISNUMBER(K221)),AD221&lt;&gt;"OK"),"Not feasible",IF(OR(D221&lt;E221,F221&lt;G221,H221&lt;I221,J221&lt;K221,AND(L221="Yes",OR(M221&lt;&gt;"Yes",N221&lt;&gt;"Yes")),AND(Y221="Yes",OR(Z221&lt;&gt;"Yes",AA221&lt;&gt;"Yes")),AB221&lt;&gt;"Yes",AC221&lt;&gt;"Yes"),"Not feasible",IF(OR(L221="Yes",Y221="Yes"),"Feasible with verified support","Feasible"))))</f>
        <v/>
      </c>
      <c r="R221">
        <f>IF(AND(P221="",Q221=""),"",IF(AND(P221&lt;&gt;"",Q221=""),"UNRECORDED",IF(AND(P221="",Q221&lt;&gt;""),"ORPHAN_RECORDED",IF(P221=Q221,"MATCH","MISMATCH"))))</f>
        <v/>
      </c>
      <c r="S221">
        <f>IF(OR(NOT(ISNUMBER(E221)),NOT(ISNUMBER(G221))),"",E221+G221)</f>
        <v/>
      </c>
      <c r="X221">
        <f>IF(A221="","",IF(AND(W221="Completed",OR(P221="Feasible",P221="Feasible with verified support")),"Completed feasible",IF(OR(P221="Not feasible",W221="Stopped before rating",W221="Aborted during review"),"Infeasible or aborted","Incomplete")))</f>
        <v/>
      </c>
      <c r="Y221" s="303" t="n"/>
      <c r="Z221" s="303" t="n"/>
      <c r="AA221" s="303" t="n"/>
      <c r="AB221" s="303" t="n"/>
      <c r="AC221" s="303" t="n"/>
      <c r="AD221" s="303">
        <f>IF(COUNTA(A221:O221)+COUNTA(Q221)+COUNTA(T221:W221)+COUNTA(Y221:AC221)=0,"",IF(AND(COUNTIF(Vocabulary!$J$5:$J$6,L221)=1,COUNTIF(Vocabulary!$J$5:$J$6,M221)=1,COUNTIF(Vocabulary!$J$5:$J$6,N221)=1,COUNTIF(Vocabulary!$J$5:$J$6,Y221)=1,COUNTIF(Vocabulary!$J$5:$J$6,Z221)=1,COUNTIF(Vocabulary!$J$5:$J$6,AA221)=1,COUNTIF(Vocabulary!$J$5:$J$6,AB221)=1,COUNTIF(Vocabulary!$J$5:$J$6,AC221)=1),"OK","UNRECOGNISED_BURDEN_VALUE"))</f>
        <v/>
      </c>
    </row>
    <row r="222">
      <c r="P222">
        <f>IF(COUNTA(A222:O222)+COUNTA(Q222)+COUNTA(T222:W222)+COUNTA(Y222:AC222)=0,"",IF(OR(NOT(ISNUMBER(D222)),NOT(ISNUMBER(E222)),NOT(ISNUMBER(F222)),NOT(ISNUMBER(G222)),NOT(ISNUMBER(H222)),NOT(ISNUMBER(I222)),NOT(ISNUMBER(J222)),NOT(ISNUMBER(K222)),AD222&lt;&gt;"OK"),"Not feasible",IF(OR(D222&lt;E222,F222&lt;G222,H222&lt;I222,J222&lt;K222,AND(L222="Yes",OR(M222&lt;&gt;"Yes",N222&lt;&gt;"Yes")),AND(Y222="Yes",OR(Z222&lt;&gt;"Yes",AA222&lt;&gt;"Yes")),AB222&lt;&gt;"Yes",AC222&lt;&gt;"Yes"),"Not feasible",IF(OR(L222="Yes",Y222="Yes"),"Feasible with verified support","Feasible"))))</f>
        <v/>
      </c>
      <c r="R222">
        <f>IF(AND(P222="",Q222=""),"",IF(AND(P222&lt;&gt;"",Q222=""),"UNRECORDED",IF(AND(P222="",Q222&lt;&gt;""),"ORPHAN_RECORDED",IF(P222=Q222,"MATCH","MISMATCH"))))</f>
        <v/>
      </c>
      <c r="S222">
        <f>IF(OR(NOT(ISNUMBER(E222)),NOT(ISNUMBER(G222))),"",E222+G222)</f>
        <v/>
      </c>
      <c r="X222">
        <f>IF(A222="","",IF(AND(W222="Completed",OR(P222="Feasible",P222="Feasible with verified support")),"Completed feasible",IF(OR(P222="Not feasible",W222="Stopped before rating",W222="Aborted during review"),"Infeasible or aborted","Incomplete")))</f>
        <v/>
      </c>
      <c r="Y222" s="303" t="n"/>
      <c r="Z222" s="303" t="n"/>
      <c r="AA222" s="303" t="n"/>
      <c r="AB222" s="303" t="n"/>
      <c r="AC222" s="303" t="n"/>
      <c r="AD222" s="303">
        <f>IF(COUNTA(A222:O222)+COUNTA(Q222)+COUNTA(T222:W222)+COUNTA(Y222:AC222)=0,"",IF(AND(COUNTIF(Vocabulary!$J$5:$J$6,L222)=1,COUNTIF(Vocabulary!$J$5:$J$6,M222)=1,COUNTIF(Vocabulary!$J$5:$J$6,N222)=1,COUNTIF(Vocabulary!$J$5:$J$6,Y222)=1,COUNTIF(Vocabulary!$J$5:$J$6,Z222)=1,COUNTIF(Vocabulary!$J$5:$J$6,AA222)=1,COUNTIF(Vocabulary!$J$5:$J$6,AB222)=1,COUNTIF(Vocabulary!$J$5:$J$6,AC222)=1),"OK","UNRECOGNISED_BURDEN_VALUE"))</f>
        <v/>
      </c>
    </row>
    <row r="223">
      <c r="P223">
        <f>IF(COUNTA(A223:O223)+COUNTA(Q223)+COUNTA(T223:W223)+COUNTA(Y223:AC223)=0,"",IF(OR(NOT(ISNUMBER(D223)),NOT(ISNUMBER(E223)),NOT(ISNUMBER(F223)),NOT(ISNUMBER(G223)),NOT(ISNUMBER(H223)),NOT(ISNUMBER(I223)),NOT(ISNUMBER(J223)),NOT(ISNUMBER(K223)),AD223&lt;&gt;"OK"),"Not feasible",IF(OR(D223&lt;E223,F223&lt;G223,H223&lt;I223,J223&lt;K223,AND(L223="Yes",OR(M223&lt;&gt;"Yes",N223&lt;&gt;"Yes")),AND(Y223="Yes",OR(Z223&lt;&gt;"Yes",AA223&lt;&gt;"Yes")),AB223&lt;&gt;"Yes",AC223&lt;&gt;"Yes"),"Not feasible",IF(OR(L223="Yes",Y223="Yes"),"Feasible with verified support","Feasible"))))</f>
        <v/>
      </c>
      <c r="R223">
        <f>IF(AND(P223="",Q223=""),"",IF(AND(P223&lt;&gt;"",Q223=""),"UNRECORDED",IF(AND(P223="",Q223&lt;&gt;""),"ORPHAN_RECORDED",IF(P223=Q223,"MATCH","MISMATCH"))))</f>
        <v/>
      </c>
      <c r="S223">
        <f>IF(OR(NOT(ISNUMBER(E223)),NOT(ISNUMBER(G223))),"",E223+G223)</f>
        <v/>
      </c>
      <c r="X223">
        <f>IF(A223="","",IF(AND(W223="Completed",OR(P223="Feasible",P223="Feasible with verified support")),"Completed feasible",IF(OR(P223="Not feasible",W223="Stopped before rating",W223="Aborted during review"),"Infeasible or aborted","Incomplete")))</f>
        <v/>
      </c>
      <c r="Y223" s="303" t="n"/>
      <c r="Z223" s="303" t="n"/>
      <c r="AA223" s="303" t="n"/>
      <c r="AB223" s="303" t="n"/>
      <c r="AC223" s="303" t="n"/>
      <c r="AD223" s="303">
        <f>IF(COUNTA(A223:O223)+COUNTA(Q223)+COUNTA(T223:W223)+COUNTA(Y223:AC223)=0,"",IF(AND(COUNTIF(Vocabulary!$J$5:$J$6,L223)=1,COUNTIF(Vocabulary!$J$5:$J$6,M223)=1,COUNTIF(Vocabulary!$J$5:$J$6,N223)=1,COUNTIF(Vocabulary!$J$5:$J$6,Y223)=1,COUNTIF(Vocabulary!$J$5:$J$6,Z223)=1,COUNTIF(Vocabulary!$J$5:$J$6,AA223)=1,COUNTIF(Vocabulary!$J$5:$J$6,AB223)=1,COUNTIF(Vocabulary!$J$5:$J$6,AC223)=1),"OK","UNRECOGNISED_BURDEN_VALUE"))</f>
        <v/>
      </c>
    </row>
    <row r="224">
      <c r="P224">
        <f>IF(COUNTA(A224:O224)+COUNTA(Q224)+COUNTA(T224:W224)+COUNTA(Y224:AC224)=0,"",IF(OR(NOT(ISNUMBER(D224)),NOT(ISNUMBER(E224)),NOT(ISNUMBER(F224)),NOT(ISNUMBER(G224)),NOT(ISNUMBER(H224)),NOT(ISNUMBER(I224)),NOT(ISNUMBER(J224)),NOT(ISNUMBER(K224)),AD224&lt;&gt;"OK"),"Not feasible",IF(OR(D224&lt;E224,F224&lt;G224,H224&lt;I224,J224&lt;K224,AND(L224="Yes",OR(M224&lt;&gt;"Yes",N224&lt;&gt;"Yes")),AND(Y224="Yes",OR(Z224&lt;&gt;"Yes",AA224&lt;&gt;"Yes")),AB224&lt;&gt;"Yes",AC224&lt;&gt;"Yes"),"Not feasible",IF(OR(L224="Yes",Y224="Yes"),"Feasible with verified support","Feasible"))))</f>
        <v/>
      </c>
      <c r="R224">
        <f>IF(AND(P224="",Q224=""),"",IF(AND(P224&lt;&gt;"",Q224=""),"UNRECORDED",IF(AND(P224="",Q224&lt;&gt;""),"ORPHAN_RECORDED",IF(P224=Q224,"MATCH","MISMATCH"))))</f>
        <v/>
      </c>
      <c r="S224">
        <f>IF(OR(NOT(ISNUMBER(E224)),NOT(ISNUMBER(G224))),"",E224+G224)</f>
        <v/>
      </c>
      <c r="X224">
        <f>IF(A224="","",IF(AND(W224="Completed",OR(P224="Feasible",P224="Feasible with verified support")),"Completed feasible",IF(OR(P224="Not feasible",W224="Stopped before rating",W224="Aborted during review"),"Infeasible or aborted","Incomplete")))</f>
        <v/>
      </c>
      <c r="Y224" s="303" t="n"/>
      <c r="Z224" s="303" t="n"/>
      <c r="AA224" s="303" t="n"/>
      <c r="AB224" s="303" t="n"/>
      <c r="AC224" s="303" t="n"/>
      <c r="AD224" s="303">
        <f>IF(COUNTA(A224:O224)+COUNTA(Q224)+COUNTA(T224:W224)+COUNTA(Y224:AC224)=0,"",IF(AND(COUNTIF(Vocabulary!$J$5:$J$6,L224)=1,COUNTIF(Vocabulary!$J$5:$J$6,M224)=1,COUNTIF(Vocabulary!$J$5:$J$6,N224)=1,COUNTIF(Vocabulary!$J$5:$J$6,Y224)=1,COUNTIF(Vocabulary!$J$5:$J$6,Z224)=1,COUNTIF(Vocabulary!$J$5:$J$6,AA224)=1,COUNTIF(Vocabulary!$J$5:$J$6,AB224)=1,COUNTIF(Vocabulary!$J$5:$J$6,AC224)=1),"OK","UNRECOGNISED_BURDEN_VALUE"))</f>
        <v/>
      </c>
    </row>
    <row r="225">
      <c r="P225">
        <f>IF(COUNTA(A225:O225)+COUNTA(Q225)+COUNTA(T225:W225)+COUNTA(Y225:AC225)=0,"",IF(OR(NOT(ISNUMBER(D225)),NOT(ISNUMBER(E225)),NOT(ISNUMBER(F225)),NOT(ISNUMBER(G225)),NOT(ISNUMBER(H225)),NOT(ISNUMBER(I225)),NOT(ISNUMBER(J225)),NOT(ISNUMBER(K225)),AD225&lt;&gt;"OK"),"Not feasible",IF(OR(D225&lt;E225,F225&lt;G225,H225&lt;I225,J225&lt;K225,AND(L225="Yes",OR(M225&lt;&gt;"Yes",N225&lt;&gt;"Yes")),AND(Y225="Yes",OR(Z225&lt;&gt;"Yes",AA225&lt;&gt;"Yes")),AB225&lt;&gt;"Yes",AC225&lt;&gt;"Yes"),"Not feasible",IF(OR(L225="Yes",Y225="Yes"),"Feasible with verified support","Feasible"))))</f>
        <v/>
      </c>
      <c r="R225">
        <f>IF(AND(P225="",Q225=""),"",IF(AND(P225&lt;&gt;"",Q225=""),"UNRECORDED",IF(AND(P225="",Q225&lt;&gt;""),"ORPHAN_RECORDED",IF(P225=Q225,"MATCH","MISMATCH"))))</f>
        <v/>
      </c>
      <c r="S225">
        <f>IF(OR(NOT(ISNUMBER(E225)),NOT(ISNUMBER(G225))),"",E225+G225)</f>
        <v/>
      </c>
      <c r="X225">
        <f>IF(A225="","",IF(AND(W225="Completed",OR(P225="Feasible",P225="Feasible with verified support")),"Completed feasible",IF(OR(P225="Not feasible",W225="Stopped before rating",W225="Aborted during review"),"Infeasible or aborted","Incomplete")))</f>
        <v/>
      </c>
      <c r="Y225" s="303" t="n"/>
      <c r="Z225" s="303" t="n"/>
      <c r="AA225" s="303" t="n"/>
      <c r="AB225" s="303" t="n"/>
      <c r="AC225" s="303" t="n"/>
      <c r="AD225" s="303">
        <f>IF(COUNTA(A225:O225)+COUNTA(Q225)+COUNTA(T225:W225)+COUNTA(Y225:AC225)=0,"",IF(AND(COUNTIF(Vocabulary!$J$5:$J$6,L225)=1,COUNTIF(Vocabulary!$J$5:$J$6,M225)=1,COUNTIF(Vocabulary!$J$5:$J$6,N225)=1,COUNTIF(Vocabulary!$J$5:$J$6,Y225)=1,COUNTIF(Vocabulary!$J$5:$J$6,Z225)=1,COUNTIF(Vocabulary!$J$5:$J$6,AA225)=1,COUNTIF(Vocabulary!$J$5:$J$6,AB225)=1,COUNTIF(Vocabulary!$J$5:$J$6,AC225)=1),"OK","UNRECOGNISED_BURDEN_VALUE"))</f>
        <v/>
      </c>
    </row>
    <row r="226">
      <c r="P226">
        <f>IF(COUNTA(A226:O226)+COUNTA(Q226)+COUNTA(T226:W226)+COUNTA(Y226:AC226)=0,"",IF(OR(NOT(ISNUMBER(D226)),NOT(ISNUMBER(E226)),NOT(ISNUMBER(F226)),NOT(ISNUMBER(G226)),NOT(ISNUMBER(H226)),NOT(ISNUMBER(I226)),NOT(ISNUMBER(J226)),NOT(ISNUMBER(K226)),AD226&lt;&gt;"OK"),"Not feasible",IF(OR(D226&lt;E226,F226&lt;G226,H226&lt;I226,J226&lt;K226,AND(L226="Yes",OR(M226&lt;&gt;"Yes",N226&lt;&gt;"Yes")),AND(Y226="Yes",OR(Z226&lt;&gt;"Yes",AA226&lt;&gt;"Yes")),AB226&lt;&gt;"Yes",AC226&lt;&gt;"Yes"),"Not feasible",IF(OR(L226="Yes",Y226="Yes"),"Feasible with verified support","Feasible"))))</f>
        <v/>
      </c>
      <c r="R226">
        <f>IF(AND(P226="",Q226=""),"",IF(AND(P226&lt;&gt;"",Q226=""),"UNRECORDED",IF(AND(P226="",Q226&lt;&gt;""),"ORPHAN_RECORDED",IF(P226=Q226,"MATCH","MISMATCH"))))</f>
        <v/>
      </c>
      <c r="S226">
        <f>IF(OR(NOT(ISNUMBER(E226)),NOT(ISNUMBER(G226))),"",E226+G226)</f>
        <v/>
      </c>
      <c r="X226">
        <f>IF(A226="","",IF(AND(W226="Completed",OR(P226="Feasible",P226="Feasible with verified support")),"Completed feasible",IF(OR(P226="Not feasible",W226="Stopped before rating",W226="Aborted during review"),"Infeasible or aborted","Incomplete")))</f>
        <v/>
      </c>
      <c r="Y226" s="303" t="n"/>
      <c r="Z226" s="303" t="n"/>
      <c r="AA226" s="303" t="n"/>
      <c r="AB226" s="303" t="n"/>
      <c r="AC226" s="303" t="n"/>
      <c r="AD226" s="303">
        <f>IF(COUNTA(A226:O226)+COUNTA(Q226)+COUNTA(T226:W226)+COUNTA(Y226:AC226)=0,"",IF(AND(COUNTIF(Vocabulary!$J$5:$J$6,L226)=1,COUNTIF(Vocabulary!$J$5:$J$6,M226)=1,COUNTIF(Vocabulary!$J$5:$J$6,N226)=1,COUNTIF(Vocabulary!$J$5:$J$6,Y226)=1,COUNTIF(Vocabulary!$J$5:$J$6,Z226)=1,COUNTIF(Vocabulary!$J$5:$J$6,AA226)=1,COUNTIF(Vocabulary!$J$5:$J$6,AB226)=1,COUNTIF(Vocabulary!$J$5:$J$6,AC226)=1),"OK","UNRECOGNISED_BURDEN_VALUE"))</f>
        <v/>
      </c>
    </row>
    <row r="227">
      <c r="P227">
        <f>IF(COUNTA(A227:O227)+COUNTA(Q227)+COUNTA(T227:W227)+COUNTA(Y227:AC227)=0,"",IF(OR(NOT(ISNUMBER(D227)),NOT(ISNUMBER(E227)),NOT(ISNUMBER(F227)),NOT(ISNUMBER(G227)),NOT(ISNUMBER(H227)),NOT(ISNUMBER(I227)),NOT(ISNUMBER(J227)),NOT(ISNUMBER(K227)),AD227&lt;&gt;"OK"),"Not feasible",IF(OR(D227&lt;E227,F227&lt;G227,H227&lt;I227,J227&lt;K227,AND(L227="Yes",OR(M227&lt;&gt;"Yes",N227&lt;&gt;"Yes")),AND(Y227="Yes",OR(Z227&lt;&gt;"Yes",AA227&lt;&gt;"Yes")),AB227&lt;&gt;"Yes",AC227&lt;&gt;"Yes"),"Not feasible",IF(OR(L227="Yes",Y227="Yes"),"Feasible with verified support","Feasible"))))</f>
        <v/>
      </c>
      <c r="R227">
        <f>IF(AND(P227="",Q227=""),"",IF(AND(P227&lt;&gt;"",Q227=""),"UNRECORDED",IF(AND(P227="",Q227&lt;&gt;""),"ORPHAN_RECORDED",IF(P227=Q227,"MATCH","MISMATCH"))))</f>
        <v/>
      </c>
      <c r="S227">
        <f>IF(OR(NOT(ISNUMBER(E227)),NOT(ISNUMBER(G227))),"",E227+G227)</f>
        <v/>
      </c>
      <c r="X227">
        <f>IF(A227="","",IF(AND(W227="Completed",OR(P227="Feasible",P227="Feasible with verified support")),"Completed feasible",IF(OR(P227="Not feasible",W227="Stopped before rating",W227="Aborted during review"),"Infeasible or aborted","Incomplete")))</f>
        <v/>
      </c>
      <c r="Y227" s="303" t="n"/>
      <c r="Z227" s="303" t="n"/>
      <c r="AA227" s="303" t="n"/>
      <c r="AB227" s="303" t="n"/>
      <c r="AC227" s="303" t="n"/>
      <c r="AD227" s="303">
        <f>IF(COUNTA(A227:O227)+COUNTA(Q227)+COUNTA(T227:W227)+COUNTA(Y227:AC227)=0,"",IF(AND(COUNTIF(Vocabulary!$J$5:$J$6,L227)=1,COUNTIF(Vocabulary!$J$5:$J$6,M227)=1,COUNTIF(Vocabulary!$J$5:$J$6,N227)=1,COUNTIF(Vocabulary!$J$5:$J$6,Y227)=1,COUNTIF(Vocabulary!$J$5:$J$6,Z227)=1,COUNTIF(Vocabulary!$J$5:$J$6,AA227)=1,COUNTIF(Vocabulary!$J$5:$J$6,AB227)=1,COUNTIF(Vocabulary!$J$5:$J$6,AC227)=1),"OK","UNRECOGNISED_BURDEN_VALUE"))</f>
        <v/>
      </c>
    </row>
    <row r="228">
      <c r="P228">
        <f>IF(COUNTA(A228:O228)+COUNTA(Q228)+COUNTA(T228:W228)+COUNTA(Y228:AC228)=0,"",IF(OR(NOT(ISNUMBER(D228)),NOT(ISNUMBER(E228)),NOT(ISNUMBER(F228)),NOT(ISNUMBER(G228)),NOT(ISNUMBER(H228)),NOT(ISNUMBER(I228)),NOT(ISNUMBER(J228)),NOT(ISNUMBER(K228)),AD228&lt;&gt;"OK"),"Not feasible",IF(OR(D228&lt;E228,F228&lt;G228,H228&lt;I228,J228&lt;K228,AND(L228="Yes",OR(M228&lt;&gt;"Yes",N228&lt;&gt;"Yes")),AND(Y228="Yes",OR(Z228&lt;&gt;"Yes",AA228&lt;&gt;"Yes")),AB228&lt;&gt;"Yes",AC228&lt;&gt;"Yes"),"Not feasible",IF(OR(L228="Yes",Y228="Yes"),"Feasible with verified support","Feasible"))))</f>
        <v/>
      </c>
      <c r="R228">
        <f>IF(AND(P228="",Q228=""),"",IF(AND(P228&lt;&gt;"",Q228=""),"UNRECORDED",IF(AND(P228="",Q228&lt;&gt;""),"ORPHAN_RECORDED",IF(P228=Q228,"MATCH","MISMATCH"))))</f>
        <v/>
      </c>
      <c r="S228">
        <f>IF(OR(NOT(ISNUMBER(E228)),NOT(ISNUMBER(G228))),"",E228+G228)</f>
        <v/>
      </c>
      <c r="X228">
        <f>IF(A228="","",IF(AND(W228="Completed",OR(P228="Feasible",P228="Feasible with verified support")),"Completed feasible",IF(OR(P228="Not feasible",W228="Stopped before rating",W228="Aborted during review"),"Infeasible or aborted","Incomplete")))</f>
        <v/>
      </c>
      <c r="Y228" s="303" t="n"/>
      <c r="Z228" s="303" t="n"/>
      <c r="AA228" s="303" t="n"/>
      <c r="AB228" s="303" t="n"/>
      <c r="AC228" s="303" t="n"/>
      <c r="AD228" s="303">
        <f>IF(COUNTA(A228:O228)+COUNTA(Q228)+COUNTA(T228:W228)+COUNTA(Y228:AC228)=0,"",IF(AND(COUNTIF(Vocabulary!$J$5:$J$6,L228)=1,COUNTIF(Vocabulary!$J$5:$J$6,M228)=1,COUNTIF(Vocabulary!$J$5:$J$6,N228)=1,COUNTIF(Vocabulary!$J$5:$J$6,Y228)=1,COUNTIF(Vocabulary!$J$5:$J$6,Z228)=1,COUNTIF(Vocabulary!$J$5:$J$6,AA228)=1,COUNTIF(Vocabulary!$J$5:$J$6,AB228)=1,COUNTIF(Vocabulary!$J$5:$J$6,AC228)=1),"OK","UNRECOGNISED_BURDEN_VALUE"))</f>
        <v/>
      </c>
    </row>
    <row r="229">
      <c r="P229">
        <f>IF(COUNTA(A229:O229)+COUNTA(Q229)+COUNTA(T229:W229)+COUNTA(Y229:AC229)=0,"",IF(OR(NOT(ISNUMBER(D229)),NOT(ISNUMBER(E229)),NOT(ISNUMBER(F229)),NOT(ISNUMBER(G229)),NOT(ISNUMBER(H229)),NOT(ISNUMBER(I229)),NOT(ISNUMBER(J229)),NOT(ISNUMBER(K229)),AD229&lt;&gt;"OK"),"Not feasible",IF(OR(D229&lt;E229,F229&lt;G229,H229&lt;I229,J229&lt;K229,AND(L229="Yes",OR(M229&lt;&gt;"Yes",N229&lt;&gt;"Yes")),AND(Y229="Yes",OR(Z229&lt;&gt;"Yes",AA229&lt;&gt;"Yes")),AB229&lt;&gt;"Yes",AC229&lt;&gt;"Yes"),"Not feasible",IF(OR(L229="Yes",Y229="Yes"),"Feasible with verified support","Feasible"))))</f>
        <v/>
      </c>
      <c r="R229">
        <f>IF(AND(P229="",Q229=""),"",IF(AND(P229&lt;&gt;"",Q229=""),"UNRECORDED",IF(AND(P229="",Q229&lt;&gt;""),"ORPHAN_RECORDED",IF(P229=Q229,"MATCH","MISMATCH"))))</f>
        <v/>
      </c>
      <c r="S229">
        <f>IF(OR(NOT(ISNUMBER(E229)),NOT(ISNUMBER(G229))),"",E229+G229)</f>
        <v/>
      </c>
      <c r="X229">
        <f>IF(A229="","",IF(AND(W229="Completed",OR(P229="Feasible",P229="Feasible with verified support")),"Completed feasible",IF(OR(P229="Not feasible",W229="Stopped before rating",W229="Aborted during review"),"Infeasible or aborted","Incomplete")))</f>
        <v/>
      </c>
      <c r="Y229" s="303" t="n"/>
      <c r="Z229" s="303" t="n"/>
      <c r="AA229" s="303" t="n"/>
      <c r="AB229" s="303" t="n"/>
      <c r="AC229" s="303" t="n"/>
      <c r="AD229" s="303">
        <f>IF(COUNTA(A229:O229)+COUNTA(Q229)+COUNTA(T229:W229)+COUNTA(Y229:AC229)=0,"",IF(AND(COUNTIF(Vocabulary!$J$5:$J$6,L229)=1,COUNTIF(Vocabulary!$J$5:$J$6,M229)=1,COUNTIF(Vocabulary!$J$5:$J$6,N229)=1,COUNTIF(Vocabulary!$J$5:$J$6,Y229)=1,COUNTIF(Vocabulary!$J$5:$J$6,Z229)=1,COUNTIF(Vocabulary!$J$5:$J$6,AA229)=1,COUNTIF(Vocabulary!$J$5:$J$6,AB229)=1,COUNTIF(Vocabulary!$J$5:$J$6,AC229)=1),"OK","UNRECOGNISED_BURDEN_VALUE"))</f>
        <v/>
      </c>
    </row>
    <row r="230">
      <c r="P230">
        <f>IF(COUNTA(A230:O230)+COUNTA(Q230)+COUNTA(T230:W230)+COUNTA(Y230:AC230)=0,"",IF(OR(NOT(ISNUMBER(D230)),NOT(ISNUMBER(E230)),NOT(ISNUMBER(F230)),NOT(ISNUMBER(G230)),NOT(ISNUMBER(H230)),NOT(ISNUMBER(I230)),NOT(ISNUMBER(J230)),NOT(ISNUMBER(K230)),AD230&lt;&gt;"OK"),"Not feasible",IF(OR(D230&lt;E230,F230&lt;G230,H230&lt;I230,J230&lt;K230,AND(L230="Yes",OR(M230&lt;&gt;"Yes",N230&lt;&gt;"Yes")),AND(Y230="Yes",OR(Z230&lt;&gt;"Yes",AA230&lt;&gt;"Yes")),AB230&lt;&gt;"Yes",AC230&lt;&gt;"Yes"),"Not feasible",IF(OR(L230="Yes",Y230="Yes"),"Feasible with verified support","Feasible"))))</f>
        <v/>
      </c>
      <c r="R230">
        <f>IF(AND(P230="",Q230=""),"",IF(AND(P230&lt;&gt;"",Q230=""),"UNRECORDED",IF(AND(P230="",Q230&lt;&gt;""),"ORPHAN_RECORDED",IF(P230=Q230,"MATCH","MISMATCH"))))</f>
        <v/>
      </c>
      <c r="S230">
        <f>IF(OR(NOT(ISNUMBER(E230)),NOT(ISNUMBER(G230))),"",E230+G230)</f>
        <v/>
      </c>
      <c r="X230">
        <f>IF(A230="","",IF(AND(W230="Completed",OR(P230="Feasible",P230="Feasible with verified support")),"Completed feasible",IF(OR(P230="Not feasible",W230="Stopped before rating",W230="Aborted during review"),"Infeasible or aborted","Incomplete")))</f>
        <v/>
      </c>
      <c r="Y230" s="303" t="n"/>
      <c r="Z230" s="303" t="n"/>
      <c r="AA230" s="303" t="n"/>
      <c r="AB230" s="303" t="n"/>
      <c r="AC230" s="303" t="n"/>
      <c r="AD230" s="303">
        <f>IF(COUNTA(A230:O230)+COUNTA(Q230)+COUNTA(T230:W230)+COUNTA(Y230:AC230)=0,"",IF(AND(COUNTIF(Vocabulary!$J$5:$J$6,L230)=1,COUNTIF(Vocabulary!$J$5:$J$6,M230)=1,COUNTIF(Vocabulary!$J$5:$J$6,N230)=1,COUNTIF(Vocabulary!$J$5:$J$6,Y230)=1,COUNTIF(Vocabulary!$J$5:$J$6,Z230)=1,COUNTIF(Vocabulary!$J$5:$J$6,AA230)=1,COUNTIF(Vocabulary!$J$5:$J$6,AB230)=1,COUNTIF(Vocabulary!$J$5:$J$6,AC230)=1),"OK","UNRECOGNISED_BURDEN_VALUE"))</f>
        <v/>
      </c>
    </row>
    <row r="231">
      <c r="P231">
        <f>IF(COUNTA(A231:O231)+COUNTA(Q231)+COUNTA(T231:W231)+COUNTA(Y231:AC231)=0,"",IF(OR(NOT(ISNUMBER(D231)),NOT(ISNUMBER(E231)),NOT(ISNUMBER(F231)),NOT(ISNUMBER(G231)),NOT(ISNUMBER(H231)),NOT(ISNUMBER(I231)),NOT(ISNUMBER(J231)),NOT(ISNUMBER(K231)),AD231&lt;&gt;"OK"),"Not feasible",IF(OR(D231&lt;E231,F231&lt;G231,H231&lt;I231,J231&lt;K231,AND(L231="Yes",OR(M231&lt;&gt;"Yes",N231&lt;&gt;"Yes")),AND(Y231="Yes",OR(Z231&lt;&gt;"Yes",AA231&lt;&gt;"Yes")),AB231&lt;&gt;"Yes",AC231&lt;&gt;"Yes"),"Not feasible",IF(OR(L231="Yes",Y231="Yes"),"Feasible with verified support","Feasible"))))</f>
        <v/>
      </c>
      <c r="R231">
        <f>IF(AND(P231="",Q231=""),"",IF(AND(P231&lt;&gt;"",Q231=""),"UNRECORDED",IF(AND(P231="",Q231&lt;&gt;""),"ORPHAN_RECORDED",IF(P231=Q231,"MATCH","MISMATCH"))))</f>
        <v/>
      </c>
      <c r="S231">
        <f>IF(OR(NOT(ISNUMBER(E231)),NOT(ISNUMBER(G231))),"",E231+G231)</f>
        <v/>
      </c>
      <c r="X231">
        <f>IF(A231="","",IF(AND(W231="Completed",OR(P231="Feasible",P231="Feasible with verified support")),"Completed feasible",IF(OR(P231="Not feasible",W231="Stopped before rating",W231="Aborted during review"),"Infeasible or aborted","Incomplete")))</f>
        <v/>
      </c>
      <c r="Y231" s="303" t="n"/>
      <c r="Z231" s="303" t="n"/>
      <c r="AA231" s="303" t="n"/>
      <c r="AB231" s="303" t="n"/>
      <c r="AC231" s="303" t="n"/>
      <c r="AD231" s="303">
        <f>IF(COUNTA(A231:O231)+COUNTA(Q231)+COUNTA(T231:W231)+COUNTA(Y231:AC231)=0,"",IF(AND(COUNTIF(Vocabulary!$J$5:$J$6,L231)=1,COUNTIF(Vocabulary!$J$5:$J$6,M231)=1,COUNTIF(Vocabulary!$J$5:$J$6,N231)=1,COUNTIF(Vocabulary!$J$5:$J$6,Y231)=1,COUNTIF(Vocabulary!$J$5:$J$6,Z231)=1,COUNTIF(Vocabulary!$J$5:$J$6,AA231)=1,COUNTIF(Vocabulary!$J$5:$J$6,AB231)=1,COUNTIF(Vocabulary!$J$5:$J$6,AC231)=1),"OK","UNRECOGNISED_BURDEN_VALUE"))</f>
        <v/>
      </c>
    </row>
    <row r="232">
      <c r="P232">
        <f>IF(COUNTA(A232:O232)+COUNTA(Q232)+COUNTA(T232:W232)+COUNTA(Y232:AC232)=0,"",IF(OR(NOT(ISNUMBER(D232)),NOT(ISNUMBER(E232)),NOT(ISNUMBER(F232)),NOT(ISNUMBER(G232)),NOT(ISNUMBER(H232)),NOT(ISNUMBER(I232)),NOT(ISNUMBER(J232)),NOT(ISNUMBER(K232)),AD232&lt;&gt;"OK"),"Not feasible",IF(OR(D232&lt;E232,F232&lt;G232,H232&lt;I232,J232&lt;K232,AND(L232="Yes",OR(M232&lt;&gt;"Yes",N232&lt;&gt;"Yes")),AND(Y232="Yes",OR(Z232&lt;&gt;"Yes",AA232&lt;&gt;"Yes")),AB232&lt;&gt;"Yes",AC232&lt;&gt;"Yes"),"Not feasible",IF(OR(L232="Yes",Y232="Yes"),"Feasible with verified support","Feasible"))))</f>
        <v/>
      </c>
      <c r="R232">
        <f>IF(AND(P232="",Q232=""),"",IF(AND(P232&lt;&gt;"",Q232=""),"UNRECORDED",IF(AND(P232="",Q232&lt;&gt;""),"ORPHAN_RECORDED",IF(P232=Q232,"MATCH","MISMATCH"))))</f>
        <v/>
      </c>
      <c r="S232">
        <f>IF(OR(NOT(ISNUMBER(E232)),NOT(ISNUMBER(G232))),"",E232+G232)</f>
        <v/>
      </c>
      <c r="X232">
        <f>IF(A232="","",IF(AND(W232="Completed",OR(P232="Feasible",P232="Feasible with verified support")),"Completed feasible",IF(OR(P232="Not feasible",W232="Stopped before rating",W232="Aborted during review"),"Infeasible or aborted","Incomplete")))</f>
        <v/>
      </c>
      <c r="Y232" s="303" t="n"/>
      <c r="Z232" s="303" t="n"/>
      <c r="AA232" s="303" t="n"/>
      <c r="AB232" s="303" t="n"/>
      <c r="AC232" s="303" t="n"/>
      <c r="AD232" s="303">
        <f>IF(COUNTA(A232:O232)+COUNTA(Q232)+COUNTA(T232:W232)+COUNTA(Y232:AC232)=0,"",IF(AND(COUNTIF(Vocabulary!$J$5:$J$6,L232)=1,COUNTIF(Vocabulary!$J$5:$J$6,M232)=1,COUNTIF(Vocabulary!$J$5:$J$6,N232)=1,COUNTIF(Vocabulary!$J$5:$J$6,Y232)=1,COUNTIF(Vocabulary!$J$5:$J$6,Z232)=1,COUNTIF(Vocabulary!$J$5:$J$6,AA232)=1,COUNTIF(Vocabulary!$J$5:$J$6,AB232)=1,COUNTIF(Vocabulary!$J$5:$J$6,AC232)=1),"OK","UNRECOGNISED_BURDEN_VALUE"))</f>
        <v/>
      </c>
    </row>
    <row r="233">
      <c r="P233">
        <f>IF(COUNTA(A233:O233)+COUNTA(Q233)+COUNTA(T233:W233)+COUNTA(Y233:AC233)=0,"",IF(OR(NOT(ISNUMBER(D233)),NOT(ISNUMBER(E233)),NOT(ISNUMBER(F233)),NOT(ISNUMBER(G233)),NOT(ISNUMBER(H233)),NOT(ISNUMBER(I233)),NOT(ISNUMBER(J233)),NOT(ISNUMBER(K233)),AD233&lt;&gt;"OK"),"Not feasible",IF(OR(D233&lt;E233,F233&lt;G233,H233&lt;I233,J233&lt;K233,AND(L233="Yes",OR(M233&lt;&gt;"Yes",N233&lt;&gt;"Yes")),AND(Y233="Yes",OR(Z233&lt;&gt;"Yes",AA233&lt;&gt;"Yes")),AB233&lt;&gt;"Yes",AC233&lt;&gt;"Yes"),"Not feasible",IF(OR(L233="Yes",Y233="Yes"),"Feasible with verified support","Feasible"))))</f>
        <v/>
      </c>
      <c r="R233">
        <f>IF(AND(P233="",Q233=""),"",IF(AND(P233&lt;&gt;"",Q233=""),"UNRECORDED",IF(AND(P233="",Q233&lt;&gt;""),"ORPHAN_RECORDED",IF(P233=Q233,"MATCH","MISMATCH"))))</f>
        <v/>
      </c>
      <c r="S233">
        <f>IF(OR(NOT(ISNUMBER(E233)),NOT(ISNUMBER(G233))),"",E233+G233)</f>
        <v/>
      </c>
      <c r="X233">
        <f>IF(A233="","",IF(AND(W233="Completed",OR(P233="Feasible",P233="Feasible with verified support")),"Completed feasible",IF(OR(P233="Not feasible",W233="Stopped before rating",W233="Aborted during review"),"Infeasible or aborted","Incomplete")))</f>
        <v/>
      </c>
      <c r="Y233" s="303" t="n"/>
      <c r="Z233" s="303" t="n"/>
      <c r="AA233" s="303" t="n"/>
      <c r="AB233" s="303" t="n"/>
      <c r="AC233" s="303" t="n"/>
      <c r="AD233" s="303">
        <f>IF(COUNTA(A233:O233)+COUNTA(Q233)+COUNTA(T233:W233)+COUNTA(Y233:AC233)=0,"",IF(AND(COUNTIF(Vocabulary!$J$5:$J$6,L233)=1,COUNTIF(Vocabulary!$J$5:$J$6,M233)=1,COUNTIF(Vocabulary!$J$5:$J$6,N233)=1,COUNTIF(Vocabulary!$J$5:$J$6,Y233)=1,COUNTIF(Vocabulary!$J$5:$J$6,Z233)=1,COUNTIF(Vocabulary!$J$5:$J$6,AA233)=1,COUNTIF(Vocabulary!$J$5:$J$6,AB233)=1,COUNTIF(Vocabulary!$J$5:$J$6,AC233)=1),"OK","UNRECOGNISED_BURDEN_VALUE"))</f>
        <v/>
      </c>
    </row>
    <row r="234">
      <c r="P234">
        <f>IF(COUNTA(A234:O234)+COUNTA(Q234)+COUNTA(T234:W234)+COUNTA(Y234:AC234)=0,"",IF(OR(NOT(ISNUMBER(D234)),NOT(ISNUMBER(E234)),NOT(ISNUMBER(F234)),NOT(ISNUMBER(G234)),NOT(ISNUMBER(H234)),NOT(ISNUMBER(I234)),NOT(ISNUMBER(J234)),NOT(ISNUMBER(K234)),AD234&lt;&gt;"OK"),"Not feasible",IF(OR(D234&lt;E234,F234&lt;G234,H234&lt;I234,J234&lt;K234,AND(L234="Yes",OR(M234&lt;&gt;"Yes",N234&lt;&gt;"Yes")),AND(Y234="Yes",OR(Z234&lt;&gt;"Yes",AA234&lt;&gt;"Yes")),AB234&lt;&gt;"Yes",AC234&lt;&gt;"Yes"),"Not feasible",IF(OR(L234="Yes",Y234="Yes"),"Feasible with verified support","Feasible"))))</f>
        <v/>
      </c>
      <c r="R234">
        <f>IF(AND(P234="",Q234=""),"",IF(AND(P234&lt;&gt;"",Q234=""),"UNRECORDED",IF(AND(P234="",Q234&lt;&gt;""),"ORPHAN_RECORDED",IF(P234=Q234,"MATCH","MISMATCH"))))</f>
        <v/>
      </c>
      <c r="S234">
        <f>IF(OR(NOT(ISNUMBER(E234)),NOT(ISNUMBER(G234))),"",E234+G234)</f>
        <v/>
      </c>
      <c r="X234">
        <f>IF(A234="","",IF(AND(W234="Completed",OR(P234="Feasible",P234="Feasible with verified support")),"Completed feasible",IF(OR(P234="Not feasible",W234="Stopped before rating",W234="Aborted during review"),"Infeasible or aborted","Incomplete")))</f>
        <v/>
      </c>
      <c r="Y234" s="303" t="n"/>
      <c r="Z234" s="303" t="n"/>
      <c r="AA234" s="303" t="n"/>
      <c r="AB234" s="303" t="n"/>
      <c r="AC234" s="303" t="n"/>
      <c r="AD234" s="303">
        <f>IF(COUNTA(A234:O234)+COUNTA(Q234)+COUNTA(T234:W234)+COUNTA(Y234:AC234)=0,"",IF(AND(COUNTIF(Vocabulary!$J$5:$J$6,L234)=1,COUNTIF(Vocabulary!$J$5:$J$6,M234)=1,COUNTIF(Vocabulary!$J$5:$J$6,N234)=1,COUNTIF(Vocabulary!$J$5:$J$6,Y234)=1,COUNTIF(Vocabulary!$J$5:$J$6,Z234)=1,COUNTIF(Vocabulary!$J$5:$J$6,AA234)=1,COUNTIF(Vocabulary!$J$5:$J$6,AB234)=1,COUNTIF(Vocabulary!$J$5:$J$6,AC234)=1),"OK","UNRECOGNISED_BURDEN_VALUE"))</f>
        <v/>
      </c>
    </row>
    <row r="235">
      <c r="P235">
        <f>IF(COUNTA(A235:O235)+COUNTA(Q235)+COUNTA(T235:W235)+COUNTA(Y235:AC235)=0,"",IF(OR(NOT(ISNUMBER(D235)),NOT(ISNUMBER(E235)),NOT(ISNUMBER(F235)),NOT(ISNUMBER(G235)),NOT(ISNUMBER(H235)),NOT(ISNUMBER(I235)),NOT(ISNUMBER(J235)),NOT(ISNUMBER(K235)),AD235&lt;&gt;"OK"),"Not feasible",IF(OR(D235&lt;E235,F235&lt;G235,H235&lt;I235,J235&lt;K235,AND(L235="Yes",OR(M235&lt;&gt;"Yes",N235&lt;&gt;"Yes")),AND(Y235="Yes",OR(Z235&lt;&gt;"Yes",AA235&lt;&gt;"Yes")),AB235&lt;&gt;"Yes",AC235&lt;&gt;"Yes"),"Not feasible",IF(OR(L235="Yes",Y235="Yes"),"Feasible with verified support","Feasible"))))</f>
        <v/>
      </c>
      <c r="R235">
        <f>IF(AND(P235="",Q235=""),"",IF(AND(P235&lt;&gt;"",Q235=""),"UNRECORDED",IF(AND(P235="",Q235&lt;&gt;""),"ORPHAN_RECORDED",IF(P235=Q235,"MATCH","MISMATCH"))))</f>
        <v/>
      </c>
      <c r="S235">
        <f>IF(OR(NOT(ISNUMBER(E235)),NOT(ISNUMBER(G235))),"",E235+G235)</f>
        <v/>
      </c>
      <c r="X235">
        <f>IF(A235="","",IF(AND(W235="Completed",OR(P235="Feasible",P235="Feasible with verified support")),"Completed feasible",IF(OR(P235="Not feasible",W235="Stopped before rating",W235="Aborted during review"),"Infeasible or aborted","Incomplete")))</f>
        <v/>
      </c>
      <c r="Y235" s="303" t="n"/>
      <c r="Z235" s="303" t="n"/>
      <c r="AA235" s="303" t="n"/>
      <c r="AB235" s="303" t="n"/>
      <c r="AC235" s="303" t="n"/>
      <c r="AD235" s="303">
        <f>IF(COUNTA(A235:O235)+COUNTA(Q235)+COUNTA(T235:W235)+COUNTA(Y235:AC235)=0,"",IF(AND(COUNTIF(Vocabulary!$J$5:$J$6,L235)=1,COUNTIF(Vocabulary!$J$5:$J$6,M235)=1,COUNTIF(Vocabulary!$J$5:$J$6,N235)=1,COUNTIF(Vocabulary!$J$5:$J$6,Y235)=1,COUNTIF(Vocabulary!$J$5:$J$6,Z235)=1,COUNTIF(Vocabulary!$J$5:$J$6,AA235)=1,COUNTIF(Vocabulary!$J$5:$J$6,AB235)=1,COUNTIF(Vocabulary!$J$5:$J$6,AC235)=1),"OK","UNRECOGNISED_BURDEN_VALUE"))</f>
        <v/>
      </c>
    </row>
    <row r="236">
      <c r="P236">
        <f>IF(COUNTA(A236:O236)+COUNTA(Q236)+COUNTA(T236:W236)+COUNTA(Y236:AC236)=0,"",IF(OR(NOT(ISNUMBER(D236)),NOT(ISNUMBER(E236)),NOT(ISNUMBER(F236)),NOT(ISNUMBER(G236)),NOT(ISNUMBER(H236)),NOT(ISNUMBER(I236)),NOT(ISNUMBER(J236)),NOT(ISNUMBER(K236)),AD236&lt;&gt;"OK"),"Not feasible",IF(OR(D236&lt;E236,F236&lt;G236,H236&lt;I236,J236&lt;K236,AND(L236="Yes",OR(M236&lt;&gt;"Yes",N236&lt;&gt;"Yes")),AND(Y236="Yes",OR(Z236&lt;&gt;"Yes",AA236&lt;&gt;"Yes")),AB236&lt;&gt;"Yes",AC236&lt;&gt;"Yes"),"Not feasible",IF(OR(L236="Yes",Y236="Yes"),"Feasible with verified support","Feasible"))))</f>
        <v/>
      </c>
      <c r="R236">
        <f>IF(AND(P236="",Q236=""),"",IF(AND(P236&lt;&gt;"",Q236=""),"UNRECORDED",IF(AND(P236="",Q236&lt;&gt;""),"ORPHAN_RECORDED",IF(P236=Q236,"MATCH","MISMATCH"))))</f>
        <v/>
      </c>
      <c r="S236">
        <f>IF(OR(NOT(ISNUMBER(E236)),NOT(ISNUMBER(G236))),"",E236+G236)</f>
        <v/>
      </c>
      <c r="X236">
        <f>IF(A236="","",IF(AND(W236="Completed",OR(P236="Feasible",P236="Feasible with verified support")),"Completed feasible",IF(OR(P236="Not feasible",W236="Stopped before rating",W236="Aborted during review"),"Infeasible or aborted","Incomplete")))</f>
        <v/>
      </c>
      <c r="Y236" s="303" t="n"/>
      <c r="Z236" s="303" t="n"/>
      <c r="AA236" s="303" t="n"/>
      <c r="AB236" s="303" t="n"/>
      <c r="AC236" s="303" t="n"/>
      <c r="AD236" s="303">
        <f>IF(COUNTA(A236:O236)+COUNTA(Q236)+COUNTA(T236:W236)+COUNTA(Y236:AC236)=0,"",IF(AND(COUNTIF(Vocabulary!$J$5:$J$6,L236)=1,COUNTIF(Vocabulary!$J$5:$J$6,M236)=1,COUNTIF(Vocabulary!$J$5:$J$6,N236)=1,COUNTIF(Vocabulary!$J$5:$J$6,Y236)=1,COUNTIF(Vocabulary!$J$5:$J$6,Z236)=1,COUNTIF(Vocabulary!$J$5:$J$6,AA236)=1,COUNTIF(Vocabulary!$J$5:$J$6,AB236)=1,COUNTIF(Vocabulary!$J$5:$J$6,AC236)=1),"OK","UNRECOGNISED_BURDEN_VALUE"))</f>
        <v/>
      </c>
    </row>
    <row r="237">
      <c r="P237">
        <f>IF(COUNTA(A237:O237)+COUNTA(Q237)+COUNTA(T237:W237)+COUNTA(Y237:AC237)=0,"",IF(OR(NOT(ISNUMBER(D237)),NOT(ISNUMBER(E237)),NOT(ISNUMBER(F237)),NOT(ISNUMBER(G237)),NOT(ISNUMBER(H237)),NOT(ISNUMBER(I237)),NOT(ISNUMBER(J237)),NOT(ISNUMBER(K237)),AD237&lt;&gt;"OK"),"Not feasible",IF(OR(D237&lt;E237,F237&lt;G237,H237&lt;I237,J237&lt;K237,AND(L237="Yes",OR(M237&lt;&gt;"Yes",N237&lt;&gt;"Yes")),AND(Y237="Yes",OR(Z237&lt;&gt;"Yes",AA237&lt;&gt;"Yes")),AB237&lt;&gt;"Yes",AC237&lt;&gt;"Yes"),"Not feasible",IF(OR(L237="Yes",Y237="Yes"),"Feasible with verified support","Feasible"))))</f>
        <v/>
      </c>
      <c r="R237">
        <f>IF(AND(P237="",Q237=""),"",IF(AND(P237&lt;&gt;"",Q237=""),"UNRECORDED",IF(AND(P237="",Q237&lt;&gt;""),"ORPHAN_RECORDED",IF(P237=Q237,"MATCH","MISMATCH"))))</f>
        <v/>
      </c>
      <c r="S237">
        <f>IF(OR(NOT(ISNUMBER(E237)),NOT(ISNUMBER(G237))),"",E237+G237)</f>
        <v/>
      </c>
      <c r="X237">
        <f>IF(A237="","",IF(AND(W237="Completed",OR(P237="Feasible",P237="Feasible with verified support")),"Completed feasible",IF(OR(P237="Not feasible",W237="Stopped before rating",W237="Aborted during review"),"Infeasible or aborted","Incomplete")))</f>
        <v/>
      </c>
      <c r="Y237" s="303" t="n"/>
      <c r="Z237" s="303" t="n"/>
      <c r="AA237" s="303" t="n"/>
      <c r="AB237" s="303" t="n"/>
      <c r="AC237" s="303" t="n"/>
      <c r="AD237" s="303">
        <f>IF(COUNTA(A237:O237)+COUNTA(Q237)+COUNTA(T237:W237)+COUNTA(Y237:AC237)=0,"",IF(AND(COUNTIF(Vocabulary!$J$5:$J$6,L237)=1,COUNTIF(Vocabulary!$J$5:$J$6,M237)=1,COUNTIF(Vocabulary!$J$5:$J$6,N237)=1,COUNTIF(Vocabulary!$J$5:$J$6,Y237)=1,COUNTIF(Vocabulary!$J$5:$J$6,Z237)=1,COUNTIF(Vocabulary!$J$5:$J$6,AA237)=1,COUNTIF(Vocabulary!$J$5:$J$6,AB237)=1,COUNTIF(Vocabulary!$J$5:$J$6,AC237)=1),"OK","UNRECOGNISED_BURDEN_VALUE"))</f>
        <v/>
      </c>
    </row>
    <row r="238">
      <c r="P238">
        <f>IF(COUNTA(A238:O238)+COUNTA(Q238)+COUNTA(T238:W238)+COUNTA(Y238:AC238)=0,"",IF(OR(NOT(ISNUMBER(D238)),NOT(ISNUMBER(E238)),NOT(ISNUMBER(F238)),NOT(ISNUMBER(G238)),NOT(ISNUMBER(H238)),NOT(ISNUMBER(I238)),NOT(ISNUMBER(J238)),NOT(ISNUMBER(K238)),AD238&lt;&gt;"OK"),"Not feasible",IF(OR(D238&lt;E238,F238&lt;G238,H238&lt;I238,J238&lt;K238,AND(L238="Yes",OR(M238&lt;&gt;"Yes",N238&lt;&gt;"Yes")),AND(Y238="Yes",OR(Z238&lt;&gt;"Yes",AA238&lt;&gt;"Yes")),AB238&lt;&gt;"Yes",AC238&lt;&gt;"Yes"),"Not feasible",IF(OR(L238="Yes",Y238="Yes"),"Feasible with verified support","Feasible"))))</f>
        <v/>
      </c>
      <c r="R238">
        <f>IF(AND(P238="",Q238=""),"",IF(AND(P238&lt;&gt;"",Q238=""),"UNRECORDED",IF(AND(P238="",Q238&lt;&gt;""),"ORPHAN_RECORDED",IF(P238=Q238,"MATCH","MISMATCH"))))</f>
        <v/>
      </c>
      <c r="S238">
        <f>IF(OR(NOT(ISNUMBER(E238)),NOT(ISNUMBER(G238))),"",E238+G238)</f>
        <v/>
      </c>
      <c r="X238">
        <f>IF(A238="","",IF(AND(W238="Completed",OR(P238="Feasible",P238="Feasible with verified support")),"Completed feasible",IF(OR(P238="Not feasible",W238="Stopped before rating",W238="Aborted during review"),"Infeasible or aborted","Incomplete")))</f>
        <v/>
      </c>
      <c r="Y238" s="303" t="n"/>
      <c r="Z238" s="303" t="n"/>
      <c r="AA238" s="303" t="n"/>
      <c r="AB238" s="303" t="n"/>
      <c r="AC238" s="303" t="n"/>
      <c r="AD238" s="303">
        <f>IF(COUNTA(A238:O238)+COUNTA(Q238)+COUNTA(T238:W238)+COUNTA(Y238:AC238)=0,"",IF(AND(COUNTIF(Vocabulary!$J$5:$J$6,L238)=1,COUNTIF(Vocabulary!$J$5:$J$6,M238)=1,COUNTIF(Vocabulary!$J$5:$J$6,N238)=1,COUNTIF(Vocabulary!$J$5:$J$6,Y238)=1,COUNTIF(Vocabulary!$J$5:$J$6,Z238)=1,COUNTIF(Vocabulary!$J$5:$J$6,AA238)=1,COUNTIF(Vocabulary!$J$5:$J$6,AB238)=1,COUNTIF(Vocabulary!$J$5:$J$6,AC238)=1),"OK","UNRECOGNISED_BURDEN_VALUE"))</f>
        <v/>
      </c>
    </row>
    <row r="239">
      <c r="P239">
        <f>IF(COUNTA(A239:O239)+COUNTA(Q239)+COUNTA(T239:W239)+COUNTA(Y239:AC239)=0,"",IF(OR(NOT(ISNUMBER(D239)),NOT(ISNUMBER(E239)),NOT(ISNUMBER(F239)),NOT(ISNUMBER(G239)),NOT(ISNUMBER(H239)),NOT(ISNUMBER(I239)),NOT(ISNUMBER(J239)),NOT(ISNUMBER(K239)),AD239&lt;&gt;"OK"),"Not feasible",IF(OR(D239&lt;E239,F239&lt;G239,H239&lt;I239,J239&lt;K239,AND(L239="Yes",OR(M239&lt;&gt;"Yes",N239&lt;&gt;"Yes")),AND(Y239="Yes",OR(Z239&lt;&gt;"Yes",AA239&lt;&gt;"Yes")),AB239&lt;&gt;"Yes",AC239&lt;&gt;"Yes"),"Not feasible",IF(OR(L239="Yes",Y239="Yes"),"Feasible with verified support","Feasible"))))</f>
        <v/>
      </c>
      <c r="R239">
        <f>IF(AND(P239="",Q239=""),"",IF(AND(P239&lt;&gt;"",Q239=""),"UNRECORDED",IF(AND(P239="",Q239&lt;&gt;""),"ORPHAN_RECORDED",IF(P239=Q239,"MATCH","MISMATCH"))))</f>
        <v/>
      </c>
      <c r="S239">
        <f>IF(OR(NOT(ISNUMBER(E239)),NOT(ISNUMBER(G239))),"",E239+G239)</f>
        <v/>
      </c>
      <c r="X239">
        <f>IF(A239="","",IF(AND(W239="Completed",OR(P239="Feasible",P239="Feasible with verified support")),"Completed feasible",IF(OR(P239="Not feasible",W239="Stopped before rating",W239="Aborted during review"),"Infeasible or aborted","Incomplete")))</f>
        <v/>
      </c>
      <c r="Y239" s="303" t="n"/>
      <c r="Z239" s="303" t="n"/>
      <c r="AA239" s="303" t="n"/>
      <c r="AB239" s="303" t="n"/>
      <c r="AC239" s="303" t="n"/>
      <c r="AD239" s="303">
        <f>IF(COUNTA(A239:O239)+COUNTA(Q239)+COUNTA(T239:W239)+COUNTA(Y239:AC239)=0,"",IF(AND(COUNTIF(Vocabulary!$J$5:$J$6,L239)=1,COUNTIF(Vocabulary!$J$5:$J$6,M239)=1,COUNTIF(Vocabulary!$J$5:$J$6,N239)=1,COUNTIF(Vocabulary!$J$5:$J$6,Y239)=1,COUNTIF(Vocabulary!$J$5:$J$6,Z239)=1,COUNTIF(Vocabulary!$J$5:$J$6,AA239)=1,COUNTIF(Vocabulary!$J$5:$J$6,AB239)=1,COUNTIF(Vocabulary!$J$5:$J$6,AC239)=1),"OK","UNRECOGNISED_BURDEN_VALUE"))</f>
        <v/>
      </c>
    </row>
    <row r="240">
      <c r="P240">
        <f>IF(COUNTA(A240:O240)+COUNTA(Q240)+COUNTA(T240:W240)+COUNTA(Y240:AC240)=0,"",IF(OR(NOT(ISNUMBER(D240)),NOT(ISNUMBER(E240)),NOT(ISNUMBER(F240)),NOT(ISNUMBER(G240)),NOT(ISNUMBER(H240)),NOT(ISNUMBER(I240)),NOT(ISNUMBER(J240)),NOT(ISNUMBER(K240)),AD240&lt;&gt;"OK"),"Not feasible",IF(OR(D240&lt;E240,F240&lt;G240,H240&lt;I240,J240&lt;K240,AND(L240="Yes",OR(M240&lt;&gt;"Yes",N240&lt;&gt;"Yes")),AND(Y240="Yes",OR(Z240&lt;&gt;"Yes",AA240&lt;&gt;"Yes")),AB240&lt;&gt;"Yes",AC240&lt;&gt;"Yes"),"Not feasible",IF(OR(L240="Yes",Y240="Yes"),"Feasible with verified support","Feasible"))))</f>
        <v/>
      </c>
      <c r="R240">
        <f>IF(AND(P240="",Q240=""),"",IF(AND(P240&lt;&gt;"",Q240=""),"UNRECORDED",IF(AND(P240="",Q240&lt;&gt;""),"ORPHAN_RECORDED",IF(P240=Q240,"MATCH","MISMATCH"))))</f>
        <v/>
      </c>
      <c r="S240">
        <f>IF(OR(NOT(ISNUMBER(E240)),NOT(ISNUMBER(G240))),"",E240+G240)</f>
        <v/>
      </c>
      <c r="X240">
        <f>IF(A240="","",IF(AND(W240="Completed",OR(P240="Feasible",P240="Feasible with verified support")),"Completed feasible",IF(OR(P240="Not feasible",W240="Stopped before rating",W240="Aborted during review"),"Infeasible or aborted","Incomplete")))</f>
        <v/>
      </c>
      <c r="Y240" s="303" t="n"/>
      <c r="Z240" s="303" t="n"/>
      <c r="AA240" s="303" t="n"/>
      <c r="AB240" s="303" t="n"/>
      <c r="AC240" s="303" t="n"/>
      <c r="AD240" s="303">
        <f>IF(COUNTA(A240:O240)+COUNTA(Q240)+COUNTA(T240:W240)+COUNTA(Y240:AC240)=0,"",IF(AND(COUNTIF(Vocabulary!$J$5:$J$6,L240)=1,COUNTIF(Vocabulary!$J$5:$J$6,M240)=1,COUNTIF(Vocabulary!$J$5:$J$6,N240)=1,COUNTIF(Vocabulary!$J$5:$J$6,Y240)=1,COUNTIF(Vocabulary!$J$5:$J$6,Z240)=1,COUNTIF(Vocabulary!$J$5:$J$6,AA240)=1,COUNTIF(Vocabulary!$J$5:$J$6,AB240)=1,COUNTIF(Vocabulary!$J$5:$J$6,AC240)=1),"OK","UNRECOGNISED_BURDEN_VALUE"))</f>
        <v/>
      </c>
    </row>
    <row r="241">
      <c r="P241">
        <f>IF(COUNTA(A241:O241)+COUNTA(Q241)+COUNTA(T241:W241)+COUNTA(Y241:AC241)=0,"",IF(OR(NOT(ISNUMBER(D241)),NOT(ISNUMBER(E241)),NOT(ISNUMBER(F241)),NOT(ISNUMBER(G241)),NOT(ISNUMBER(H241)),NOT(ISNUMBER(I241)),NOT(ISNUMBER(J241)),NOT(ISNUMBER(K241)),AD241&lt;&gt;"OK"),"Not feasible",IF(OR(D241&lt;E241,F241&lt;G241,H241&lt;I241,J241&lt;K241,AND(L241="Yes",OR(M241&lt;&gt;"Yes",N241&lt;&gt;"Yes")),AND(Y241="Yes",OR(Z241&lt;&gt;"Yes",AA241&lt;&gt;"Yes")),AB241&lt;&gt;"Yes",AC241&lt;&gt;"Yes"),"Not feasible",IF(OR(L241="Yes",Y241="Yes"),"Feasible with verified support","Feasible"))))</f>
        <v/>
      </c>
      <c r="R241">
        <f>IF(AND(P241="",Q241=""),"",IF(AND(P241&lt;&gt;"",Q241=""),"UNRECORDED",IF(AND(P241="",Q241&lt;&gt;""),"ORPHAN_RECORDED",IF(P241=Q241,"MATCH","MISMATCH"))))</f>
        <v/>
      </c>
      <c r="S241">
        <f>IF(OR(NOT(ISNUMBER(E241)),NOT(ISNUMBER(G241))),"",E241+G241)</f>
        <v/>
      </c>
      <c r="X241">
        <f>IF(A241="","",IF(AND(W241="Completed",OR(P241="Feasible",P241="Feasible with verified support")),"Completed feasible",IF(OR(P241="Not feasible",W241="Stopped before rating",W241="Aborted during review"),"Infeasible or aborted","Incomplete")))</f>
        <v/>
      </c>
      <c r="Y241" s="303" t="n"/>
      <c r="Z241" s="303" t="n"/>
      <c r="AA241" s="303" t="n"/>
      <c r="AB241" s="303" t="n"/>
      <c r="AC241" s="303" t="n"/>
      <c r="AD241" s="303">
        <f>IF(COUNTA(A241:O241)+COUNTA(Q241)+COUNTA(T241:W241)+COUNTA(Y241:AC241)=0,"",IF(AND(COUNTIF(Vocabulary!$J$5:$J$6,L241)=1,COUNTIF(Vocabulary!$J$5:$J$6,M241)=1,COUNTIF(Vocabulary!$J$5:$J$6,N241)=1,COUNTIF(Vocabulary!$J$5:$J$6,Y241)=1,COUNTIF(Vocabulary!$J$5:$J$6,Z241)=1,COUNTIF(Vocabulary!$J$5:$J$6,AA241)=1,COUNTIF(Vocabulary!$J$5:$J$6,AB241)=1,COUNTIF(Vocabulary!$J$5:$J$6,AC241)=1),"OK","UNRECOGNISED_BURDEN_VALUE"))</f>
        <v/>
      </c>
    </row>
    <row r="242">
      <c r="P242">
        <f>IF(COUNTA(A242:O242)+COUNTA(Q242)+COUNTA(T242:W242)+COUNTA(Y242:AC242)=0,"",IF(OR(NOT(ISNUMBER(D242)),NOT(ISNUMBER(E242)),NOT(ISNUMBER(F242)),NOT(ISNUMBER(G242)),NOT(ISNUMBER(H242)),NOT(ISNUMBER(I242)),NOT(ISNUMBER(J242)),NOT(ISNUMBER(K242)),AD242&lt;&gt;"OK"),"Not feasible",IF(OR(D242&lt;E242,F242&lt;G242,H242&lt;I242,J242&lt;K242,AND(L242="Yes",OR(M242&lt;&gt;"Yes",N242&lt;&gt;"Yes")),AND(Y242="Yes",OR(Z242&lt;&gt;"Yes",AA242&lt;&gt;"Yes")),AB242&lt;&gt;"Yes",AC242&lt;&gt;"Yes"),"Not feasible",IF(OR(L242="Yes",Y242="Yes"),"Feasible with verified support","Feasible"))))</f>
        <v/>
      </c>
      <c r="R242">
        <f>IF(AND(P242="",Q242=""),"",IF(AND(P242&lt;&gt;"",Q242=""),"UNRECORDED",IF(AND(P242="",Q242&lt;&gt;""),"ORPHAN_RECORDED",IF(P242=Q242,"MATCH","MISMATCH"))))</f>
        <v/>
      </c>
      <c r="S242">
        <f>IF(OR(NOT(ISNUMBER(E242)),NOT(ISNUMBER(G242))),"",E242+G242)</f>
        <v/>
      </c>
      <c r="X242">
        <f>IF(A242="","",IF(AND(W242="Completed",OR(P242="Feasible",P242="Feasible with verified support")),"Completed feasible",IF(OR(P242="Not feasible",W242="Stopped before rating",W242="Aborted during review"),"Infeasible or aborted","Incomplete")))</f>
        <v/>
      </c>
      <c r="Y242" s="303" t="n"/>
      <c r="Z242" s="303" t="n"/>
      <c r="AA242" s="303" t="n"/>
      <c r="AB242" s="303" t="n"/>
      <c r="AC242" s="303" t="n"/>
      <c r="AD242" s="303">
        <f>IF(COUNTA(A242:O242)+COUNTA(Q242)+COUNTA(T242:W242)+COUNTA(Y242:AC242)=0,"",IF(AND(COUNTIF(Vocabulary!$J$5:$J$6,L242)=1,COUNTIF(Vocabulary!$J$5:$J$6,M242)=1,COUNTIF(Vocabulary!$J$5:$J$6,N242)=1,COUNTIF(Vocabulary!$J$5:$J$6,Y242)=1,COUNTIF(Vocabulary!$J$5:$J$6,Z242)=1,COUNTIF(Vocabulary!$J$5:$J$6,AA242)=1,COUNTIF(Vocabulary!$J$5:$J$6,AB242)=1,COUNTIF(Vocabulary!$J$5:$J$6,AC242)=1),"OK","UNRECOGNISED_BURDEN_VALUE"))</f>
        <v/>
      </c>
    </row>
    <row r="243">
      <c r="P243">
        <f>IF(COUNTA(A243:O243)+COUNTA(Q243)+COUNTA(T243:W243)+COUNTA(Y243:AC243)=0,"",IF(OR(NOT(ISNUMBER(D243)),NOT(ISNUMBER(E243)),NOT(ISNUMBER(F243)),NOT(ISNUMBER(G243)),NOT(ISNUMBER(H243)),NOT(ISNUMBER(I243)),NOT(ISNUMBER(J243)),NOT(ISNUMBER(K243)),AD243&lt;&gt;"OK"),"Not feasible",IF(OR(D243&lt;E243,F243&lt;G243,H243&lt;I243,J243&lt;K243,AND(L243="Yes",OR(M243&lt;&gt;"Yes",N243&lt;&gt;"Yes")),AND(Y243="Yes",OR(Z243&lt;&gt;"Yes",AA243&lt;&gt;"Yes")),AB243&lt;&gt;"Yes",AC243&lt;&gt;"Yes"),"Not feasible",IF(OR(L243="Yes",Y243="Yes"),"Feasible with verified support","Feasible"))))</f>
        <v/>
      </c>
      <c r="R243">
        <f>IF(AND(P243="",Q243=""),"",IF(AND(P243&lt;&gt;"",Q243=""),"UNRECORDED",IF(AND(P243="",Q243&lt;&gt;""),"ORPHAN_RECORDED",IF(P243=Q243,"MATCH","MISMATCH"))))</f>
        <v/>
      </c>
      <c r="S243">
        <f>IF(OR(NOT(ISNUMBER(E243)),NOT(ISNUMBER(G243))),"",E243+G243)</f>
        <v/>
      </c>
      <c r="X243">
        <f>IF(A243="","",IF(AND(W243="Completed",OR(P243="Feasible",P243="Feasible with verified support")),"Completed feasible",IF(OR(P243="Not feasible",W243="Stopped before rating",W243="Aborted during review"),"Infeasible or aborted","Incomplete")))</f>
        <v/>
      </c>
      <c r="Y243" s="303" t="n"/>
      <c r="Z243" s="303" t="n"/>
      <c r="AA243" s="303" t="n"/>
      <c r="AB243" s="303" t="n"/>
      <c r="AC243" s="303" t="n"/>
      <c r="AD243" s="303">
        <f>IF(COUNTA(A243:O243)+COUNTA(Q243)+COUNTA(T243:W243)+COUNTA(Y243:AC243)=0,"",IF(AND(COUNTIF(Vocabulary!$J$5:$J$6,L243)=1,COUNTIF(Vocabulary!$J$5:$J$6,M243)=1,COUNTIF(Vocabulary!$J$5:$J$6,N243)=1,COUNTIF(Vocabulary!$J$5:$J$6,Y243)=1,COUNTIF(Vocabulary!$J$5:$J$6,Z243)=1,COUNTIF(Vocabulary!$J$5:$J$6,AA243)=1,COUNTIF(Vocabulary!$J$5:$J$6,AB243)=1,COUNTIF(Vocabulary!$J$5:$J$6,AC243)=1),"OK","UNRECOGNISED_BURDEN_VALUE"))</f>
        <v/>
      </c>
    </row>
    <row r="244">
      <c r="P244">
        <f>IF(COUNTA(A244:O244)+COUNTA(Q244)+COUNTA(T244:W244)+COUNTA(Y244:AC244)=0,"",IF(OR(NOT(ISNUMBER(D244)),NOT(ISNUMBER(E244)),NOT(ISNUMBER(F244)),NOT(ISNUMBER(G244)),NOT(ISNUMBER(H244)),NOT(ISNUMBER(I244)),NOT(ISNUMBER(J244)),NOT(ISNUMBER(K244)),AD244&lt;&gt;"OK"),"Not feasible",IF(OR(D244&lt;E244,F244&lt;G244,H244&lt;I244,J244&lt;K244,AND(L244="Yes",OR(M244&lt;&gt;"Yes",N244&lt;&gt;"Yes")),AND(Y244="Yes",OR(Z244&lt;&gt;"Yes",AA244&lt;&gt;"Yes")),AB244&lt;&gt;"Yes",AC244&lt;&gt;"Yes"),"Not feasible",IF(OR(L244="Yes",Y244="Yes"),"Feasible with verified support","Feasible"))))</f>
        <v/>
      </c>
      <c r="R244">
        <f>IF(AND(P244="",Q244=""),"",IF(AND(P244&lt;&gt;"",Q244=""),"UNRECORDED",IF(AND(P244="",Q244&lt;&gt;""),"ORPHAN_RECORDED",IF(P244=Q244,"MATCH","MISMATCH"))))</f>
        <v/>
      </c>
      <c r="S244">
        <f>IF(OR(NOT(ISNUMBER(E244)),NOT(ISNUMBER(G244))),"",E244+G244)</f>
        <v/>
      </c>
      <c r="X244">
        <f>IF(A244="","",IF(AND(W244="Completed",OR(P244="Feasible",P244="Feasible with verified support")),"Completed feasible",IF(OR(P244="Not feasible",W244="Stopped before rating",W244="Aborted during review"),"Infeasible or aborted","Incomplete")))</f>
        <v/>
      </c>
      <c r="Y244" s="303" t="n"/>
      <c r="Z244" s="303" t="n"/>
      <c r="AA244" s="303" t="n"/>
      <c r="AB244" s="303" t="n"/>
      <c r="AC244" s="303" t="n"/>
      <c r="AD244" s="303">
        <f>IF(COUNTA(A244:O244)+COUNTA(Q244)+COUNTA(T244:W244)+COUNTA(Y244:AC244)=0,"",IF(AND(COUNTIF(Vocabulary!$J$5:$J$6,L244)=1,COUNTIF(Vocabulary!$J$5:$J$6,M244)=1,COUNTIF(Vocabulary!$J$5:$J$6,N244)=1,COUNTIF(Vocabulary!$J$5:$J$6,Y244)=1,COUNTIF(Vocabulary!$J$5:$J$6,Z244)=1,COUNTIF(Vocabulary!$J$5:$J$6,AA244)=1,COUNTIF(Vocabulary!$J$5:$J$6,AB244)=1,COUNTIF(Vocabulary!$J$5:$J$6,AC244)=1),"OK","UNRECOGNISED_BURDEN_VALUE"))</f>
        <v/>
      </c>
    </row>
    <row r="245">
      <c r="P245">
        <f>IF(COUNTA(A245:O245)+COUNTA(Q245)+COUNTA(T245:W245)+COUNTA(Y245:AC245)=0,"",IF(OR(NOT(ISNUMBER(D245)),NOT(ISNUMBER(E245)),NOT(ISNUMBER(F245)),NOT(ISNUMBER(G245)),NOT(ISNUMBER(H245)),NOT(ISNUMBER(I245)),NOT(ISNUMBER(J245)),NOT(ISNUMBER(K245)),AD245&lt;&gt;"OK"),"Not feasible",IF(OR(D245&lt;E245,F245&lt;G245,H245&lt;I245,J245&lt;K245,AND(L245="Yes",OR(M245&lt;&gt;"Yes",N245&lt;&gt;"Yes")),AND(Y245="Yes",OR(Z245&lt;&gt;"Yes",AA245&lt;&gt;"Yes")),AB245&lt;&gt;"Yes",AC245&lt;&gt;"Yes"),"Not feasible",IF(OR(L245="Yes",Y245="Yes"),"Feasible with verified support","Feasible"))))</f>
        <v/>
      </c>
      <c r="R245">
        <f>IF(AND(P245="",Q245=""),"",IF(AND(P245&lt;&gt;"",Q245=""),"UNRECORDED",IF(AND(P245="",Q245&lt;&gt;""),"ORPHAN_RECORDED",IF(P245=Q245,"MATCH","MISMATCH"))))</f>
        <v/>
      </c>
      <c r="S245">
        <f>IF(OR(NOT(ISNUMBER(E245)),NOT(ISNUMBER(G245))),"",E245+G245)</f>
        <v/>
      </c>
      <c r="X245">
        <f>IF(A245="","",IF(AND(W245="Completed",OR(P245="Feasible",P245="Feasible with verified support")),"Completed feasible",IF(OR(P245="Not feasible",W245="Stopped before rating",W245="Aborted during review"),"Infeasible or aborted","Incomplete")))</f>
        <v/>
      </c>
      <c r="Y245" s="303" t="n"/>
      <c r="Z245" s="303" t="n"/>
      <c r="AA245" s="303" t="n"/>
      <c r="AB245" s="303" t="n"/>
      <c r="AC245" s="303" t="n"/>
      <c r="AD245" s="303">
        <f>IF(COUNTA(A245:O245)+COUNTA(Q245)+COUNTA(T245:W245)+COUNTA(Y245:AC245)=0,"",IF(AND(COUNTIF(Vocabulary!$J$5:$J$6,L245)=1,COUNTIF(Vocabulary!$J$5:$J$6,M245)=1,COUNTIF(Vocabulary!$J$5:$J$6,N245)=1,COUNTIF(Vocabulary!$J$5:$J$6,Y245)=1,COUNTIF(Vocabulary!$J$5:$J$6,Z245)=1,COUNTIF(Vocabulary!$J$5:$J$6,AA245)=1,COUNTIF(Vocabulary!$J$5:$J$6,AB245)=1,COUNTIF(Vocabulary!$J$5:$J$6,AC245)=1),"OK","UNRECOGNISED_BURDEN_VALUE"))</f>
        <v/>
      </c>
    </row>
    <row r="246">
      <c r="P246">
        <f>IF(COUNTA(A246:O246)+COUNTA(Q246)+COUNTA(T246:W246)+COUNTA(Y246:AC246)=0,"",IF(OR(NOT(ISNUMBER(D246)),NOT(ISNUMBER(E246)),NOT(ISNUMBER(F246)),NOT(ISNUMBER(G246)),NOT(ISNUMBER(H246)),NOT(ISNUMBER(I246)),NOT(ISNUMBER(J246)),NOT(ISNUMBER(K246)),AD246&lt;&gt;"OK"),"Not feasible",IF(OR(D246&lt;E246,F246&lt;G246,H246&lt;I246,J246&lt;K246,AND(L246="Yes",OR(M246&lt;&gt;"Yes",N246&lt;&gt;"Yes")),AND(Y246="Yes",OR(Z246&lt;&gt;"Yes",AA246&lt;&gt;"Yes")),AB246&lt;&gt;"Yes",AC246&lt;&gt;"Yes"),"Not feasible",IF(OR(L246="Yes",Y246="Yes"),"Feasible with verified support","Feasible"))))</f>
        <v/>
      </c>
      <c r="R246">
        <f>IF(AND(P246="",Q246=""),"",IF(AND(P246&lt;&gt;"",Q246=""),"UNRECORDED",IF(AND(P246="",Q246&lt;&gt;""),"ORPHAN_RECORDED",IF(P246=Q246,"MATCH","MISMATCH"))))</f>
        <v/>
      </c>
      <c r="S246">
        <f>IF(OR(NOT(ISNUMBER(E246)),NOT(ISNUMBER(G246))),"",E246+G246)</f>
        <v/>
      </c>
      <c r="X246">
        <f>IF(A246="","",IF(AND(W246="Completed",OR(P246="Feasible",P246="Feasible with verified support")),"Completed feasible",IF(OR(P246="Not feasible",W246="Stopped before rating",W246="Aborted during review"),"Infeasible or aborted","Incomplete")))</f>
        <v/>
      </c>
      <c r="Y246" s="303" t="n"/>
      <c r="Z246" s="303" t="n"/>
      <c r="AA246" s="303" t="n"/>
      <c r="AB246" s="303" t="n"/>
      <c r="AC246" s="303" t="n"/>
      <c r="AD246" s="303">
        <f>IF(COUNTA(A246:O246)+COUNTA(Q246)+COUNTA(T246:W246)+COUNTA(Y246:AC246)=0,"",IF(AND(COUNTIF(Vocabulary!$J$5:$J$6,L246)=1,COUNTIF(Vocabulary!$J$5:$J$6,M246)=1,COUNTIF(Vocabulary!$J$5:$J$6,N246)=1,COUNTIF(Vocabulary!$J$5:$J$6,Y246)=1,COUNTIF(Vocabulary!$J$5:$J$6,Z246)=1,COUNTIF(Vocabulary!$J$5:$J$6,AA246)=1,COUNTIF(Vocabulary!$J$5:$J$6,AB246)=1,COUNTIF(Vocabulary!$J$5:$J$6,AC246)=1),"OK","UNRECOGNISED_BURDEN_VALUE"))</f>
        <v/>
      </c>
    </row>
    <row r="247">
      <c r="P247">
        <f>IF(COUNTA(A247:O247)+COUNTA(Q247)+COUNTA(T247:W247)+COUNTA(Y247:AC247)=0,"",IF(OR(NOT(ISNUMBER(D247)),NOT(ISNUMBER(E247)),NOT(ISNUMBER(F247)),NOT(ISNUMBER(G247)),NOT(ISNUMBER(H247)),NOT(ISNUMBER(I247)),NOT(ISNUMBER(J247)),NOT(ISNUMBER(K247)),AD247&lt;&gt;"OK"),"Not feasible",IF(OR(D247&lt;E247,F247&lt;G247,H247&lt;I247,J247&lt;K247,AND(L247="Yes",OR(M247&lt;&gt;"Yes",N247&lt;&gt;"Yes")),AND(Y247="Yes",OR(Z247&lt;&gt;"Yes",AA247&lt;&gt;"Yes")),AB247&lt;&gt;"Yes",AC247&lt;&gt;"Yes"),"Not feasible",IF(OR(L247="Yes",Y247="Yes"),"Feasible with verified support","Feasible"))))</f>
        <v/>
      </c>
      <c r="R247">
        <f>IF(AND(P247="",Q247=""),"",IF(AND(P247&lt;&gt;"",Q247=""),"UNRECORDED",IF(AND(P247="",Q247&lt;&gt;""),"ORPHAN_RECORDED",IF(P247=Q247,"MATCH","MISMATCH"))))</f>
        <v/>
      </c>
      <c r="S247">
        <f>IF(OR(NOT(ISNUMBER(E247)),NOT(ISNUMBER(G247))),"",E247+G247)</f>
        <v/>
      </c>
      <c r="X247">
        <f>IF(A247="","",IF(AND(W247="Completed",OR(P247="Feasible",P247="Feasible with verified support")),"Completed feasible",IF(OR(P247="Not feasible",W247="Stopped before rating",W247="Aborted during review"),"Infeasible or aborted","Incomplete")))</f>
        <v/>
      </c>
      <c r="Y247" s="303" t="n"/>
      <c r="Z247" s="303" t="n"/>
      <c r="AA247" s="303" t="n"/>
      <c r="AB247" s="303" t="n"/>
      <c r="AC247" s="303" t="n"/>
      <c r="AD247" s="303">
        <f>IF(COUNTA(A247:O247)+COUNTA(Q247)+COUNTA(T247:W247)+COUNTA(Y247:AC247)=0,"",IF(AND(COUNTIF(Vocabulary!$J$5:$J$6,L247)=1,COUNTIF(Vocabulary!$J$5:$J$6,M247)=1,COUNTIF(Vocabulary!$J$5:$J$6,N247)=1,COUNTIF(Vocabulary!$J$5:$J$6,Y247)=1,COUNTIF(Vocabulary!$J$5:$J$6,Z247)=1,COUNTIF(Vocabulary!$J$5:$J$6,AA247)=1,COUNTIF(Vocabulary!$J$5:$J$6,AB247)=1,COUNTIF(Vocabulary!$J$5:$J$6,AC247)=1),"OK","UNRECOGNISED_BURDEN_VALUE"))</f>
        <v/>
      </c>
    </row>
    <row r="248">
      <c r="P248">
        <f>IF(COUNTA(A248:O248)+COUNTA(Q248)+COUNTA(T248:W248)+COUNTA(Y248:AC248)=0,"",IF(OR(NOT(ISNUMBER(D248)),NOT(ISNUMBER(E248)),NOT(ISNUMBER(F248)),NOT(ISNUMBER(G248)),NOT(ISNUMBER(H248)),NOT(ISNUMBER(I248)),NOT(ISNUMBER(J248)),NOT(ISNUMBER(K248)),AD248&lt;&gt;"OK"),"Not feasible",IF(OR(D248&lt;E248,F248&lt;G248,H248&lt;I248,J248&lt;K248,AND(L248="Yes",OR(M248&lt;&gt;"Yes",N248&lt;&gt;"Yes")),AND(Y248="Yes",OR(Z248&lt;&gt;"Yes",AA248&lt;&gt;"Yes")),AB248&lt;&gt;"Yes",AC248&lt;&gt;"Yes"),"Not feasible",IF(OR(L248="Yes",Y248="Yes"),"Feasible with verified support","Feasible"))))</f>
        <v/>
      </c>
      <c r="R248">
        <f>IF(AND(P248="",Q248=""),"",IF(AND(P248&lt;&gt;"",Q248=""),"UNRECORDED",IF(AND(P248="",Q248&lt;&gt;""),"ORPHAN_RECORDED",IF(P248=Q248,"MATCH","MISMATCH"))))</f>
        <v/>
      </c>
      <c r="S248">
        <f>IF(OR(NOT(ISNUMBER(E248)),NOT(ISNUMBER(G248))),"",E248+G248)</f>
        <v/>
      </c>
      <c r="X248">
        <f>IF(A248="","",IF(AND(W248="Completed",OR(P248="Feasible",P248="Feasible with verified support")),"Completed feasible",IF(OR(P248="Not feasible",W248="Stopped before rating",W248="Aborted during review"),"Infeasible or aborted","Incomplete")))</f>
        <v/>
      </c>
      <c r="Y248" s="303" t="n"/>
      <c r="Z248" s="303" t="n"/>
      <c r="AA248" s="303" t="n"/>
      <c r="AB248" s="303" t="n"/>
      <c r="AC248" s="303" t="n"/>
      <c r="AD248" s="303">
        <f>IF(COUNTA(A248:O248)+COUNTA(Q248)+COUNTA(T248:W248)+COUNTA(Y248:AC248)=0,"",IF(AND(COUNTIF(Vocabulary!$J$5:$J$6,L248)=1,COUNTIF(Vocabulary!$J$5:$J$6,M248)=1,COUNTIF(Vocabulary!$J$5:$J$6,N248)=1,COUNTIF(Vocabulary!$J$5:$J$6,Y248)=1,COUNTIF(Vocabulary!$J$5:$J$6,Z248)=1,COUNTIF(Vocabulary!$J$5:$J$6,AA248)=1,COUNTIF(Vocabulary!$J$5:$J$6,AB248)=1,COUNTIF(Vocabulary!$J$5:$J$6,AC248)=1),"OK","UNRECOGNISED_BURDEN_VALUE"))</f>
        <v/>
      </c>
    </row>
    <row r="249">
      <c r="P249">
        <f>IF(COUNTA(A249:O249)+COUNTA(Q249)+COUNTA(T249:W249)+COUNTA(Y249:AC249)=0,"",IF(OR(NOT(ISNUMBER(D249)),NOT(ISNUMBER(E249)),NOT(ISNUMBER(F249)),NOT(ISNUMBER(G249)),NOT(ISNUMBER(H249)),NOT(ISNUMBER(I249)),NOT(ISNUMBER(J249)),NOT(ISNUMBER(K249)),AD249&lt;&gt;"OK"),"Not feasible",IF(OR(D249&lt;E249,F249&lt;G249,H249&lt;I249,J249&lt;K249,AND(L249="Yes",OR(M249&lt;&gt;"Yes",N249&lt;&gt;"Yes")),AND(Y249="Yes",OR(Z249&lt;&gt;"Yes",AA249&lt;&gt;"Yes")),AB249&lt;&gt;"Yes",AC249&lt;&gt;"Yes"),"Not feasible",IF(OR(L249="Yes",Y249="Yes"),"Feasible with verified support","Feasible"))))</f>
        <v/>
      </c>
      <c r="R249">
        <f>IF(AND(P249="",Q249=""),"",IF(AND(P249&lt;&gt;"",Q249=""),"UNRECORDED",IF(AND(P249="",Q249&lt;&gt;""),"ORPHAN_RECORDED",IF(P249=Q249,"MATCH","MISMATCH"))))</f>
        <v/>
      </c>
      <c r="S249">
        <f>IF(OR(NOT(ISNUMBER(E249)),NOT(ISNUMBER(G249))),"",E249+G249)</f>
        <v/>
      </c>
      <c r="X249">
        <f>IF(A249="","",IF(AND(W249="Completed",OR(P249="Feasible",P249="Feasible with verified support")),"Completed feasible",IF(OR(P249="Not feasible",W249="Stopped before rating",W249="Aborted during review"),"Infeasible or aborted","Incomplete")))</f>
        <v/>
      </c>
      <c r="Y249" s="303" t="n"/>
      <c r="Z249" s="303" t="n"/>
      <c r="AA249" s="303" t="n"/>
      <c r="AB249" s="303" t="n"/>
      <c r="AC249" s="303" t="n"/>
      <c r="AD249" s="303">
        <f>IF(COUNTA(A249:O249)+COUNTA(Q249)+COUNTA(T249:W249)+COUNTA(Y249:AC249)=0,"",IF(AND(COUNTIF(Vocabulary!$J$5:$J$6,L249)=1,COUNTIF(Vocabulary!$J$5:$J$6,M249)=1,COUNTIF(Vocabulary!$J$5:$J$6,N249)=1,COUNTIF(Vocabulary!$J$5:$J$6,Y249)=1,COUNTIF(Vocabulary!$J$5:$J$6,Z249)=1,COUNTIF(Vocabulary!$J$5:$J$6,AA249)=1,COUNTIF(Vocabulary!$J$5:$J$6,AB249)=1,COUNTIF(Vocabulary!$J$5:$J$6,AC249)=1),"OK","UNRECOGNISED_BURDEN_VALUE"))</f>
        <v/>
      </c>
    </row>
    <row r="250">
      <c r="P250">
        <f>IF(COUNTA(A250:O250)+COUNTA(Q250)+COUNTA(T250:W250)+COUNTA(Y250:AC250)=0,"",IF(OR(NOT(ISNUMBER(D250)),NOT(ISNUMBER(E250)),NOT(ISNUMBER(F250)),NOT(ISNUMBER(G250)),NOT(ISNUMBER(H250)),NOT(ISNUMBER(I250)),NOT(ISNUMBER(J250)),NOT(ISNUMBER(K250)),AD250&lt;&gt;"OK"),"Not feasible",IF(OR(D250&lt;E250,F250&lt;G250,H250&lt;I250,J250&lt;K250,AND(L250="Yes",OR(M250&lt;&gt;"Yes",N250&lt;&gt;"Yes")),AND(Y250="Yes",OR(Z250&lt;&gt;"Yes",AA250&lt;&gt;"Yes")),AB250&lt;&gt;"Yes",AC250&lt;&gt;"Yes"),"Not feasible",IF(OR(L250="Yes",Y250="Yes"),"Feasible with verified support","Feasible"))))</f>
        <v/>
      </c>
      <c r="R250">
        <f>IF(AND(P250="",Q250=""),"",IF(AND(P250&lt;&gt;"",Q250=""),"UNRECORDED",IF(AND(P250="",Q250&lt;&gt;""),"ORPHAN_RECORDED",IF(P250=Q250,"MATCH","MISMATCH"))))</f>
        <v/>
      </c>
      <c r="S250">
        <f>IF(OR(NOT(ISNUMBER(E250)),NOT(ISNUMBER(G250))),"",E250+G250)</f>
        <v/>
      </c>
      <c r="X250">
        <f>IF(A250="","",IF(AND(W250="Completed",OR(P250="Feasible",P250="Feasible with verified support")),"Completed feasible",IF(OR(P250="Not feasible",W250="Stopped before rating",W250="Aborted during review"),"Infeasible or aborted","Incomplete")))</f>
        <v/>
      </c>
      <c r="Y250" s="303" t="n"/>
      <c r="Z250" s="303" t="n"/>
      <c r="AA250" s="303" t="n"/>
      <c r="AB250" s="303" t="n"/>
      <c r="AC250" s="303" t="n"/>
      <c r="AD250" s="303">
        <f>IF(COUNTA(A250:O250)+COUNTA(Q250)+COUNTA(T250:W250)+COUNTA(Y250:AC250)=0,"",IF(AND(COUNTIF(Vocabulary!$J$5:$J$6,L250)=1,COUNTIF(Vocabulary!$J$5:$J$6,M250)=1,COUNTIF(Vocabulary!$J$5:$J$6,N250)=1,COUNTIF(Vocabulary!$J$5:$J$6,Y250)=1,COUNTIF(Vocabulary!$J$5:$J$6,Z250)=1,COUNTIF(Vocabulary!$J$5:$J$6,AA250)=1,COUNTIF(Vocabulary!$J$5:$J$6,AB250)=1,COUNTIF(Vocabulary!$J$5:$J$6,AC250)=1),"OK","UNRECOGNISED_BURDEN_VALUE"))</f>
        <v/>
      </c>
    </row>
  </sheetData>
  <mergeCells count="1">
    <mergeCell ref="A1:AD1"/>
  </mergeCells>
  <conditionalFormatting sqref="P4:P60">
    <cfRule type="expression" priority="3" dxfId="0">
      <formula>P4="Not feasible"</formula>
    </cfRule>
  </conditionalFormatting>
  <conditionalFormatting sqref="V4:V60">
    <cfRule type="colorScale" priority="4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R4:R60">
    <cfRule type="expression" priority="5" dxfId="1">
      <formula>R4="MATCH"</formula>
    </cfRule>
    <cfRule type="expression" priority="6" dxfId="0">
      <formula>OR(R4="MISMATCH",R4="UNRECORDED",R4="ORPHAN_RECORDED")</formula>
    </cfRule>
  </conditionalFormatting>
  <conditionalFormatting sqref="P4:P250">
    <cfRule type="expression" priority="7" dxfId="0">
      <formula>P4="Not feasible"</formula>
    </cfRule>
  </conditionalFormatting>
  <conditionalFormatting sqref="AD4:AD250">
    <cfRule type="expression" priority="8" dxfId="0">
      <formula>AD4="UNRECOGNISED_BURDEN_VALUE"</formula>
    </cfRule>
  </conditionalFormatting>
  <dataValidations count="42">
    <dataValidation sqref="L4:L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M4:M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N4:N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Q4:Q60" showDropDown="0" showInputMessage="0" showErrorMessage="1" allowBlank="0" errorTitle="Invalid recorded burden feasibility" error="Select an exact controlled value from the Vocabulary sheet." type="list" errorStyle="stop">
      <formula1>INDIRECT("Vocabulary!$P$5:$P$8")</formula1>
    </dataValidation>
    <dataValidation sqref="W4:W60" showDropDown="0" showInputMessage="0" showErrorMessage="1" allowBlank="0" errorTitle="Invalid administration status" error="Select a controlled administration status." type="list" errorStyle="stop">
      <formula1>"Not started,Stopped before rating,Aborted during review,Completed"</formula1>
    </dataValidation>
    <dataValidation sqref="D4:D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E4:E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F4:F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G4:G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H4:H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I4:I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J4:J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K4:K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T4:T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U4:U6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V4:V60" showDropDown="0" showInputMessage="0" showErrorMessage="1" allowBlank="0" errorTitle="Burden score out of range" error="Enter a whole-number score from 0 to 10." type="whole" errorStyle="stop" operator="between">
      <formula1>0</formula1>
      <formula2>10</formula2>
    </dataValidation>
    <dataValidation sqref="Y4:Y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Z4:Z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AA4:AA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AB4:AB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AC4:AC6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L4:L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M4:M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N4:N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Y4:Y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Z4:Z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AA4:AA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AB4:AB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AC4:AC250" showDropDown="0" showInputMessage="0" showErrorMessage="1" allowBlank="0" errorTitle="Invalid Yes/No burden value" error="Select an exact controlled value from the Vocabulary sheet." type="list" errorStyle="stop">
      <formula1>INDIRECT("Vocabulary!$J$5:$J$6")</formula1>
    </dataValidation>
    <dataValidation sqref="Q4:Q250" showDropDown="0" showInputMessage="0" showErrorMessage="1" allowBlank="0" errorTitle="Invalid recorded burden feasibility" error="Select an exact controlled value from the Vocabulary sheet." type="list" errorStyle="stop">
      <formula1>INDIRECT("Vocabulary!$P$5:$P$8")</formula1>
    </dataValidation>
    <dataValidation sqref="W4:W250" showDropDown="0" showInputMessage="0" showErrorMessage="1" allowBlank="0" errorTitle="Invalid administration status" error="Select a controlled administration status." type="list" errorStyle="stop">
      <formula1>"Not started,Stopped before rating,Aborted during review,Completed"</formula1>
    </dataValidation>
    <dataValidation sqref="D4:D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E4:E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F4:F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G4:G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H4:H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I4:I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J4:J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K4:K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T4:T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U4:U250" showDropDown="0" showInputMessage="0" showErrorMessage="1" allowBlank="0" errorTitle="Numeric value required" error="Enter a number greater than or equal to zero." type="decimal" errorStyle="stop" operator="greaterThanOrEqual">
      <formula1>0</formula1>
    </dataValidation>
    <dataValidation sqref="V4:V250" showDropDown="0" showInputMessage="0" showErrorMessage="1" allowBlank="0" errorTitle="Burden score out of range" error="Enter a whole-number score from 0 to 10." type="whole" errorStyle="stop" operator="between">
      <formula1>0</formula1>
      <formula2>10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cols>
    <col width="17" customWidth="1" style="215" min="1" max="1"/>
    <col width="20" customWidth="1" style="215" min="2" max="2"/>
    <col width="26" customWidth="1" style="215" min="3" max="3"/>
    <col width="34" customWidth="1" style="215" min="4" max="4"/>
    <col width="34" customWidth="1" style="215" min="5" max="5"/>
    <col width="18" customWidth="1" style="215" min="6" max="6"/>
    <col width="20" customWidth="1" style="215" min="7" max="7"/>
    <col width="20" customWidth="1" style="215" min="8" max="8"/>
    <col width="20" customWidth="1" style="215" min="9" max="9"/>
    <col width="18" customWidth="1" style="215" min="10" max="10"/>
    <col width="22" customWidth="1" style="215" min="11" max="11"/>
    <col width="20" customWidth="1" style="215" min="12" max="12"/>
    <col width="25" customWidth="1" style="215" min="13" max="13"/>
    <col width="22" customWidth="1" style="215" min="14" max="14"/>
    <col width="22" customWidth="1" style="215" min="15" max="15"/>
    <col width="25" customWidth="1" style="215" min="16" max="16"/>
    <col width="24" customWidth="1" style="215" min="17" max="17"/>
    <col width="34" customWidth="1" style="215" min="18" max="18"/>
    <col width="22" customWidth="1" style="215" min="19" max="19"/>
    <col width="18" customWidth="1" style="215" min="20" max="20"/>
  </cols>
  <sheetData>
    <row r="1" ht="28" customHeight="1" s="215">
      <c r="A1" s="536" t="inlineStr">
        <is>
          <t>Decision Value and Downstream Effects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</row>
    <row r="2"/>
    <row r="3" ht="34" customHeight="1" s="215">
      <c r="A3" s="421" t="inlineStr">
        <is>
          <t>Record_ID</t>
        </is>
      </c>
      <c r="B3" s="421" t="inlineStr">
        <is>
          <t>Case_ID</t>
        </is>
      </c>
      <c r="C3" s="421" t="inlineStr">
        <is>
          <t>Comparator_Arm</t>
        </is>
      </c>
      <c r="D3" s="421" t="inlineStr">
        <is>
          <t>Baseline_Decision</t>
        </is>
      </c>
      <c r="E3" s="421" t="inlineStr">
        <is>
          <t>AF_Decision</t>
        </is>
      </c>
      <c r="F3" s="421" t="inlineStr">
        <is>
          <t>Decision_Changed</t>
        </is>
      </c>
      <c r="G3" s="421" t="inlineStr">
        <is>
          <t>Baseline_Confidence</t>
        </is>
      </c>
      <c r="H3" s="421" t="inlineStr">
        <is>
          <t>AF_Confidence</t>
        </is>
      </c>
      <c r="I3" s="421" t="inlineStr">
        <is>
          <t>Baseline_Time_Hours</t>
        </is>
      </c>
      <c r="J3" s="421" t="inlineStr">
        <is>
          <t>AF_Time_Hours</t>
        </is>
      </c>
      <c r="K3" s="421" t="inlineStr">
        <is>
          <t>Incremental_Time_Hours</t>
        </is>
      </c>
      <c r="L3" s="421" t="inlineStr">
        <is>
          <t>Defects_Discovered</t>
        </is>
      </c>
      <c r="M3" s="421" t="inlineStr">
        <is>
          <t>False_Clearances_Prevented</t>
        </is>
      </c>
      <c r="N3" s="421" t="inlineStr">
        <is>
          <t>False_Rejections_Created</t>
        </is>
      </c>
      <c r="O3" s="421" t="inlineStr">
        <is>
          <t>Uncertainty_Improved</t>
        </is>
      </c>
      <c r="P3" s="421" t="inlineStr">
        <is>
          <t>Affected_Party_Value_0_10</t>
        </is>
      </c>
      <c r="Q3" s="421" t="inlineStr">
        <is>
          <t>Net_Value_Assessment</t>
        </is>
      </c>
      <c r="R3" s="421" t="inlineStr">
        <is>
          <t>Adverse_Effects</t>
        </is>
      </c>
      <c r="S3" s="421" t="inlineStr">
        <is>
          <t>Continuation_Decision</t>
        </is>
      </c>
      <c r="T3" s="421" t="inlineStr">
        <is>
          <t>Followup_Date</t>
        </is>
      </c>
    </row>
    <row r="4">
      <c r="A4" s="81" t="inlineStr">
        <is>
          <t>DV-ILL-001</t>
        </is>
      </c>
      <c r="B4" s="356" t="inlineStr">
        <is>
          <t>CASE-ILL-001</t>
        </is>
      </c>
      <c r="C4" s="356" t="inlineStr">
        <is>
          <t>Domain standard of care</t>
        </is>
      </c>
      <c r="D4" s="356" t="inlineStr">
        <is>
          <t>Proceed to procurement</t>
        </is>
      </c>
      <c r="E4" s="356" t="inlineStr">
        <is>
          <t>Pause pending remedy evidence</t>
        </is>
      </c>
      <c r="F4" s="302">
        <f>IF(OR(D4="",E4=""),"",IF(D4=E4,"No","Yes"))</f>
        <v/>
      </c>
      <c r="G4" s="356" t="n">
        <v>0.65</v>
      </c>
      <c r="H4" s="356" t="n">
        <v>0.78</v>
      </c>
      <c r="I4" s="356" t="n">
        <v>8</v>
      </c>
      <c r="J4" s="356" t="n">
        <v>31</v>
      </c>
      <c r="K4" s="302">
        <f>IF(OR(I4="",J4=""),"",J4-I4)</f>
        <v/>
      </c>
      <c r="L4" s="356" t="n">
        <v>2</v>
      </c>
      <c r="M4" s="356" t="n">
        <v>1</v>
      </c>
      <c r="N4" s="356" t="n">
        <v>0</v>
      </c>
      <c r="O4" s="356" t="inlineStr">
        <is>
          <t>Yes</t>
        </is>
      </c>
      <c r="P4" s="356" t="n">
        <v>8</v>
      </c>
      <c r="Q4" s="356" t="inlineStr">
        <is>
          <t>Positive</t>
        </is>
      </c>
      <c r="R4" s="356" t="str"/>
      <c r="S4" s="356" t="inlineStr">
        <is>
          <t>Retain</t>
        </is>
      </c>
      <c r="T4" s="103" t="inlineStr">
        <is>
          <t>2027-02-11</t>
        </is>
      </c>
    </row>
    <row r="5">
      <c r="A5" s="81" t="inlineStr">
        <is>
          <t>DV-ILL-002</t>
        </is>
      </c>
      <c r="B5" s="356" t="inlineStr">
        <is>
          <t>CASE-ILL-NULL</t>
        </is>
      </c>
      <c r="C5" s="356" t="inlineStr">
        <is>
          <t>Structured checklist</t>
        </is>
      </c>
      <c r="D5" s="356" t="inlineStr">
        <is>
          <t>Request more evidence</t>
        </is>
      </c>
      <c r="E5" s="356" t="inlineStr">
        <is>
          <t>Request more evidence</t>
        </is>
      </c>
      <c r="F5" s="302">
        <f>IF(OR(D5="",E5=""),"",IF(D5=E5,"No","Yes"))</f>
        <v/>
      </c>
      <c r="G5" s="356" t="n">
        <v>0.7</v>
      </c>
      <c r="H5" s="356" t="n">
        <v>0.7</v>
      </c>
      <c r="I5" s="356" t="n">
        <v>9</v>
      </c>
      <c r="J5" s="356" t="n">
        <v>24</v>
      </c>
      <c r="K5" s="302">
        <f>IF(OR(I5="",J5=""),"",J5-I5)</f>
        <v/>
      </c>
      <c r="L5" s="356" t="n">
        <v>0</v>
      </c>
      <c r="M5" s="356" t="n">
        <v>0</v>
      </c>
      <c r="N5" s="356" t="n">
        <v>0</v>
      </c>
      <c r="O5" s="356" t="inlineStr">
        <is>
          <t>No</t>
        </is>
      </c>
      <c r="P5" s="356" t="n">
        <v>5</v>
      </c>
      <c r="Q5" s="356" t="inlineStr">
        <is>
          <t>Neutral</t>
        </is>
      </c>
      <c r="R5" s="356" t="inlineStr">
        <is>
          <t>Additional burden without decision change</t>
        </is>
      </c>
      <c r="S5" s="356" t="inlineStr">
        <is>
          <t>Revise</t>
        </is>
      </c>
      <c r="T5" s="103" t="inlineStr">
        <is>
          <t>2027-02-11</t>
        </is>
      </c>
    </row>
    <row r="6">
      <c r="A6" s="81" t="inlineStr">
        <is>
          <t>DV-ILL-003</t>
        </is>
      </c>
      <c r="B6" s="356" t="inlineStr">
        <is>
          <t>CASE-ILL-ADVERSE</t>
        </is>
      </c>
      <c r="C6" s="356" t="inlineStr">
        <is>
          <t>Audit-theatre decoy</t>
        </is>
      </c>
      <c r="D6" s="356" t="inlineStr">
        <is>
          <t>Do not approve</t>
        </is>
      </c>
      <c r="E6" s="356" t="inlineStr">
        <is>
          <t>Conditional approval</t>
        </is>
      </c>
      <c r="F6" s="302">
        <f>IF(OR(D6="",E6=""),"",IF(D6=E6,"No","Yes"))</f>
        <v/>
      </c>
      <c r="G6" s="356" t="n">
        <v>0.82</v>
      </c>
      <c r="H6" s="356" t="n">
        <v>0.76</v>
      </c>
      <c r="I6" s="356" t="n">
        <v>7</v>
      </c>
      <c r="J6" s="356" t="n">
        <v>29</v>
      </c>
      <c r="K6" s="302">
        <f>IF(OR(I6="",J6=""),"",J6-I6)</f>
        <v/>
      </c>
      <c r="L6" s="356" t="n">
        <v>0</v>
      </c>
      <c r="M6" s="356" t="n">
        <v>0</v>
      </c>
      <c r="N6" s="356" t="n">
        <v>1</v>
      </c>
      <c r="O6" s="356" t="inlineStr">
        <is>
          <t>No</t>
        </is>
      </c>
      <c r="P6" s="356" t="n">
        <v>2</v>
      </c>
      <c r="Q6" s="356" t="inlineStr">
        <is>
          <t>Negative</t>
        </is>
      </c>
      <c r="R6" s="356" t="inlineStr">
        <is>
          <t>False clearance and increased documentation burden</t>
        </is>
      </c>
      <c r="S6" s="356" t="inlineStr">
        <is>
          <t>Restrict</t>
        </is>
      </c>
      <c r="T6" s="103" t="inlineStr">
        <is>
          <t>2027-02-11</t>
        </is>
      </c>
    </row>
    <row r="7">
      <c r="A7" s="81" t="n"/>
      <c r="B7" s="356" t="n"/>
      <c r="C7" s="356" t="n"/>
      <c r="D7" s="356" t="n"/>
      <c r="E7" s="356" t="n"/>
      <c r="F7" s="302">
        <f>IF(OR(D7="",E7=""),"",IF(D7=E7,"No","Yes"))</f>
        <v/>
      </c>
      <c r="G7" s="356" t="n"/>
      <c r="H7" s="356" t="n"/>
      <c r="I7" s="356" t="n"/>
      <c r="J7" s="356" t="n"/>
      <c r="K7" s="302">
        <f>IF(OR(I7="",J7=""),"",J7-I7)</f>
        <v/>
      </c>
      <c r="L7" s="356" t="n"/>
      <c r="M7" s="356" t="n"/>
      <c r="N7" s="356" t="n"/>
      <c r="O7" s="356" t="n"/>
      <c r="P7" s="356" t="n"/>
      <c r="Q7" s="356" t="n"/>
      <c r="R7" s="356" t="n"/>
      <c r="S7" s="356" t="n"/>
      <c r="T7" s="103" t="n"/>
    </row>
    <row r="8">
      <c r="A8" s="81" t="n"/>
      <c r="B8" s="356" t="n"/>
      <c r="C8" s="356" t="n"/>
      <c r="D8" s="356" t="n"/>
      <c r="E8" s="356" t="n"/>
      <c r="F8" s="302">
        <f>IF(OR(D8="",E8=""),"",IF(D8=E8,"No","Yes"))</f>
        <v/>
      </c>
      <c r="G8" s="356" t="n"/>
      <c r="H8" s="356" t="n"/>
      <c r="I8" s="356" t="n"/>
      <c r="J8" s="356" t="n"/>
      <c r="K8" s="302">
        <f>IF(OR(I8="",J8=""),"",J8-I8)</f>
        <v/>
      </c>
      <c r="L8" s="356" t="n"/>
      <c r="M8" s="356" t="n"/>
      <c r="N8" s="356" t="n"/>
      <c r="O8" s="356" t="n"/>
      <c r="P8" s="356" t="n"/>
      <c r="Q8" s="356" t="n"/>
      <c r="R8" s="356" t="n"/>
      <c r="S8" s="356" t="n"/>
      <c r="T8" s="103" t="n"/>
    </row>
    <row r="9">
      <c r="A9" s="81" t="n"/>
      <c r="B9" s="356" t="n"/>
      <c r="C9" s="356" t="n"/>
      <c r="D9" s="356" t="n"/>
      <c r="E9" s="356" t="n"/>
      <c r="F9" s="302">
        <f>IF(OR(D9="",E9=""),"",IF(D9=E9,"No","Yes"))</f>
        <v/>
      </c>
      <c r="G9" s="356" t="n"/>
      <c r="H9" s="356" t="n"/>
      <c r="I9" s="356" t="n"/>
      <c r="J9" s="356" t="n"/>
      <c r="K9" s="302">
        <f>IF(OR(I9="",J9=""),"",J9-I9)</f>
        <v/>
      </c>
      <c r="L9" s="356" t="n"/>
      <c r="M9" s="356" t="n"/>
      <c r="N9" s="356" t="n"/>
      <c r="O9" s="356" t="n"/>
      <c r="P9" s="356" t="n"/>
      <c r="Q9" s="356" t="n"/>
      <c r="R9" s="356" t="n"/>
      <c r="S9" s="356" t="n"/>
      <c r="T9" s="103" t="n"/>
    </row>
    <row r="10">
      <c r="A10" s="81" t="n"/>
      <c r="B10" s="356" t="n"/>
      <c r="C10" s="356" t="n"/>
      <c r="D10" s="356" t="n"/>
      <c r="E10" s="356" t="n"/>
      <c r="F10" s="302">
        <f>IF(OR(D10="",E10=""),"",IF(D10=E10,"No","Yes"))</f>
        <v/>
      </c>
      <c r="G10" s="356" t="n"/>
      <c r="H10" s="356" t="n"/>
      <c r="I10" s="356" t="n"/>
      <c r="J10" s="356" t="n"/>
      <c r="K10" s="302">
        <f>IF(OR(I10="",J10=""),"",J10-I10)</f>
        <v/>
      </c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103" t="n"/>
    </row>
    <row r="11">
      <c r="A11" s="81" t="n"/>
      <c r="B11" s="356" t="n"/>
      <c r="C11" s="356" t="n"/>
      <c r="D11" s="356" t="n"/>
      <c r="E11" s="356" t="n"/>
      <c r="F11" s="302">
        <f>IF(OR(D11="",E11=""),"",IF(D11=E11,"No","Yes"))</f>
        <v/>
      </c>
      <c r="G11" s="356" t="n"/>
      <c r="H11" s="356" t="n"/>
      <c r="I11" s="356" t="n"/>
      <c r="J11" s="356" t="n"/>
      <c r="K11" s="302">
        <f>IF(OR(I11="",J11=""),"",J11-I11)</f>
        <v/>
      </c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103" t="n"/>
    </row>
    <row r="12">
      <c r="A12" s="81" t="n"/>
      <c r="B12" s="356" t="n"/>
      <c r="C12" s="356" t="n"/>
      <c r="D12" s="356" t="n"/>
      <c r="E12" s="356" t="n"/>
      <c r="F12" s="302">
        <f>IF(OR(D12="",E12=""),"",IF(D12=E12,"No","Yes"))</f>
        <v/>
      </c>
      <c r="G12" s="356" t="n"/>
      <c r="H12" s="356" t="n"/>
      <c r="I12" s="356" t="n"/>
      <c r="J12" s="356" t="n"/>
      <c r="K12" s="302">
        <f>IF(OR(I12="",J12=""),"",J12-I12)</f>
        <v/>
      </c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103" t="n"/>
    </row>
    <row r="13">
      <c r="A13" s="81" t="n"/>
      <c r="B13" s="356" t="n"/>
      <c r="C13" s="356" t="n"/>
      <c r="D13" s="356" t="n"/>
      <c r="E13" s="356" t="n"/>
      <c r="F13" s="302">
        <f>IF(OR(D13="",E13=""),"",IF(D13=E13,"No","Yes"))</f>
        <v/>
      </c>
      <c r="G13" s="356" t="n"/>
      <c r="H13" s="356" t="n"/>
      <c r="I13" s="356" t="n"/>
      <c r="J13" s="356" t="n"/>
      <c r="K13" s="302">
        <f>IF(OR(I13="",J13=""),"",J13-I13)</f>
        <v/>
      </c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103" t="n"/>
    </row>
    <row r="14">
      <c r="A14" s="81" t="n"/>
      <c r="B14" s="356" t="n"/>
      <c r="C14" s="356" t="n"/>
      <c r="D14" s="356" t="n"/>
      <c r="E14" s="356" t="n"/>
      <c r="F14" s="302">
        <f>IF(OR(D14="",E14=""),"",IF(D14=E14,"No","Yes"))</f>
        <v/>
      </c>
      <c r="G14" s="356" t="n"/>
      <c r="H14" s="356" t="n"/>
      <c r="I14" s="356" t="n"/>
      <c r="J14" s="356" t="n"/>
      <c r="K14" s="302">
        <f>IF(OR(I14="",J14=""),"",J14-I14)</f>
        <v/>
      </c>
      <c r="L14" s="356" t="n"/>
      <c r="M14" s="356" t="n"/>
      <c r="N14" s="356" t="n"/>
      <c r="O14" s="356" t="n"/>
      <c r="P14" s="356" t="n"/>
      <c r="Q14" s="356" t="n"/>
      <c r="R14" s="356" t="n"/>
      <c r="S14" s="356" t="n"/>
      <c r="T14" s="103" t="n"/>
    </row>
    <row r="15">
      <c r="A15" s="81" t="n"/>
      <c r="B15" s="356" t="n"/>
      <c r="C15" s="356" t="n"/>
      <c r="D15" s="356" t="n"/>
      <c r="E15" s="356" t="n"/>
      <c r="F15" s="302">
        <f>IF(OR(D15="",E15=""),"",IF(D15=E15,"No","Yes"))</f>
        <v/>
      </c>
      <c r="G15" s="356" t="n"/>
      <c r="H15" s="356" t="n"/>
      <c r="I15" s="356" t="n"/>
      <c r="J15" s="356" t="n"/>
      <c r="K15" s="302">
        <f>IF(OR(I15="",J15=""),"",J15-I15)</f>
        <v/>
      </c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103" t="n"/>
    </row>
    <row r="16">
      <c r="A16" s="81" t="n"/>
      <c r="B16" s="356" t="n"/>
      <c r="C16" s="356" t="n"/>
      <c r="D16" s="356" t="n"/>
      <c r="E16" s="356" t="n"/>
      <c r="F16" s="302">
        <f>IF(OR(D16="",E16=""),"",IF(D16=E16,"No","Yes"))</f>
        <v/>
      </c>
      <c r="G16" s="356" t="n"/>
      <c r="H16" s="356" t="n"/>
      <c r="I16" s="356" t="n"/>
      <c r="J16" s="356" t="n"/>
      <c r="K16" s="302">
        <f>IF(OR(I16="",J16=""),"",J16-I16)</f>
        <v/>
      </c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103" t="n"/>
    </row>
    <row r="17">
      <c r="A17" s="81" t="n"/>
      <c r="B17" s="356" t="n"/>
      <c r="C17" s="356" t="n"/>
      <c r="D17" s="356" t="n"/>
      <c r="E17" s="356" t="n"/>
      <c r="F17" s="302">
        <f>IF(OR(D17="",E17=""),"",IF(D17=E17,"No","Yes"))</f>
        <v/>
      </c>
      <c r="G17" s="356" t="n"/>
      <c r="H17" s="356" t="n"/>
      <c r="I17" s="356" t="n"/>
      <c r="J17" s="356" t="n"/>
      <c r="K17" s="302">
        <f>IF(OR(I17="",J17=""),"",J17-I17)</f>
        <v/>
      </c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103" t="n"/>
    </row>
    <row r="18">
      <c r="A18" s="81" t="n"/>
      <c r="B18" s="356" t="n"/>
      <c r="C18" s="356" t="n"/>
      <c r="D18" s="356" t="n"/>
      <c r="E18" s="356" t="n"/>
      <c r="F18" s="302">
        <f>IF(OR(D18="",E18=""),"",IF(D18=E18,"No","Yes"))</f>
        <v/>
      </c>
      <c r="G18" s="356" t="n"/>
      <c r="H18" s="356" t="n"/>
      <c r="I18" s="356" t="n"/>
      <c r="J18" s="356" t="n"/>
      <c r="K18" s="302">
        <f>IF(OR(I18="",J18=""),"",J18-I18)</f>
        <v/>
      </c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103" t="n"/>
    </row>
    <row r="19">
      <c r="A19" s="81" t="n"/>
      <c r="B19" s="356" t="n"/>
      <c r="C19" s="356" t="n"/>
      <c r="D19" s="356" t="n"/>
      <c r="E19" s="356" t="n"/>
      <c r="F19" s="302">
        <f>IF(OR(D19="",E19=""),"",IF(D19=E19,"No","Yes"))</f>
        <v/>
      </c>
      <c r="G19" s="356" t="n"/>
      <c r="H19" s="356" t="n"/>
      <c r="I19" s="356" t="n"/>
      <c r="J19" s="356" t="n"/>
      <c r="K19" s="302">
        <f>IF(OR(I19="",J19=""),"",J19-I19)</f>
        <v/>
      </c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103" t="n"/>
    </row>
    <row r="20">
      <c r="A20" s="81" t="n"/>
      <c r="B20" s="356" t="n"/>
      <c r="C20" s="356" t="n"/>
      <c r="D20" s="356" t="n"/>
      <c r="E20" s="356" t="n"/>
      <c r="F20" s="302">
        <f>IF(OR(D20="",E20=""),"",IF(D20=E20,"No","Yes"))</f>
        <v/>
      </c>
      <c r="G20" s="356" t="n"/>
      <c r="H20" s="356" t="n"/>
      <c r="I20" s="356" t="n"/>
      <c r="J20" s="356" t="n"/>
      <c r="K20" s="302">
        <f>IF(OR(I20="",J20=""),"",J20-I20)</f>
        <v/>
      </c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103" t="n"/>
    </row>
    <row r="21">
      <c r="A21" s="81" t="n"/>
      <c r="B21" s="356" t="n"/>
      <c r="C21" s="356" t="n"/>
      <c r="D21" s="356" t="n"/>
      <c r="E21" s="356" t="n"/>
      <c r="F21" s="302">
        <f>IF(OR(D21="",E21=""),"",IF(D21=E21,"No","Yes"))</f>
        <v/>
      </c>
      <c r="G21" s="356" t="n"/>
      <c r="H21" s="356" t="n"/>
      <c r="I21" s="356" t="n"/>
      <c r="J21" s="356" t="n"/>
      <c r="K21" s="302">
        <f>IF(OR(I21="",J21=""),"",J21-I21)</f>
        <v/>
      </c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103" t="n"/>
    </row>
    <row r="22">
      <c r="A22" s="81" t="n"/>
      <c r="B22" s="356" t="n"/>
      <c r="C22" s="356" t="n"/>
      <c r="D22" s="356" t="n"/>
      <c r="E22" s="356" t="n"/>
      <c r="F22" s="302">
        <f>IF(OR(D22="",E22=""),"",IF(D22=E22,"No","Yes"))</f>
        <v/>
      </c>
      <c r="G22" s="356" t="n"/>
      <c r="H22" s="356" t="n"/>
      <c r="I22" s="356" t="n"/>
      <c r="J22" s="356" t="n"/>
      <c r="K22" s="302">
        <f>IF(OR(I22="",J22=""),"",J22-I22)</f>
        <v/>
      </c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103" t="n"/>
    </row>
    <row r="23">
      <c r="A23" s="81" t="n"/>
      <c r="B23" s="356" t="n"/>
      <c r="C23" s="356" t="n"/>
      <c r="D23" s="356" t="n"/>
      <c r="E23" s="356" t="n"/>
      <c r="F23" s="302">
        <f>IF(OR(D23="",E23=""),"",IF(D23=E23,"No","Yes"))</f>
        <v/>
      </c>
      <c r="G23" s="356" t="n"/>
      <c r="H23" s="356" t="n"/>
      <c r="I23" s="356" t="n"/>
      <c r="J23" s="356" t="n"/>
      <c r="K23" s="302">
        <f>IF(OR(I23="",J23=""),"",J23-I23)</f>
        <v/>
      </c>
      <c r="L23" s="356" t="n"/>
      <c r="M23" s="356" t="n"/>
      <c r="N23" s="356" t="n"/>
      <c r="O23" s="356" t="n"/>
      <c r="P23" s="356" t="n"/>
      <c r="Q23" s="356" t="n"/>
      <c r="R23" s="356" t="n"/>
      <c r="S23" s="356" t="n"/>
      <c r="T23" s="103" t="n"/>
    </row>
    <row r="24">
      <c r="A24" s="81" t="n"/>
      <c r="B24" s="356" t="n"/>
      <c r="C24" s="356" t="n"/>
      <c r="D24" s="356" t="n"/>
      <c r="E24" s="356" t="n"/>
      <c r="F24" s="302">
        <f>IF(OR(D24="",E24=""),"",IF(D24=E24,"No","Yes"))</f>
        <v/>
      </c>
      <c r="G24" s="356" t="n"/>
      <c r="H24" s="356" t="n"/>
      <c r="I24" s="356" t="n"/>
      <c r="J24" s="356" t="n"/>
      <c r="K24" s="302">
        <f>IF(OR(I24="",J24=""),"",J24-I24)</f>
        <v/>
      </c>
      <c r="L24" s="356" t="n"/>
      <c r="M24" s="356" t="n"/>
      <c r="N24" s="356" t="n"/>
      <c r="O24" s="356" t="n"/>
      <c r="P24" s="356" t="n"/>
      <c r="Q24" s="356" t="n"/>
      <c r="R24" s="356" t="n"/>
      <c r="S24" s="356" t="n"/>
      <c r="T24" s="103" t="n"/>
    </row>
    <row r="25">
      <c r="A25" s="81" t="n"/>
      <c r="B25" s="356" t="n"/>
      <c r="C25" s="356" t="n"/>
      <c r="D25" s="356" t="n"/>
      <c r="E25" s="356" t="n"/>
      <c r="F25" s="302">
        <f>IF(OR(D25="",E25=""),"",IF(D25=E25,"No","Yes"))</f>
        <v/>
      </c>
      <c r="G25" s="356" t="n"/>
      <c r="H25" s="356" t="n"/>
      <c r="I25" s="356" t="n"/>
      <c r="J25" s="356" t="n"/>
      <c r="K25" s="302">
        <f>IF(OR(I25="",J25=""),"",J25-I25)</f>
        <v/>
      </c>
      <c r="L25" s="356" t="n"/>
      <c r="M25" s="356" t="n"/>
      <c r="N25" s="356" t="n"/>
      <c r="O25" s="356" t="n"/>
      <c r="P25" s="356" t="n"/>
      <c r="Q25" s="356" t="n"/>
      <c r="R25" s="356" t="n"/>
      <c r="S25" s="356" t="n"/>
      <c r="T25" s="103" t="n"/>
    </row>
    <row r="26">
      <c r="A26" s="81" t="n"/>
      <c r="B26" s="356" t="n"/>
      <c r="C26" s="356" t="n"/>
      <c r="D26" s="356" t="n"/>
      <c r="E26" s="356" t="n"/>
      <c r="F26" s="302">
        <f>IF(OR(D26="",E26=""),"",IF(D26=E26,"No","Yes"))</f>
        <v/>
      </c>
      <c r="G26" s="356" t="n"/>
      <c r="H26" s="356" t="n"/>
      <c r="I26" s="356" t="n"/>
      <c r="J26" s="356" t="n"/>
      <c r="K26" s="302">
        <f>IF(OR(I26="",J26=""),"",J26-I26)</f>
        <v/>
      </c>
      <c r="L26" s="356" t="n"/>
      <c r="M26" s="356" t="n"/>
      <c r="N26" s="356" t="n"/>
      <c r="O26" s="356" t="n"/>
      <c r="P26" s="356" t="n"/>
      <c r="Q26" s="356" t="n"/>
      <c r="R26" s="356" t="n"/>
      <c r="S26" s="356" t="n"/>
      <c r="T26" s="103" t="n"/>
    </row>
    <row r="27">
      <c r="A27" s="81" t="n"/>
      <c r="B27" s="356" t="n"/>
      <c r="C27" s="356" t="n"/>
      <c r="D27" s="356" t="n"/>
      <c r="E27" s="356" t="n"/>
      <c r="F27" s="302">
        <f>IF(OR(D27="",E27=""),"",IF(D27=E27,"No","Yes"))</f>
        <v/>
      </c>
      <c r="G27" s="356" t="n"/>
      <c r="H27" s="356" t="n"/>
      <c r="I27" s="356" t="n"/>
      <c r="J27" s="356" t="n"/>
      <c r="K27" s="302">
        <f>IF(OR(I27="",J27=""),"",J27-I27)</f>
        <v/>
      </c>
      <c r="L27" s="356" t="n"/>
      <c r="M27" s="356" t="n"/>
      <c r="N27" s="356" t="n"/>
      <c r="O27" s="356" t="n"/>
      <c r="P27" s="356" t="n"/>
      <c r="Q27" s="356" t="n"/>
      <c r="R27" s="356" t="n"/>
      <c r="S27" s="356" t="n"/>
      <c r="T27" s="103" t="n"/>
    </row>
    <row r="28">
      <c r="A28" s="81" t="n"/>
      <c r="B28" s="356" t="n"/>
      <c r="C28" s="356" t="n"/>
      <c r="D28" s="356" t="n"/>
      <c r="E28" s="356" t="n"/>
      <c r="F28" s="302">
        <f>IF(OR(D28="",E28=""),"",IF(D28=E28,"No","Yes"))</f>
        <v/>
      </c>
      <c r="G28" s="356" t="n"/>
      <c r="H28" s="356" t="n"/>
      <c r="I28" s="356" t="n"/>
      <c r="J28" s="356" t="n"/>
      <c r="K28" s="302">
        <f>IF(OR(I28="",J28=""),"",J28-I28)</f>
        <v/>
      </c>
      <c r="L28" s="356" t="n"/>
      <c r="M28" s="356" t="n"/>
      <c r="N28" s="356" t="n"/>
      <c r="O28" s="356" t="n"/>
      <c r="P28" s="356" t="n"/>
      <c r="Q28" s="356" t="n"/>
      <c r="R28" s="356" t="n"/>
      <c r="S28" s="356" t="n"/>
      <c r="T28" s="103" t="n"/>
    </row>
    <row r="29">
      <c r="A29" s="81" t="n"/>
      <c r="B29" s="356" t="n"/>
      <c r="C29" s="356" t="n"/>
      <c r="D29" s="356" t="n"/>
      <c r="E29" s="356" t="n"/>
      <c r="F29" s="302">
        <f>IF(OR(D29="",E29=""),"",IF(D29=E29,"No","Yes"))</f>
        <v/>
      </c>
      <c r="G29" s="356" t="n"/>
      <c r="H29" s="356" t="n"/>
      <c r="I29" s="356" t="n"/>
      <c r="J29" s="356" t="n"/>
      <c r="K29" s="302">
        <f>IF(OR(I29="",J29=""),"",J29-I29)</f>
        <v/>
      </c>
      <c r="L29" s="356" t="n"/>
      <c r="M29" s="356" t="n"/>
      <c r="N29" s="356" t="n"/>
      <c r="O29" s="356" t="n"/>
      <c r="P29" s="356" t="n"/>
      <c r="Q29" s="356" t="n"/>
      <c r="R29" s="356" t="n"/>
      <c r="S29" s="356" t="n"/>
      <c r="T29" s="103" t="n"/>
    </row>
    <row r="30">
      <c r="A30" s="81" t="n"/>
      <c r="B30" s="356" t="n"/>
      <c r="C30" s="356" t="n"/>
      <c r="D30" s="356" t="n"/>
      <c r="E30" s="356" t="n"/>
      <c r="F30" s="302">
        <f>IF(OR(D30="",E30=""),"",IF(D30=E30,"No","Yes"))</f>
        <v/>
      </c>
      <c r="G30" s="356" t="n"/>
      <c r="H30" s="356" t="n"/>
      <c r="I30" s="356" t="n"/>
      <c r="J30" s="356" t="n"/>
      <c r="K30" s="302">
        <f>IF(OR(I30="",J30=""),"",J30-I30)</f>
        <v/>
      </c>
      <c r="L30" s="356" t="n"/>
      <c r="M30" s="356" t="n"/>
      <c r="N30" s="356" t="n"/>
      <c r="O30" s="356" t="n"/>
      <c r="P30" s="356" t="n"/>
      <c r="Q30" s="356" t="n"/>
      <c r="R30" s="356" t="n"/>
      <c r="S30" s="356" t="n"/>
      <c r="T30" s="103" t="n"/>
    </row>
    <row r="31">
      <c r="A31" s="81" t="n"/>
      <c r="B31" s="356" t="n"/>
      <c r="C31" s="356" t="n"/>
      <c r="D31" s="356" t="n"/>
      <c r="E31" s="356" t="n"/>
      <c r="F31" s="302">
        <f>IF(OR(D31="",E31=""),"",IF(D31=E31,"No","Yes"))</f>
        <v/>
      </c>
      <c r="G31" s="356" t="n"/>
      <c r="H31" s="356" t="n"/>
      <c r="I31" s="356" t="n"/>
      <c r="J31" s="356" t="n"/>
      <c r="K31" s="302">
        <f>IF(OR(I31="",J31=""),"",J31-I31)</f>
        <v/>
      </c>
      <c r="L31" s="356" t="n"/>
      <c r="M31" s="356" t="n"/>
      <c r="N31" s="356" t="n"/>
      <c r="O31" s="356" t="n"/>
      <c r="P31" s="356" t="n"/>
      <c r="Q31" s="356" t="n"/>
      <c r="R31" s="356" t="n"/>
      <c r="S31" s="356" t="n"/>
      <c r="T31" s="103" t="n"/>
    </row>
    <row r="32">
      <c r="A32" s="81" t="n"/>
      <c r="B32" s="356" t="n"/>
      <c r="C32" s="356" t="n"/>
      <c r="D32" s="356" t="n"/>
      <c r="E32" s="356" t="n"/>
      <c r="F32" s="302">
        <f>IF(OR(D32="",E32=""),"",IF(D32=E32,"No","Yes"))</f>
        <v/>
      </c>
      <c r="G32" s="356" t="n"/>
      <c r="H32" s="356" t="n"/>
      <c r="I32" s="356" t="n"/>
      <c r="J32" s="356" t="n"/>
      <c r="K32" s="302">
        <f>IF(OR(I32="",J32=""),"",J32-I32)</f>
        <v/>
      </c>
      <c r="L32" s="356" t="n"/>
      <c r="M32" s="356" t="n"/>
      <c r="N32" s="356" t="n"/>
      <c r="O32" s="356" t="n"/>
      <c r="P32" s="356" t="n"/>
      <c r="Q32" s="356" t="n"/>
      <c r="R32" s="356" t="n"/>
      <c r="S32" s="356" t="n"/>
      <c r="T32" s="103" t="n"/>
    </row>
    <row r="33">
      <c r="A33" s="81" t="n"/>
      <c r="B33" s="356" t="n"/>
      <c r="C33" s="356" t="n"/>
      <c r="D33" s="356" t="n"/>
      <c r="E33" s="356" t="n"/>
      <c r="F33" s="302">
        <f>IF(OR(D33="",E33=""),"",IF(D33=E33,"No","Yes"))</f>
        <v/>
      </c>
      <c r="G33" s="356" t="n"/>
      <c r="H33" s="356" t="n"/>
      <c r="I33" s="356" t="n"/>
      <c r="J33" s="356" t="n"/>
      <c r="K33" s="302">
        <f>IF(OR(I33="",J33=""),"",J33-I33)</f>
        <v/>
      </c>
      <c r="L33" s="356" t="n"/>
      <c r="M33" s="356" t="n"/>
      <c r="N33" s="356" t="n"/>
      <c r="O33" s="356" t="n"/>
      <c r="P33" s="356" t="n"/>
      <c r="Q33" s="356" t="n"/>
      <c r="R33" s="356" t="n"/>
      <c r="S33" s="356" t="n"/>
      <c r="T33" s="103" t="n"/>
    </row>
    <row r="34">
      <c r="A34" s="81" t="n"/>
      <c r="B34" s="356" t="n"/>
      <c r="C34" s="356" t="n"/>
      <c r="D34" s="356" t="n"/>
      <c r="E34" s="356" t="n"/>
      <c r="F34" s="302">
        <f>IF(OR(D34="",E34=""),"",IF(D34=E34,"No","Yes"))</f>
        <v/>
      </c>
      <c r="G34" s="356" t="n"/>
      <c r="H34" s="356" t="n"/>
      <c r="I34" s="356" t="n"/>
      <c r="J34" s="356" t="n"/>
      <c r="K34" s="302">
        <f>IF(OR(I34="",J34=""),"",J34-I34)</f>
        <v/>
      </c>
      <c r="L34" s="356" t="n"/>
      <c r="M34" s="356" t="n"/>
      <c r="N34" s="356" t="n"/>
      <c r="O34" s="356" t="n"/>
      <c r="P34" s="356" t="n"/>
      <c r="Q34" s="356" t="n"/>
      <c r="R34" s="356" t="n"/>
      <c r="S34" s="356" t="n"/>
      <c r="T34" s="103" t="n"/>
    </row>
    <row r="35">
      <c r="A35" s="81" t="n"/>
      <c r="B35" s="356" t="n"/>
      <c r="C35" s="356" t="n"/>
      <c r="D35" s="356" t="n"/>
      <c r="E35" s="356" t="n"/>
      <c r="F35" s="302">
        <f>IF(OR(D35="",E35=""),"",IF(D35=E35,"No","Yes"))</f>
        <v/>
      </c>
      <c r="G35" s="356" t="n"/>
      <c r="H35" s="356" t="n"/>
      <c r="I35" s="356" t="n"/>
      <c r="J35" s="356" t="n"/>
      <c r="K35" s="302">
        <f>IF(OR(I35="",J35=""),"",J35-I35)</f>
        <v/>
      </c>
      <c r="L35" s="356" t="n"/>
      <c r="M35" s="356" t="n"/>
      <c r="N35" s="356" t="n"/>
      <c r="O35" s="356" t="n"/>
      <c r="P35" s="356" t="n"/>
      <c r="Q35" s="356" t="n"/>
      <c r="R35" s="356" t="n"/>
      <c r="S35" s="356" t="n"/>
      <c r="T35" s="103" t="n"/>
    </row>
    <row r="36">
      <c r="A36" s="81" t="n"/>
      <c r="B36" s="356" t="n"/>
      <c r="C36" s="356" t="n"/>
      <c r="D36" s="356" t="n"/>
      <c r="E36" s="356" t="n"/>
      <c r="F36" s="302">
        <f>IF(OR(D36="",E36=""),"",IF(D36=E36,"No","Yes"))</f>
        <v/>
      </c>
      <c r="G36" s="356" t="n"/>
      <c r="H36" s="356" t="n"/>
      <c r="I36" s="356" t="n"/>
      <c r="J36" s="356" t="n"/>
      <c r="K36" s="302">
        <f>IF(OR(I36="",J36=""),"",J36-I36)</f>
        <v/>
      </c>
      <c r="L36" s="356" t="n"/>
      <c r="M36" s="356" t="n"/>
      <c r="N36" s="356" t="n"/>
      <c r="O36" s="356" t="n"/>
      <c r="P36" s="356" t="n"/>
      <c r="Q36" s="356" t="n"/>
      <c r="R36" s="356" t="n"/>
      <c r="S36" s="356" t="n"/>
      <c r="T36" s="103" t="n"/>
    </row>
    <row r="37">
      <c r="A37" s="81" t="n"/>
      <c r="B37" s="356" t="n"/>
      <c r="C37" s="356" t="n"/>
      <c r="D37" s="356" t="n"/>
      <c r="E37" s="356" t="n"/>
      <c r="F37" s="302">
        <f>IF(OR(D37="",E37=""),"",IF(D37=E37,"No","Yes"))</f>
        <v/>
      </c>
      <c r="G37" s="356" t="n"/>
      <c r="H37" s="356" t="n"/>
      <c r="I37" s="356" t="n"/>
      <c r="J37" s="356" t="n"/>
      <c r="K37" s="302">
        <f>IF(OR(I37="",J37=""),"",J37-I37)</f>
        <v/>
      </c>
      <c r="L37" s="356" t="n"/>
      <c r="M37" s="356" t="n"/>
      <c r="N37" s="356" t="n"/>
      <c r="O37" s="356" t="n"/>
      <c r="P37" s="356" t="n"/>
      <c r="Q37" s="356" t="n"/>
      <c r="R37" s="356" t="n"/>
      <c r="S37" s="356" t="n"/>
      <c r="T37" s="103" t="n"/>
    </row>
    <row r="38">
      <c r="A38" s="81" t="n"/>
      <c r="B38" s="356" t="n"/>
      <c r="C38" s="356" t="n"/>
      <c r="D38" s="356" t="n"/>
      <c r="E38" s="356" t="n"/>
      <c r="F38" s="302">
        <f>IF(OR(D38="",E38=""),"",IF(D38=E38,"No","Yes"))</f>
        <v/>
      </c>
      <c r="G38" s="356" t="n"/>
      <c r="H38" s="356" t="n"/>
      <c r="I38" s="356" t="n"/>
      <c r="J38" s="356" t="n"/>
      <c r="K38" s="302">
        <f>IF(OR(I38="",J38=""),"",J38-I38)</f>
        <v/>
      </c>
      <c r="L38" s="356" t="n"/>
      <c r="M38" s="356" t="n"/>
      <c r="N38" s="356" t="n"/>
      <c r="O38" s="356" t="n"/>
      <c r="P38" s="356" t="n"/>
      <c r="Q38" s="356" t="n"/>
      <c r="R38" s="356" t="n"/>
      <c r="S38" s="356" t="n"/>
      <c r="T38" s="103" t="n"/>
    </row>
    <row r="39">
      <c r="A39" s="81" t="n"/>
      <c r="B39" s="356" t="n"/>
      <c r="C39" s="356" t="n"/>
      <c r="D39" s="356" t="n"/>
      <c r="E39" s="356" t="n"/>
      <c r="F39" s="302">
        <f>IF(OR(D39="",E39=""),"",IF(D39=E39,"No","Yes"))</f>
        <v/>
      </c>
      <c r="G39" s="356" t="n"/>
      <c r="H39" s="356" t="n"/>
      <c r="I39" s="356" t="n"/>
      <c r="J39" s="356" t="n"/>
      <c r="K39" s="302">
        <f>IF(OR(I39="",J39=""),"",J39-I39)</f>
        <v/>
      </c>
      <c r="L39" s="356" t="n"/>
      <c r="M39" s="356" t="n"/>
      <c r="N39" s="356" t="n"/>
      <c r="O39" s="356" t="n"/>
      <c r="P39" s="356" t="n"/>
      <c r="Q39" s="356" t="n"/>
      <c r="R39" s="356" t="n"/>
      <c r="S39" s="356" t="n"/>
      <c r="T39" s="103" t="n"/>
    </row>
    <row r="40">
      <c r="A40" s="81" t="n"/>
      <c r="B40" s="356" t="n"/>
      <c r="C40" s="356" t="n"/>
      <c r="D40" s="356" t="n"/>
      <c r="E40" s="356" t="n"/>
      <c r="F40" s="302">
        <f>IF(OR(D40="",E40=""),"",IF(D40=E40,"No","Yes"))</f>
        <v/>
      </c>
      <c r="G40" s="356" t="n"/>
      <c r="H40" s="356" t="n"/>
      <c r="I40" s="356" t="n"/>
      <c r="J40" s="356" t="n"/>
      <c r="K40" s="302">
        <f>IF(OR(I40="",J40=""),"",J40-I40)</f>
        <v/>
      </c>
      <c r="L40" s="356" t="n"/>
      <c r="M40" s="356" t="n"/>
      <c r="N40" s="356" t="n"/>
      <c r="O40" s="356" t="n"/>
      <c r="P40" s="356" t="n"/>
      <c r="Q40" s="356" t="n"/>
      <c r="R40" s="356" t="n"/>
      <c r="S40" s="356" t="n"/>
      <c r="T40" s="103" t="n"/>
    </row>
    <row r="41">
      <c r="A41" s="81" t="n"/>
      <c r="B41" s="356" t="n"/>
      <c r="C41" s="356" t="n"/>
      <c r="D41" s="356" t="n"/>
      <c r="E41" s="356" t="n"/>
      <c r="F41" s="302">
        <f>IF(OR(D41="",E41=""),"",IF(D41=E41,"No","Yes"))</f>
        <v/>
      </c>
      <c r="G41" s="356" t="n"/>
      <c r="H41" s="356" t="n"/>
      <c r="I41" s="356" t="n"/>
      <c r="J41" s="356" t="n"/>
      <c r="K41" s="302">
        <f>IF(OR(I41="",J41=""),"",J41-I41)</f>
        <v/>
      </c>
      <c r="L41" s="356" t="n"/>
      <c r="M41" s="356" t="n"/>
      <c r="N41" s="356" t="n"/>
      <c r="O41" s="356" t="n"/>
      <c r="P41" s="356" t="n"/>
      <c r="Q41" s="356" t="n"/>
      <c r="R41" s="356" t="n"/>
      <c r="S41" s="356" t="n"/>
      <c r="T41" s="103" t="n"/>
    </row>
    <row r="42">
      <c r="A42" s="81" t="n"/>
      <c r="B42" s="356" t="n"/>
      <c r="C42" s="356" t="n"/>
      <c r="D42" s="356" t="n"/>
      <c r="E42" s="356" t="n"/>
      <c r="F42" s="302">
        <f>IF(OR(D42="",E42=""),"",IF(D42=E42,"No","Yes"))</f>
        <v/>
      </c>
      <c r="G42" s="356" t="n"/>
      <c r="H42" s="356" t="n"/>
      <c r="I42" s="356" t="n"/>
      <c r="J42" s="356" t="n"/>
      <c r="K42" s="302">
        <f>IF(OR(I42="",J42=""),"",J42-I42)</f>
        <v/>
      </c>
      <c r="L42" s="356" t="n"/>
      <c r="M42" s="356" t="n"/>
      <c r="N42" s="356" t="n"/>
      <c r="O42" s="356" t="n"/>
      <c r="P42" s="356" t="n"/>
      <c r="Q42" s="356" t="n"/>
      <c r="R42" s="356" t="n"/>
      <c r="S42" s="356" t="n"/>
      <c r="T42" s="103" t="n"/>
    </row>
    <row r="43">
      <c r="A43" s="81" t="n"/>
      <c r="B43" s="356" t="n"/>
      <c r="C43" s="356" t="n"/>
      <c r="D43" s="356" t="n"/>
      <c r="E43" s="356" t="n"/>
      <c r="F43" s="302">
        <f>IF(OR(D43="",E43=""),"",IF(D43=E43,"No","Yes"))</f>
        <v/>
      </c>
      <c r="G43" s="356" t="n"/>
      <c r="H43" s="356" t="n"/>
      <c r="I43" s="356" t="n"/>
      <c r="J43" s="356" t="n"/>
      <c r="K43" s="302">
        <f>IF(OR(I43="",J43=""),"",J43-I43)</f>
        <v/>
      </c>
      <c r="L43" s="356" t="n"/>
      <c r="M43" s="356" t="n"/>
      <c r="N43" s="356" t="n"/>
      <c r="O43" s="356" t="n"/>
      <c r="P43" s="356" t="n"/>
      <c r="Q43" s="356" t="n"/>
      <c r="R43" s="356" t="n"/>
      <c r="S43" s="356" t="n"/>
      <c r="T43" s="103" t="n"/>
    </row>
    <row r="44">
      <c r="A44" s="81" t="n"/>
      <c r="B44" s="356" t="n"/>
      <c r="C44" s="356" t="n"/>
      <c r="D44" s="356" t="n"/>
      <c r="E44" s="356" t="n"/>
      <c r="F44" s="302">
        <f>IF(OR(D44="",E44=""),"",IF(D44=E44,"No","Yes"))</f>
        <v/>
      </c>
      <c r="G44" s="356" t="n"/>
      <c r="H44" s="356" t="n"/>
      <c r="I44" s="356" t="n"/>
      <c r="J44" s="356" t="n"/>
      <c r="K44" s="302">
        <f>IF(OR(I44="",J44=""),"",J44-I44)</f>
        <v/>
      </c>
      <c r="L44" s="356" t="n"/>
      <c r="M44" s="356" t="n"/>
      <c r="N44" s="356" t="n"/>
      <c r="O44" s="356" t="n"/>
      <c r="P44" s="356" t="n"/>
      <c r="Q44" s="356" t="n"/>
      <c r="R44" s="356" t="n"/>
      <c r="S44" s="356" t="n"/>
      <c r="T44" s="103" t="n"/>
    </row>
    <row r="45">
      <c r="A45" s="81" t="n"/>
      <c r="B45" s="356" t="n"/>
      <c r="C45" s="356" t="n"/>
      <c r="D45" s="356" t="n"/>
      <c r="E45" s="356" t="n"/>
      <c r="F45" s="302">
        <f>IF(OR(D45="",E45=""),"",IF(D45=E45,"No","Yes"))</f>
        <v/>
      </c>
      <c r="G45" s="356" t="n"/>
      <c r="H45" s="356" t="n"/>
      <c r="I45" s="356" t="n"/>
      <c r="J45" s="356" t="n"/>
      <c r="K45" s="302">
        <f>IF(OR(I45="",J45=""),"",J45-I45)</f>
        <v/>
      </c>
      <c r="L45" s="356" t="n"/>
      <c r="M45" s="356" t="n"/>
      <c r="N45" s="356" t="n"/>
      <c r="O45" s="356" t="n"/>
      <c r="P45" s="356" t="n"/>
      <c r="Q45" s="356" t="n"/>
      <c r="R45" s="356" t="n"/>
      <c r="S45" s="356" t="n"/>
      <c r="T45" s="103" t="n"/>
    </row>
    <row r="46">
      <c r="A46" s="81" t="n"/>
      <c r="B46" s="356" t="n"/>
      <c r="C46" s="356" t="n"/>
      <c r="D46" s="356" t="n"/>
      <c r="E46" s="356" t="n"/>
      <c r="F46" s="302">
        <f>IF(OR(D46="",E46=""),"",IF(D46=E46,"No","Yes"))</f>
        <v/>
      </c>
      <c r="G46" s="356" t="n"/>
      <c r="H46" s="356" t="n"/>
      <c r="I46" s="356" t="n"/>
      <c r="J46" s="356" t="n"/>
      <c r="K46" s="302">
        <f>IF(OR(I46="",J46=""),"",J46-I46)</f>
        <v/>
      </c>
      <c r="L46" s="356" t="n"/>
      <c r="M46" s="356" t="n"/>
      <c r="N46" s="356" t="n"/>
      <c r="O46" s="356" t="n"/>
      <c r="P46" s="356" t="n"/>
      <c r="Q46" s="356" t="n"/>
      <c r="R46" s="356" t="n"/>
      <c r="S46" s="356" t="n"/>
      <c r="T46" s="103" t="n"/>
    </row>
    <row r="47">
      <c r="A47" s="81" t="n"/>
      <c r="B47" s="356" t="n"/>
      <c r="C47" s="356" t="n"/>
      <c r="D47" s="356" t="n"/>
      <c r="E47" s="356" t="n"/>
      <c r="F47" s="302">
        <f>IF(OR(D47="",E47=""),"",IF(D47=E47,"No","Yes"))</f>
        <v/>
      </c>
      <c r="G47" s="356" t="n"/>
      <c r="H47" s="356" t="n"/>
      <c r="I47" s="356" t="n"/>
      <c r="J47" s="356" t="n"/>
      <c r="K47" s="302">
        <f>IF(OR(I47="",J47=""),"",J47-I47)</f>
        <v/>
      </c>
      <c r="L47" s="356" t="n"/>
      <c r="M47" s="356" t="n"/>
      <c r="N47" s="356" t="n"/>
      <c r="O47" s="356" t="n"/>
      <c r="P47" s="356" t="n"/>
      <c r="Q47" s="356" t="n"/>
      <c r="R47" s="356" t="n"/>
      <c r="S47" s="356" t="n"/>
      <c r="T47" s="103" t="n"/>
    </row>
    <row r="48">
      <c r="A48" s="81" t="n"/>
      <c r="B48" s="356" t="n"/>
      <c r="C48" s="356" t="n"/>
      <c r="D48" s="356" t="n"/>
      <c r="E48" s="356" t="n"/>
      <c r="F48" s="302">
        <f>IF(OR(D48="",E48=""),"",IF(D48=E48,"No","Yes"))</f>
        <v/>
      </c>
      <c r="G48" s="356" t="n"/>
      <c r="H48" s="356" t="n"/>
      <c r="I48" s="356" t="n"/>
      <c r="J48" s="356" t="n"/>
      <c r="K48" s="302">
        <f>IF(OR(I48="",J48=""),"",J48-I48)</f>
        <v/>
      </c>
      <c r="L48" s="356" t="n"/>
      <c r="M48" s="356" t="n"/>
      <c r="N48" s="356" t="n"/>
      <c r="O48" s="356" t="n"/>
      <c r="P48" s="356" t="n"/>
      <c r="Q48" s="356" t="n"/>
      <c r="R48" s="356" t="n"/>
      <c r="S48" s="356" t="n"/>
      <c r="T48" s="103" t="n"/>
    </row>
    <row r="49">
      <c r="A49" s="81" t="n"/>
      <c r="B49" s="356" t="n"/>
      <c r="C49" s="356" t="n"/>
      <c r="D49" s="356" t="n"/>
      <c r="E49" s="356" t="n"/>
      <c r="F49" s="302">
        <f>IF(OR(D49="",E49=""),"",IF(D49=E49,"No","Yes"))</f>
        <v/>
      </c>
      <c r="G49" s="356" t="n"/>
      <c r="H49" s="356" t="n"/>
      <c r="I49" s="356" t="n"/>
      <c r="J49" s="356" t="n"/>
      <c r="K49" s="302">
        <f>IF(OR(I49="",J49=""),"",J49-I49)</f>
        <v/>
      </c>
      <c r="L49" s="356" t="n"/>
      <c r="M49" s="356" t="n"/>
      <c r="N49" s="356" t="n"/>
      <c r="O49" s="356" t="n"/>
      <c r="P49" s="356" t="n"/>
      <c r="Q49" s="356" t="n"/>
      <c r="R49" s="356" t="n"/>
      <c r="S49" s="356" t="n"/>
      <c r="T49" s="103" t="n"/>
    </row>
    <row r="50">
      <c r="A50" s="81" t="n"/>
      <c r="B50" s="356" t="n"/>
      <c r="C50" s="356" t="n"/>
      <c r="D50" s="356" t="n"/>
      <c r="E50" s="356" t="n"/>
      <c r="F50" s="302">
        <f>IF(OR(D50="",E50=""),"",IF(D50=E50,"No","Yes"))</f>
        <v/>
      </c>
      <c r="G50" s="356" t="n"/>
      <c r="H50" s="356" t="n"/>
      <c r="I50" s="356" t="n"/>
      <c r="J50" s="356" t="n"/>
      <c r="K50" s="302">
        <f>IF(OR(I50="",J50=""),"",J50-I50)</f>
        <v/>
      </c>
      <c r="L50" s="356" t="n"/>
      <c r="M50" s="356" t="n"/>
      <c r="N50" s="356" t="n"/>
      <c r="O50" s="356" t="n"/>
      <c r="P50" s="356" t="n"/>
      <c r="Q50" s="356" t="n"/>
      <c r="R50" s="356" t="n"/>
      <c r="S50" s="356" t="n"/>
      <c r="T50" s="103" t="n"/>
    </row>
    <row r="51">
      <c r="A51" s="81" t="n"/>
      <c r="B51" s="356" t="n"/>
      <c r="C51" s="356" t="n"/>
      <c r="D51" s="356" t="n"/>
      <c r="E51" s="356" t="n"/>
      <c r="F51" s="302">
        <f>IF(OR(D51="",E51=""),"",IF(D51=E51,"No","Yes"))</f>
        <v/>
      </c>
      <c r="G51" s="356" t="n"/>
      <c r="H51" s="356" t="n"/>
      <c r="I51" s="356" t="n"/>
      <c r="J51" s="356" t="n"/>
      <c r="K51" s="302">
        <f>IF(OR(I51="",J51=""),"",J51-I51)</f>
        <v/>
      </c>
      <c r="L51" s="356" t="n"/>
      <c r="M51" s="356" t="n"/>
      <c r="N51" s="356" t="n"/>
      <c r="O51" s="356" t="n"/>
      <c r="P51" s="356" t="n"/>
      <c r="Q51" s="356" t="n"/>
      <c r="R51" s="356" t="n"/>
      <c r="S51" s="356" t="n"/>
      <c r="T51" s="103" t="n"/>
    </row>
    <row r="52">
      <c r="A52" s="81" t="n"/>
      <c r="B52" s="356" t="n"/>
      <c r="C52" s="356" t="n"/>
      <c r="D52" s="356" t="n"/>
      <c r="E52" s="356" t="n"/>
      <c r="F52" s="302">
        <f>IF(OR(D52="",E52=""),"",IF(D52=E52,"No","Yes"))</f>
        <v/>
      </c>
      <c r="G52" s="356" t="n"/>
      <c r="H52" s="356" t="n"/>
      <c r="I52" s="356" t="n"/>
      <c r="J52" s="356" t="n"/>
      <c r="K52" s="302">
        <f>IF(OR(I52="",J52=""),"",J52-I52)</f>
        <v/>
      </c>
      <c r="L52" s="356" t="n"/>
      <c r="M52" s="356" t="n"/>
      <c r="N52" s="356" t="n"/>
      <c r="O52" s="356" t="n"/>
      <c r="P52" s="356" t="n"/>
      <c r="Q52" s="356" t="n"/>
      <c r="R52" s="356" t="n"/>
      <c r="S52" s="356" t="n"/>
      <c r="T52" s="103" t="n"/>
    </row>
    <row r="53">
      <c r="A53" s="81" t="n"/>
      <c r="B53" s="356" t="n"/>
      <c r="C53" s="356" t="n"/>
      <c r="D53" s="356" t="n"/>
      <c r="E53" s="356" t="n"/>
      <c r="F53" s="302">
        <f>IF(OR(D53="",E53=""),"",IF(D53=E53,"No","Yes"))</f>
        <v/>
      </c>
      <c r="G53" s="356" t="n"/>
      <c r="H53" s="356" t="n"/>
      <c r="I53" s="356" t="n"/>
      <c r="J53" s="356" t="n"/>
      <c r="K53" s="302">
        <f>IF(OR(I53="",J53=""),"",J53-I53)</f>
        <v/>
      </c>
      <c r="L53" s="356" t="n"/>
      <c r="M53" s="356" t="n"/>
      <c r="N53" s="356" t="n"/>
      <c r="O53" s="356" t="n"/>
      <c r="P53" s="356" t="n"/>
      <c r="Q53" s="356" t="n"/>
      <c r="R53" s="356" t="n"/>
      <c r="S53" s="356" t="n"/>
      <c r="T53" s="103" t="n"/>
    </row>
    <row r="54">
      <c r="A54" s="81" t="n"/>
      <c r="B54" s="356" t="n"/>
      <c r="C54" s="356" t="n"/>
      <c r="D54" s="356" t="n"/>
      <c r="E54" s="356" t="n"/>
      <c r="F54" s="302">
        <f>IF(OR(D54="",E54=""),"",IF(D54=E54,"No","Yes"))</f>
        <v/>
      </c>
      <c r="G54" s="356" t="n"/>
      <c r="H54" s="356" t="n"/>
      <c r="I54" s="356" t="n"/>
      <c r="J54" s="356" t="n"/>
      <c r="K54" s="302">
        <f>IF(OR(I54="",J54=""),"",J54-I54)</f>
        <v/>
      </c>
      <c r="L54" s="356" t="n"/>
      <c r="M54" s="356" t="n"/>
      <c r="N54" s="356" t="n"/>
      <c r="O54" s="356" t="n"/>
      <c r="P54" s="356" t="n"/>
      <c r="Q54" s="356" t="n"/>
      <c r="R54" s="356" t="n"/>
      <c r="S54" s="356" t="n"/>
      <c r="T54" s="103" t="n"/>
    </row>
    <row r="55">
      <c r="A55" s="81" t="n"/>
      <c r="B55" s="356" t="n"/>
      <c r="C55" s="356" t="n"/>
      <c r="D55" s="356" t="n"/>
      <c r="E55" s="356" t="n"/>
      <c r="F55" s="302">
        <f>IF(OR(D55="",E55=""),"",IF(D55=E55,"No","Yes"))</f>
        <v/>
      </c>
      <c r="G55" s="356" t="n"/>
      <c r="H55" s="356" t="n"/>
      <c r="I55" s="356" t="n"/>
      <c r="J55" s="356" t="n"/>
      <c r="K55" s="302">
        <f>IF(OR(I55="",J55=""),"",J55-I55)</f>
        <v/>
      </c>
      <c r="L55" s="356" t="n"/>
      <c r="M55" s="356" t="n"/>
      <c r="N55" s="356" t="n"/>
      <c r="O55" s="356" t="n"/>
      <c r="P55" s="356" t="n"/>
      <c r="Q55" s="356" t="n"/>
      <c r="R55" s="356" t="n"/>
      <c r="S55" s="356" t="n"/>
      <c r="T55" s="103" t="n"/>
    </row>
    <row r="56">
      <c r="A56" s="81" t="n"/>
      <c r="B56" s="356" t="n"/>
      <c r="C56" s="356" t="n"/>
      <c r="D56" s="356" t="n"/>
      <c r="E56" s="356" t="n"/>
      <c r="F56" s="302">
        <f>IF(OR(D56="",E56=""),"",IF(D56=E56,"No","Yes"))</f>
        <v/>
      </c>
      <c r="G56" s="356" t="n"/>
      <c r="H56" s="356" t="n"/>
      <c r="I56" s="356" t="n"/>
      <c r="J56" s="356" t="n"/>
      <c r="K56" s="302">
        <f>IF(OR(I56="",J56=""),"",J56-I56)</f>
        <v/>
      </c>
      <c r="L56" s="356" t="n"/>
      <c r="M56" s="356" t="n"/>
      <c r="N56" s="356" t="n"/>
      <c r="O56" s="356" t="n"/>
      <c r="P56" s="356" t="n"/>
      <c r="Q56" s="356" t="n"/>
      <c r="R56" s="356" t="n"/>
      <c r="S56" s="356" t="n"/>
      <c r="T56" s="103" t="n"/>
    </row>
    <row r="57">
      <c r="A57" s="81" t="n"/>
      <c r="B57" s="356" t="n"/>
      <c r="C57" s="356" t="n"/>
      <c r="D57" s="356" t="n"/>
      <c r="E57" s="356" t="n"/>
      <c r="F57" s="302">
        <f>IF(OR(D57="",E57=""),"",IF(D57=E57,"No","Yes"))</f>
        <v/>
      </c>
      <c r="G57" s="356" t="n"/>
      <c r="H57" s="356" t="n"/>
      <c r="I57" s="356" t="n"/>
      <c r="J57" s="356" t="n"/>
      <c r="K57" s="302">
        <f>IF(OR(I57="",J57=""),"",J57-I57)</f>
        <v/>
      </c>
      <c r="L57" s="356" t="n"/>
      <c r="M57" s="356" t="n"/>
      <c r="N57" s="356" t="n"/>
      <c r="O57" s="356" t="n"/>
      <c r="P57" s="356" t="n"/>
      <c r="Q57" s="356" t="n"/>
      <c r="R57" s="356" t="n"/>
      <c r="S57" s="356" t="n"/>
      <c r="T57" s="103" t="n"/>
    </row>
    <row r="58">
      <c r="A58" s="81" t="n"/>
      <c r="B58" s="356" t="n"/>
      <c r="C58" s="356" t="n"/>
      <c r="D58" s="356" t="n"/>
      <c r="E58" s="356" t="n"/>
      <c r="F58" s="302">
        <f>IF(OR(D58="",E58=""),"",IF(D58=E58,"No","Yes"))</f>
        <v/>
      </c>
      <c r="G58" s="356" t="n"/>
      <c r="H58" s="356" t="n"/>
      <c r="I58" s="356" t="n"/>
      <c r="J58" s="356" t="n"/>
      <c r="K58" s="302">
        <f>IF(OR(I58="",J58=""),"",J58-I58)</f>
        <v/>
      </c>
      <c r="L58" s="356" t="n"/>
      <c r="M58" s="356" t="n"/>
      <c r="N58" s="356" t="n"/>
      <c r="O58" s="356" t="n"/>
      <c r="P58" s="356" t="n"/>
      <c r="Q58" s="356" t="n"/>
      <c r="R58" s="356" t="n"/>
      <c r="S58" s="356" t="n"/>
      <c r="T58" s="103" t="n"/>
    </row>
    <row r="59">
      <c r="A59" s="81" t="n"/>
      <c r="B59" s="356" t="n"/>
      <c r="C59" s="356" t="n"/>
      <c r="D59" s="356" t="n"/>
      <c r="E59" s="356" t="n"/>
      <c r="F59" s="302">
        <f>IF(OR(D59="",E59=""),"",IF(D59=E59,"No","Yes"))</f>
        <v/>
      </c>
      <c r="G59" s="356" t="n"/>
      <c r="H59" s="356" t="n"/>
      <c r="I59" s="356" t="n"/>
      <c r="J59" s="356" t="n"/>
      <c r="K59" s="302">
        <f>IF(OR(I59="",J59=""),"",J59-I59)</f>
        <v/>
      </c>
      <c r="L59" s="356" t="n"/>
      <c r="M59" s="356" t="n"/>
      <c r="N59" s="356" t="n"/>
      <c r="O59" s="356" t="n"/>
      <c r="P59" s="356" t="n"/>
      <c r="Q59" s="356" t="n"/>
      <c r="R59" s="356" t="n"/>
      <c r="S59" s="356" t="n"/>
      <c r="T59" s="103" t="n"/>
    </row>
    <row r="60">
      <c r="A60" s="83" t="n"/>
      <c r="B60" s="84" t="n"/>
      <c r="C60" s="84" t="n"/>
      <c r="D60" s="84" t="n"/>
      <c r="E60" s="84" t="n"/>
      <c r="F60" s="96">
        <f>IF(OR(D60="",E60=""),"",IF(D60=E60,"No","Yes"))</f>
        <v/>
      </c>
      <c r="G60" s="84" t="n"/>
      <c r="H60" s="84" t="n"/>
      <c r="I60" s="84" t="n"/>
      <c r="J60" s="84" t="n"/>
      <c r="K60" s="96">
        <f>IF(OR(I60="",J60=""),"",J60-I60)</f>
        <v/>
      </c>
      <c r="L60" s="84" t="n"/>
      <c r="M60" s="84" t="n"/>
      <c r="N60" s="84" t="n"/>
      <c r="O60" s="84" t="n"/>
      <c r="P60" s="84" t="n"/>
      <c r="Q60" s="84" t="n"/>
      <c r="R60" s="84" t="n"/>
      <c r="S60" s="84" t="n"/>
      <c r="T60" s="104" t="n"/>
    </row>
    <row r="61">
      <c r="F61">
        <f>IF(OR(D61="",E61=""),"",IF(D61=E61,"No","Yes"))</f>
        <v/>
      </c>
      <c r="K61">
        <f>IF(OR(I61="",J61=""),"",J61-I61)</f>
        <v/>
      </c>
    </row>
    <row r="62">
      <c r="F62">
        <f>IF(OR(D62="",E62=""),"",IF(D62=E62,"No","Yes"))</f>
        <v/>
      </c>
      <c r="K62">
        <f>IF(OR(I62="",J62=""),"",J62-I62)</f>
        <v/>
      </c>
    </row>
    <row r="63">
      <c r="F63">
        <f>IF(OR(D63="",E63=""),"",IF(D63=E63,"No","Yes"))</f>
        <v/>
      </c>
      <c r="K63">
        <f>IF(OR(I63="",J63=""),"",J63-I63)</f>
        <v/>
      </c>
    </row>
    <row r="64">
      <c r="F64">
        <f>IF(OR(D64="",E64=""),"",IF(D64=E64,"No","Yes"))</f>
        <v/>
      </c>
      <c r="K64">
        <f>IF(OR(I64="",J64=""),"",J64-I64)</f>
        <v/>
      </c>
    </row>
    <row r="65">
      <c r="F65">
        <f>IF(OR(D65="",E65=""),"",IF(D65=E65,"No","Yes"))</f>
        <v/>
      </c>
      <c r="K65">
        <f>IF(OR(I65="",J65=""),"",J65-I65)</f>
        <v/>
      </c>
    </row>
    <row r="66">
      <c r="F66">
        <f>IF(OR(D66="",E66=""),"",IF(D66=E66,"No","Yes"))</f>
        <v/>
      </c>
      <c r="K66">
        <f>IF(OR(I66="",J66=""),"",J66-I66)</f>
        <v/>
      </c>
    </row>
    <row r="67">
      <c r="F67">
        <f>IF(OR(D67="",E67=""),"",IF(D67=E67,"No","Yes"))</f>
        <v/>
      </c>
      <c r="K67">
        <f>IF(OR(I67="",J67=""),"",J67-I67)</f>
        <v/>
      </c>
    </row>
    <row r="68">
      <c r="F68">
        <f>IF(OR(D68="",E68=""),"",IF(D68=E68,"No","Yes"))</f>
        <v/>
      </c>
      <c r="K68">
        <f>IF(OR(I68="",J68=""),"",J68-I68)</f>
        <v/>
      </c>
    </row>
    <row r="69">
      <c r="F69">
        <f>IF(OR(D69="",E69=""),"",IF(D69=E69,"No","Yes"))</f>
        <v/>
      </c>
      <c r="K69">
        <f>IF(OR(I69="",J69=""),"",J69-I69)</f>
        <v/>
      </c>
    </row>
    <row r="70">
      <c r="F70">
        <f>IF(OR(D70="",E70=""),"",IF(D70=E70,"No","Yes"))</f>
        <v/>
      </c>
      <c r="K70">
        <f>IF(OR(I70="",J70=""),"",J70-I70)</f>
        <v/>
      </c>
    </row>
    <row r="71">
      <c r="F71">
        <f>IF(OR(D71="",E71=""),"",IF(D71=E71,"No","Yes"))</f>
        <v/>
      </c>
      <c r="K71">
        <f>IF(OR(I71="",J71=""),"",J71-I71)</f>
        <v/>
      </c>
    </row>
    <row r="72">
      <c r="F72">
        <f>IF(OR(D72="",E72=""),"",IF(D72=E72,"No","Yes"))</f>
        <v/>
      </c>
      <c r="K72">
        <f>IF(OR(I72="",J72=""),"",J72-I72)</f>
        <v/>
      </c>
    </row>
    <row r="73">
      <c r="F73">
        <f>IF(OR(D73="",E73=""),"",IF(D73=E73,"No","Yes"))</f>
        <v/>
      </c>
      <c r="K73">
        <f>IF(OR(I73="",J73=""),"",J73-I73)</f>
        <v/>
      </c>
    </row>
    <row r="74">
      <c r="F74">
        <f>IF(OR(D74="",E74=""),"",IF(D74=E74,"No","Yes"))</f>
        <v/>
      </c>
      <c r="K74">
        <f>IF(OR(I74="",J74=""),"",J74-I74)</f>
        <v/>
      </c>
    </row>
    <row r="75">
      <c r="F75">
        <f>IF(OR(D75="",E75=""),"",IF(D75=E75,"No","Yes"))</f>
        <v/>
      </c>
      <c r="K75">
        <f>IF(OR(I75="",J75=""),"",J75-I75)</f>
        <v/>
      </c>
    </row>
    <row r="76">
      <c r="F76">
        <f>IF(OR(D76="",E76=""),"",IF(D76=E76,"No","Yes"))</f>
        <v/>
      </c>
      <c r="K76">
        <f>IF(OR(I76="",J76=""),"",J76-I76)</f>
        <v/>
      </c>
    </row>
    <row r="77">
      <c r="F77">
        <f>IF(OR(D77="",E77=""),"",IF(D77=E77,"No","Yes"))</f>
        <v/>
      </c>
      <c r="K77">
        <f>IF(OR(I77="",J77=""),"",J77-I77)</f>
        <v/>
      </c>
    </row>
    <row r="78">
      <c r="F78">
        <f>IF(OR(D78="",E78=""),"",IF(D78=E78,"No","Yes"))</f>
        <v/>
      </c>
      <c r="K78">
        <f>IF(OR(I78="",J78=""),"",J78-I78)</f>
        <v/>
      </c>
    </row>
    <row r="79">
      <c r="F79">
        <f>IF(OR(D79="",E79=""),"",IF(D79=E79,"No","Yes"))</f>
        <v/>
      </c>
      <c r="K79">
        <f>IF(OR(I79="",J79=""),"",J79-I79)</f>
        <v/>
      </c>
    </row>
    <row r="80">
      <c r="F80">
        <f>IF(OR(D80="",E80=""),"",IF(D80=E80,"No","Yes"))</f>
        <v/>
      </c>
      <c r="K80">
        <f>IF(OR(I80="",J80=""),"",J80-I80)</f>
        <v/>
      </c>
    </row>
    <row r="81">
      <c r="F81">
        <f>IF(OR(D81="",E81=""),"",IF(D81=E81,"No","Yes"))</f>
        <v/>
      </c>
      <c r="K81">
        <f>IF(OR(I81="",J81=""),"",J81-I81)</f>
        <v/>
      </c>
    </row>
    <row r="82">
      <c r="F82">
        <f>IF(OR(D82="",E82=""),"",IF(D82=E82,"No","Yes"))</f>
        <v/>
      </c>
      <c r="K82">
        <f>IF(OR(I82="",J82=""),"",J82-I82)</f>
        <v/>
      </c>
    </row>
    <row r="83">
      <c r="F83">
        <f>IF(OR(D83="",E83=""),"",IF(D83=E83,"No","Yes"))</f>
        <v/>
      </c>
      <c r="K83">
        <f>IF(OR(I83="",J83=""),"",J83-I83)</f>
        <v/>
      </c>
    </row>
    <row r="84">
      <c r="F84">
        <f>IF(OR(D84="",E84=""),"",IF(D84=E84,"No","Yes"))</f>
        <v/>
      </c>
      <c r="K84">
        <f>IF(OR(I84="",J84=""),"",J84-I84)</f>
        <v/>
      </c>
    </row>
    <row r="85">
      <c r="F85">
        <f>IF(OR(D85="",E85=""),"",IF(D85=E85,"No","Yes"))</f>
        <v/>
      </c>
      <c r="K85">
        <f>IF(OR(I85="",J85=""),"",J85-I85)</f>
        <v/>
      </c>
    </row>
    <row r="86">
      <c r="F86">
        <f>IF(OR(D86="",E86=""),"",IF(D86=E86,"No","Yes"))</f>
        <v/>
      </c>
      <c r="K86">
        <f>IF(OR(I86="",J86=""),"",J86-I86)</f>
        <v/>
      </c>
    </row>
    <row r="87">
      <c r="F87">
        <f>IF(OR(D87="",E87=""),"",IF(D87=E87,"No","Yes"))</f>
        <v/>
      </c>
      <c r="K87">
        <f>IF(OR(I87="",J87=""),"",J87-I87)</f>
        <v/>
      </c>
    </row>
    <row r="88">
      <c r="F88">
        <f>IF(OR(D88="",E88=""),"",IF(D88=E88,"No","Yes"))</f>
        <v/>
      </c>
      <c r="K88">
        <f>IF(OR(I88="",J88=""),"",J88-I88)</f>
        <v/>
      </c>
    </row>
    <row r="89">
      <c r="F89">
        <f>IF(OR(D89="",E89=""),"",IF(D89=E89,"No","Yes"))</f>
        <v/>
      </c>
      <c r="K89">
        <f>IF(OR(I89="",J89=""),"",J89-I89)</f>
        <v/>
      </c>
    </row>
    <row r="90">
      <c r="F90">
        <f>IF(OR(D90="",E90=""),"",IF(D90=E90,"No","Yes"))</f>
        <v/>
      </c>
      <c r="K90">
        <f>IF(OR(I90="",J90=""),"",J90-I90)</f>
        <v/>
      </c>
    </row>
    <row r="91">
      <c r="F91">
        <f>IF(OR(D91="",E91=""),"",IF(D91=E91,"No","Yes"))</f>
        <v/>
      </c>
      <c r="K91">
        <f>IF(OR(I91="",J91=""),"",J91-I91)</f>
        <v/>
      </c>
    </row>
    <row r="92">
      <c r="F92">
        <f>IF(OR(D92="",E92=""),"",IF(D92=E92,"No","Yes"))</f>
        <v/>
      </c>
      <c r="K92">
        <f>IF(OR(I92="",J92=""),"",J92-I92)</f>
        <v/>
      </c>
    </row>
    <row r="93">
      <c r="F93">
        <f>IF(OR(D93="",E93=""),"",IF(D93=E93,"No","Yes"))</f>
        <v/>
      </c>
      <c r="K93">
        <f>IF(OR(I93="",J93=""),"",J93-I93)</f>
        <v/>
      </c>
    </row>
    <row r="94">
      <c r="F94">
        <f>IF(OR(D94="",E94=""),"",IF(D94=E94,"No","Yes"))</f>
        <v/>
      </c>
      <c r="K94">
        <f>IF(OR(I94="",J94=""),"",J94-I94)</f>
        <v/>
      </c>
    </row>
    <row r="95">
      <c r="F95">
        <f>IF(OR(D95="",E95=""),"",IF(D95=E95,"No","Yes"))</f>
        <v/>
      </c>
      <c r="K95">
        <f>IF(OR(I95="",J95=""),"",J95-I95)</f>
        <v/>
      </c>
    </row>
    <row r="96">
      <c r="F96">
        <f>IF(OR(D96="",E96=""),"",IF(D96=E96,"No","Yes"))</f>
        <v/>
      </c>
      <c r="K96">
        <f>IF(OR(I96="",J96=""),"",J96-I96)</f>
        <v/>
      </c>
    </row>
    <row r="97">
      <c r="F97">
        <f>IF(OR(D97="",E97=""),"",IF(D97=E97,"No","Yes"))</f>
        <v/>
      </c>
      <c r="K97">
        <f>IF(OR(I97="",J97=""),"",J97-I97)</f>
        <v/>
      </c>
    </row>
    <row r="98">
      <c r="F98">
        <f>IF(OR(D98="",E98=""),"",IF(D98=E98,"No","Yes"))</f>
        <v/>
      </c>
      <c r="K98">
        <f>IF(OR(I98="",J98=""),"",J98-I98)</f>
        <v/>
      </c>
    </row>
    <row r="99">
      <c r="F99">
        <f>IF(OR(D99="",E99=""),"",IF(D99=E99,"No","Yes"))</f>
        <v/>
      </c>
      <c r="K99">
        <f>IF(OR(I99="",J99=""),"",J99-I99)</f>
        <v/>
      </c>
    </row>
    <row r="100">
      <c r="F100">
        <f>IF(OR(D100="",E100=""),"",IF(D100=E100,"No","Yes"))</f>
        <v/>
      </c>
      <c r="K100">
        <f>IF(OR(I100="",J100=""),"",J100-I100)</f>
        <v/>
      </c>
    </row>
    <row r="101">
      <c r="F101">
        <f>IF(OR(D101="",E101=""),"",IF(D101=E101,"No","Yes"))</f>
        <v/>
      </c>
      <c r="K101">
        <f>IF(OR(I101="",J101=""),"",J101-I101)</f>
        <v/>
      </c>
    </row>
    <row r="102">
      <c r="F102">
        <f>IF(OR(D102="",E102=""),"",IF(D102=E102,"No","Yes"))</f>
        <v/>
      </c>
      <c r="K102">
        <f>IF(OR(I102="",J102=""),"",J102-I102)</f>
        <v/>
      </c>
    </row>
    <row r="103">
      <c r="F103">
        <f>IF(OR(D103="",E103=""),"",IF(D103=E103,"No","Yes"))</f>
        <v/>
      </c>
      <c r="K103">
        <f>IF(OR(I103="",J103=""),"",J103-I103)</f>
        <v/>
      </c>
    </row>
    <row r="104">
      <c r="F104">
        <f>IF(OR(D104="",E104=""),"",IF(D104=E104,"No","Yes"))</f>
        <v/>
      </c>
      <c r="K104">
        <f>IF(OR(I104="",J104=""),"",J104-I104)</f>
        <v/>
      </c>
    </row>
    <row r="105">
      <c r="F105">
        <f>IF(OR(D105="",E105=""),"",IF(D105=E105,"No","Yes"))</f>
        <v/>
      </c>
      <c r="K105">
        <f>IF(OR(I105="",J105=""),"",J105-I105)</f>
        <v/>
      </c>
    </row>
    <row r="106">
      <c r="F106">
        <f>IF(OR(D106="",E106=""),"",IF(D106=E106,"No","Yes"))</f>
        <v/>
      </c>
      <c r="K106">
        <f>IF(OR(I106="",J106=""),"",J106-I106)</f>
        <v/>
      </c>
    </row>
    <row r="107">
      <c r="F107">
        <f>IF(OR(D107="",E107=""),"",IF(D107=E107,"No","Yes"))</f>
        <v/>
      </c>
      <c r="K107">
        <f>IF(OR(I107="",J107=""),"",J107-I107)</f>
        <v/>
      </c>
    </row>
    <row r="108">
      <c r="F108">
        <f>IF(OR(D108="",E108=""),"",IF(D108=E108,"No","Yes"))</f>
        <v/>
      </c>
      <c r="K108">
        <f>IF(OR(I108="",J108=""),"",J108-I108)</f>
        <v/>
      </c>
    </row>
    <row r="109">
      <c r="F109">
        <f>IF(OR(D109="",E109=""),"",IF(D109=E109,"No","Yes"))</f>
        <v/>
      </c>
      <c r="K109">
        <f>IF(OR(I109="",J109=""),"",J109-I109)</f>
        <v/>
      </c>
    </row>
    <row r="110">
      <c r="F110">
        <f>IF(OR(D110="",E110=""),"",IF(D110=E110,"No","Yes"))</f>
        <v/>
      </c>
      <c r="K110">
        <f>IF(OR(I110="",J110=""),"",J110-I110)</f>
        <v/>
      </c>
    </row>
    <row r="111">
      <c r="F111">
        <f>IF(OR(D111="",E111=""),"",IF(D111=E111,"No","Yes"))</f>
        <v/>
      </c>
      <c r="K111">
        <f>IF(OR(I111="",J111=""),"",J111-I111)</f>
        <v/>
      </c>
    </row>
    <row r="112">
      <c r="F112">
        <f>IF(OR(D112="",E112=""),"",IF(D112=E112,"No","Yes"))</f>
        <v/>
      </c>
      <c r="K112">
        <f>IF(OR(I112="",J112=""),"",J112-I112)</f>
        <v/>
      </c>
    </row>
    <row r="113">
      <c r="F113">
        <f>IF(OR(D113="",E113=""),"",IF(D113=E113,"No","Yes"))</f>
        <v/>
      </c>
      <c r="K113">
        <f>IF(OR(I113="",J113=""),"",J113-I113)</f>
        <v/>
      </c>
    </row>
    <row r="114">
      <c r="F114">
        <f>IF(OR(D114="",E114=""),"",IF(D114=E114,"No","Yes"))</f>
        <v/>
      </c>
      <c r="K114">
        <f>IF(OR(I114="",J114=""),"",J114-I114)</f>
        <v/>
      </c>
    </row>
    <row r="115">
      <c r="F115">
        <f>IF(OR(D115="",E115=""),"",IF(D115=E115,"No","Yes"))</f>
        <v/>
      </c>
      <c r="K115">
        <f>IF(OR(I115="",J115=""),"",J115-I115)</f>
        <v/>
      </c>
    </row>
    <row r="116">
      <c r="F116">
        <f>IF(OR(D116="",E116=""),"",IF(D116=E116,"No","Yes"))</f>
        <v/>
      </c>
      <c r="K116">
        <f>IF(OR(I116="",J116=""),"",J116-I116)</f>
        <v/>
      </c>
    </row>
    <row r="117">
      <c r="F117">
        <f>IF(OR(D117="",E117=""),"",IF(D117=E117,"No","Yes"))</f>
        <v/>
      </c>
      <c r="K117">
        <f>IF(OR(I117="",J117=""),"",J117-I117)</f>
        <v/>
      </c>
    </row>
    <row r="118">
      <c r="F118">
        <f>IF(OR(D118="",E118=""),"",IF(D118=E118,"No","Yes"))</f>
        <v/>
      </c>
      <c r="K118">
        <f>IF(OR(I118="",J118=""),"",J118-I118)</f>
        <v/>
      </c>
    </row>
    <row r="119">
      <c r="F119">
        <f>IF(OR(D119="",E119=""),"",IF(D119=E119,"No","Yes"))</f>
        <v/>
      </c>
      <c r="K119">
        <f>IF(OR(I119="",J119=""),"",J119-I119)</f>
        <v/>
      </c>
    </row>
    <row r="120">
      <c r="F120">
        <f>IF(OR(D120="",E120=""),"",IF(D120=E120,"No","Yes"))</f>
        <v/>
      </c>
      <c r="K120">
        <f>IF(OR(I120="",J120=""),"",J120-I120)</f>
        <v/>
      </c>
    </row>
    <row r="121">
      <c r="F121">
        <f>IF(OR(D121="",E121=""),"",IF(D121=E121,"No","Yes"))</f>
        <v/>
      </c>
      <c r="K121">
        <f>IF(OR(I121="",J121=""),"",J121-I121)</f>
        <v/>
      </c>
    </row>
    <row r="122">
      <c r="F122">
        <f>IF(OR(D122="",E122=""),"",IF(D122=E122,"No","Yes"))</f>
        <v/>
      </c>
      <c r="K122">
        <f>IF(OR(I122="",J122=""),"",J122-I122)</f>
        <v/>
      </c>
    </row>
    <row r="123">
      <c r="F123">
        <f>IF(OR(D123="",E123=""),"",IF(D123=E123,"No","Yes"))</f>
        <v/>
      </c>
      <c r="K123">
        <f>IF(OR(I123="",J123=""),"",J123-I123)</f>
        <v/>
      </c>
    </row>
    <row r="124">
      <c r="F124">
        <f>IF(OR(D124="",E124=""),"",IF(D124=E124,"No","Yes"))</f>
        <v/>
      </c>
      <c r="K124">
        <f>IF(OR(I124="",J124=""),"",J124-I124)</f>
        <v/>
      </c>
    </row>
    <row r="125">
      <c r="F125">
        <f>IF(OR(D125="",E125=""),"",IF(D125=E125,"No","Yes"))</f>
        <v/>
      </c>
      <c r="K125">
        <f>IF(OR(I125="",J125=""),"",J125-I125)</f>
        <v/>
      </c>
    </row>
    <row r="126">
      <c r="F126">
        <f>IF(OR(D126="",E126=""),"",IF(D126=E126,"No","Yes"))</f>
        <v/>
      </c>
      <c r="K126">
        <f>IF(OR(I126="",J126=""),"",J126-I126)</f>
        <v/>
      </c>
    </row>
    <row r="127">
      <c r="F127">
        <f>IF(OR(D127="",E127=""),"",IF(D127=E127,"No","Yes"))</f>
        <v/>
      </c>
      <c r="K127">
        <f>IF(OR(I127="",J127=""),"",J127-I127)</f>
        <v/>
      </c>
    </row>
    <row r="128">
      <c r="F128">
        <f>IF(OR(D128="",E128=""),"",IF(D128=E128,"No","Yes"))</f>
        <v/>
      </c>
      <c r="K128">
        <f>IF(OR(I128="",J128=""),"",J128-I128)</f>
        <v/>
      </c>
    </row>
    <row r="129">
      <c r="F129">
        <f>IF(OR(D129="",E129=""),"",IF(D129=E129,"No","Yes"))</f>
        <v/>
      </c>
      <c r="K129">
        <f>IF(OR(I129="",J129=""),"",J129-I129)</f>
        <v/>
      </c>
    </row>
    <row r="130">
      <c r="F130">
        <f>IF(OR(D130="",E130=""),"",IF(D130=E130,"No","Yes"))</f>
        <v/>
      </c>
      <c r="K130">
        <f>IF(OR(I130="",J130=""),"",J130-I130)</f>
        <v/>
      </c>
    </row>
    <row r="131">
      <c r="F131">
        <f>IF(OR(D131="",E131=""),"",IF(D131=E131,"No","Yes"))</f>
        <v/>
      </c>
      <c r="K131">
        <f>IF(OR(I131="",J131=""),"",J131-I131)</f>
        <v/>
      </c>
    </row>
    <row r="132">
      <c r="F132">
        <f>IF(OR(D132="",E132=""),"",IF(D132=E132,"No","Yes"))</f>
        <v/>
      </c>
      <c r="K132">
        <f>IF(OR(I132="",J132=""),"",J132-I132)</f>
        <v/>
      </c>
    </row>
    <row r="133">
      <c r="F133">
        <f>IF(OR(D133="",E133=""),"",IF(D133=E133,"No","Yes"))</f>
        <v/>
      </c>
      <c r="K133">
        <f>IF(OR(I133="",J133=""),"",J133-I133)</f>
        <v/>
      </c>
    </row>
    <row r="134">
      <c r="F134">
        <f>IF(OR(D134="",E134=""),"",IF(D134=E134,"No","Yes"))</f>
        <v/>
      </c>
      <c r="K134">
        <f>IF(OR(I134="",J134=""),"",J134-I134)</f>
        <v/>
      </c>
    </row>
    <row r="135">
      <c r="F135">
        <f>IF(OR(D135="",E135=""),"",IF(D135=E135,"No","Yes"))</f>
        <v/>
      </c>
      <c r="K135">
        <f>IF(OR(I135="",J135=""),"",J135-I135)</f>
        <v/>
      </c>
    </row>
    <row r="136">
      <c r="F136">
        <f>IF(OR(D136="",E136=""),"",IF(D136=E136,"No","Yes"))</f>
        <v/>
      </c>
      <c r="K136">
        <f>IF(OR(I136="",J136=""),"",J136-I136)</f>
        <v/>
      </c>
    </row>
    <row r="137">
      <c r="F137">
        <f>IF(OR(D137="",E137=""),"",IF(D137=E137,"No","Yes"))</f>
        <v/>
      </c>
      <c r="K137">
        <f>IF(OR(I137="",J137=""),"",J137-I137)</f>
        <v/>
      </c>
    </row>
    <row r="138">
      <c r="F138">
        <f>IF(OR(D138="",E138=""),"",IF(D138=E138,"No","Yes"))</f>
        <v/>
      </c>
      <c r="K138">
        <f>IF(OR(I138="",J138=""),"",J138-I138)</f>
        <v/>
      </c>
    </row>
    <row r="139">
      <c r="F139">
        <f>IF(OR(D139="",E139=""),"",IF(D139=E139,"No","Yes"))</f>
        <v/>
      </c>
      <c r="K139">
        <f>IF(OR(I139="",J139=""),"",J139-I139)</f>
        <v/>
      </c>
    </row>
    <row r="140">
      <c r="F140">
        <f>IF(OR(D140="",E140=""),"",IF(D140=E140,"No","Yes"))</f>
        <v/>
      </c>
      <c r="K140">
        <f>IF(OR(I140="",J140=""),"",J140-I140)</f>
        <v/>
      </c>
    </row>
    <row r="141">
      <c r="F141">
        <f>IF(OR(D141="",E141=""),"",IF(D141=E141,"No","Yes"))</f>
        <v/>
      </c>
      <c r="K141">
        <f>IF(OR(I141="",J141=""),"",J141-I141)</f>
        <v/>
      </c>
    </row>
    <row r="142">
      <c r="F142">
        <f>IF(OR(D142="",E142=""),"",IF(D142=E142,"No","Yes"))</f>
        <v/>
      </c>
      <c r="K142">
        <f>IF(OR(I142="",J142=""),"",J142-I142)</f>
        <v/>
      </c>
    </row>
    <row r="143">
      <c r="F143">
        <f>IF(OR(D143="",E143=""),"",IF(D143=E143,"No","Yes"))</f>
        <v/>
      </c>
      <c r="K143">
        <f>IF(OR(I143="",J143=""),"",J143-I143)</f>
        <v/>
      </c>
    </row>
    <row r="144">
      <c r="F144">
        <f>IF(OR(D144="",E144=""),"",IF(D144=E144,"No","Yes"))</f>
        <v/>
      </c>
      <c r="K144">
        <f>IF(OR(I144="",J144=""),"",J144-I144)</f>
        <v/>
      </c>
    </row>
    <row r="145">
      <c r="F145">
        <f>IF(OR(D145="",E145=""),"",IF(D145=E145,"No","Yes"))</f>
        <v/>
      </c>
      <c r="K145">
        <f>IF(OR(I145="",J145=""),"",J145-I145)</f>
        <v/>
      </c>
    </row>
    <row r="146">
      <c r="F146">
        <f>IF(OR(D146="",E146=""),"",IF(D146=E146,"No","Yes"))</f>
        <v/>
      </c>
      <c r="K146">
        <f>IF(OR(I146="",J146=""),"",J146-I146)</f>
        <v/>
      </c>
    </row>
    <row r="147">
      <c r="F147">
        <f>IF(OR(D147="",E147=""),"",IF(D147=E147,"No","Yes"))</f>
        <v/>
      </c>
      <c r="K147">
        <f>IF(OR(I147="",J147=""),"",J147-I147)</f>
        <v/>
      </c>
    </row>
    <row r="148">
      <c r="F148">
        <f>IF(OR(D148="",E148=""),"",IF(D148=E148,"No","Yes"))</f>
        <v/>
      </c>
      <c r="K148">
        <f>IF(OR(I148="",J148=""),"",J148-I148)</f>
        <v/>
      </c>
    </row>
    <row r="149">
      <c r="F149">
        <f>IF(OR(D149="",E149=""),"",IF(D149=E149,"No","Yes"))</f>
        <v/>
      </c>
      <c r="K149">
        <f>IF(OR(I149="",J149=""),"",J149-I149)</f>
        <v/>
      </c>
    </row>
    <row r="150">
      <c r="F150">
        <f>IF(OR(D150="",E150=""),"",IF(D150=E150,"No","Yes"))</f>
        <v/>
      </c>
      <c r="K150">
        <f>IF(OR(I150="",J150=""),"",J150-I150)</f>
        <v/>
      </c>
    </row>
    <row r="151">
      <c r="F151">
        <f>IF(OR(D151="",E151=""),"",IF(D151=E151,"No","Yes"))</f>
        <v/>
      </c>
      <c r="K151">
        <f>IF(OR(I151="",J151=""),"",J151-I151)</f>
        <v/>
      </c>
    </row>
    <row r="152">
      <c r="F152">
        <f>IF(OR(D152="",E152=""),"",IF(D152=E152,"No","Yes"))</f>
        <v/>
      </c>
      <c r="K152">
        <f>IF(OR(I152="",J152=""),"",J152-I152)</f>
        <v/>
      </c>
    </row>
    <row r="153">
      <c r="F153">
        <f>IF(OR(D153="",E153=""),"",IF(D153=E153,"No","Yes"))</f>
        <v/>
      </c>
      <c r="K153">
        <f>IF(OR(I153="",J153=""),"",J153-I153)</f>
        <v/>
      </c>
    </row>
    <row r="154">
      <c r="F154">
        <f>IF(OR(D154="",E154=""),"",IF(D154=E154,"No","Yes"))</f>
        <v/>
      </c>
      <c r="K154">
        <f>IF(OR(I154="",J154=""),"",J154-I154)</f>
        <v/>
      </c>
    </row>
    <row r="155">
      <c r="F155">
        <f>IF(OR(D155="",E155=""),"",IF(D155=E155,"No","Yes"))</f>
        <v/>
      </c>
      <c r="K155">
        <f>IF(OR(I155="",J155=""),"",J155-I155)</f>
        <v/>
      </c>
    </row>
    <row r="156">
      <c r="F156">
        <f>IF(OR(D156="",E156=""),"",IF(D156=E156,"No","Yes"))</f>
        <v/>
      </c>
      <c r="K156">
        <f>IF(OR(I156="",J156=""),"",J156-I156)</f>
        <v/>
      </c>
    </row>
    <row r="157">
      <c r="F157">
        <f>IF(OR(D157="",E157=""),"",IF(D157=E157,"No","Yes"))</f>
        <v/>
      </c>
      <c r="K157">
        <f>IF(OR(I157="",J157=""),"",J157-I157)</f>
        <v/>
      </c>
    </row>
    <row r="158">
      <c r="F158">
        <f>IF(OR(D158="",E158=""),"",IF(D158=E158,"No","Yes"))</f>
        <v/>
      </c>
      <c r="K158">
        <f>IF(OR(I158="",J158=""),"",J158-I158)</f>
        <v/>
      </c>
    </row>
    <row r="159">
      <c r="F159">
        <f>IF(OR(D159="",E159=""),"",IF(D159=E159,"No","Yes"))</f>
        <v/>
      </c>
      <c r="K159">
        <f>IF(OR(I159="",J159=""),"",J159-I159)</f>
        <v/>
      </c>
    </row>
    <row r="160">
      <c r="F160">
        <f>IF(OR(D160="",E160=""),"",IF(D160=E160,"No","Yes"))</f>
        <v/>
      </c>
      <c r="K160">
        <f>IF(OR(I160="",J160=""),"",J160-I160)</f>
        <v/>
      </c>
    </row>
    <row r="161">
      <c r="F161">
        <f>IF(OR(D161="",E161=""),"",IF(D161=E161,"No","Yes"))</f>
        <v/>
      </c>
      <c r="K161">
        <f>IF(OR(I161="",J161=""),"",J161-I161)</f>
        <v/>
      </c>
    </row>
    <row r="162">
      <c r="F162">
        <f>IF(OR(D162="",E162=""),"",IF(D162=E162,"No","Yes"))</f>
        <v/>
      </c>
      <c r="K162">
        <f>IF(OR(I162="",J162=""),"",J162-I162)</f>
        <v/>
      </c>
    </row>
    <row r="163">
      <c r="F163">
        <f>IF(OR(D163="",E163=""),"",IF(D163=E163,"No","Yes"))</f>
        <v/>
      </c>
      <c r="K163">
        <f>IF(OR(I163="",J163=""),"",J163-I163)</f>
        <v/>
      </c>
    </row>
    <row r="164">
      <c r="F164">
        <f>IF(OR(D164="",E164=""),"",IF(D164=E164,"No","Yes"))</f>
        <v/>
      </c>
      <c r="K164">
        <f>IF(OR(I164="",J164=""),"",J164-I164)</f>
        <v/>
      </c>
    </row>
    <row r="165">
      <c r="F165">
        <f>IF(OR(D165="",E165=""),"",IF(D165=E165,"No","Yes"))</f>
        <v/>
      </c>
      <c r="K165">
        <f>IF(OR(I165="",J165=""),"",J165-I165)</f>
        <v/>
      </c>
    </row>
    <row r="166">
      <c r="F166">
        <f>IF(OR(D166="",E166=""),"",IF(D166=E166,"No","Yes"))</f>
        <v/>
      </c>
      <c r="K166">
        <f>IF(OR(I166="",J166=""),"",J166-I166)</f>
        <v/>
      </c>
    </row>
    <row r="167">
      <c r="F167">
        <f>IF(OR(D167="",E167=""),"",IF(D167=E167,"No","Yes"))</f>
        <v/>
      </c>
      <c r="K167">
        <f>IF(OR(I167="",J167=""),"",J167-I167)</f>
        <v/>
      </c>
    </row>
    <row r="168">
      <c r="F168">
        <f>IF(OR(D168="",E168=""),"",IF(D168=E168,"No","Yes"))</f>
        <v/>
      </c>
      <c r="K168">
        <f>IF(OR(I168="",J168=""),"",J168-I168)</f>
        <v/>
      </c>
    </row>
    <row r="169">
      <c r="F169">
        <f>IF(OR(D169="",E169=""),"",IF(D169=E169,"No","Yes"))</f>
        <v/>
      </c>
      <c r="K169">
        <f>IF(OR(I169="",J169=""),"",J169-I169)</f>
        <v/>
      </c>
    </row>
    <row r="170">
      <c r="F170">
        <f>IF(OR(D170="",E170=""),"",IF(D170=E170,"No","Yes"))</f>
        <v/>
      </c>
      <c r="K170">
        <f>IF(OR(I170="",J170=""),"",J170-I170)</f>
        <v/>
      </c>
    </row>
    <row r="171">
      <c r="F171">
        <f>IF(OR(D171="",E171=""),"",IF(D171=E171,"No","Yes"))</f>
        <v/>
      </c>
      <c r="K171">
        <f>IF(OR(I171="",J171=""),"",J171-I171)</f>
        <v/>
      </c>
    </row>
    <row r="172">
      <c r="F172">
        <f>IF(OR(D172="",E172=""),"",IF(D172=E172,"No","Yes"))</f>
        <v/>
      </c>
      <c r="K172">
        <f>IF(OR(I172="",J172=""),"",J172-I172)</f>
        <v/>
      </c>
    </row>
    <row r="173">
      <c r="F173">
        <f>IF(OR(D173="",E173=""),"",IF(D173=E173,"No","Yes"))</f>
        <v/>
      </c>
      <c r="K173">
        <f>IF(OR(I173="",J173=""),"",J173-I173)</f>
        <v/>
      </c>
    </row>
    <row r="174">
      <c r="F174">
        <f>IF(OR(D174="",E174=""),"",IF(D174=E174,"No","Yes"))</f>
        <v/>
      </c>
      <c r="K174">
        <f>IF(OR(I174="",J174=""),"",J174-I174)</f>
        <v/>
      </c>
    </row>
    <row r="175">
      <c r="F175">
        <f>IF(OR(D175="",E175=""),"",IF(D175=E175,"No","Yes"))</f>
        <v/>
      </c>
      <c r="K175">
        <f>IF(OR(I175="",J175=""),"",J175-I175)</f>
        <v/>
      </c>
    </row>
    <row r="176">
      <c r="F176">
        <f>IF(OR(D176="",E176=""),"",IF(D176=E176,"No","Yes"))</f>
        <v/>
      </c>
      <c r="K176">
        <f>IF(OR(I176="",J176=""),"",J176-I176)</f>
        <v/>
      </c>
    </row>
    <row r="177">
      <c r="F177">
        <f>IF(OR(D177="",E177=""),"",IF(D177=E177,"No","Yes"))</f>
        <v/>
      </c>
      <c r="K177">
        <f>IF(OR(I177="",J177=""),"",J177-I177)</f>
        <v/>
      </c>
    </row>
    <row r="178">
      <c r="F178">
        <f>IF(OR(D178="",E178=""),"",IF(D178=E178,"No","Yes"))</f>
        <v/>
      </c>
      <c r="K178">
        <f>IF(OR(I178="",J178=""),"",J178-I178)</f>
        <v/>
      </c>
    </row>
    <row r="179">
      <c r="F179">
        <f>IF(OR(D179="",E179=""),"",IF(D179=E179,"No","Yes"))</f>
        <v/>
      </c>
      <c r="K179">
        <f>IF(OR(I179="",J179=""),"",J179-I179)</f>
        <v/>
      </c>
    </row>
    <row r="180">
      <c r="F180">
        <f>IF(OR(D180="",E180=""),"",IF(D180=E180,"No","Yes"))</f>
        <v/>
      </c>
      <c r="K180">
        <f>IF(OR(I180="",J180=""),"",J180-I180)</f>
        <v/>
      </c>
    </row>
    <row r="181">
      <c r="F181">
        <f>IF(OR(D181="",E181=""),"",IF(D181=E181,"No","Yes"))</f>
        <v/>
      </c>
      <c r="K181">
        <f>IF(OR(I181="",J181=""),"",J181-I181)</f>
        <v/>
      </c>
    </row>
    <row r="182">
      <c r="F182">
        <f>IF(OR(D182="",E182=""),"",IF(D182=E182,"No","Yes"))</f>
        <v/>
      </c>
      <c r="K182">
        <f>IF(OR(I182="",J182=""),"",J182-I182)</f>
        <v/>
      </c>
    </row>
    <row r="183">
      <c r="F183">
        <f>IF(OR(D183="",E183=""),"",IF(D183=E183,"No","Yes"))</f>
        <v/>
      </c>
      <c r="K183">
        <f>IF(OR(I183="",J183=""),"",J183-I183)</f>
        <v/>
      </c>
    </row>
    <row r="184">
      <c r="F184">
        <f>IF(OR(D184="",E184=""),"",IF(D184=E184,"No","Yes"))</f>
        <v/>
      </c>
      <c r="K184">
        <f>IF(OR(I184="",J184=""),"",J184-I184)</f>
        <v/>
      </c>
    </row>
    <row r="185">
      <c r="F185">
        <f>IF(OR(D185="",E185=""),"",IF(D185=E185,"No","Yes"))</f>
        <v/>
      </c>
      <c r="K185">
        <f>IF(OR(I185="",J185=""),"",J185-I185)</f>
        <v/>
      </c>
    </row>
    <row r="186">
      <c r="F186">
        <f>IF(OR(D186="",E186=""),"",IF(D186=E186,"No","Yes"))</f>
        <v/>
      </c>
      <c r="K186">
        <f>IF(OR(I186="",J186=""),"",J186-I186)</f>
        <v/>
      </c>
    </row>
    <row r="187">
      <c r="F187">
        <f>IF(OR(D187="",E187=""),"",IF(D187=E187,"No","Yes"))</f>
        <v/>
      </c>
      <c r="K187">
        <f>IF(OR(I187="",J187=""),"",J187-I187)</f>
        <v/>
      </c>
    </row>
    <row r="188">
      <c r="F188">
        <f>IF(OR(D188="",E188=""),"",IF(D188=E188,"No","Yes"))</f>
        <v/>
      </c>
      <c r="K188">
        <f>IF(OR(I188="",J188=""),"",J188-I188)</f>
        <v/>
      </c>
    </row>
    <row r="189">
      <c r="F189">
        <f>IF(OR(D189="",E189=""),"",IF(D189=E189,"No","Yes"))</f>
        <v/>
      </c>
      <c r="K189">
        <f>IF(OR(I189="",J189=""),"",J189-I189)</f>
        <v/>
      </c>
    </row>
    <row r="190">
      <c r="F190">
        <f>IF(OR(D190="",E190=""),"",IF(D190=E190,"No","Yes"))</f>
        <v/>
      </c>
      <c r="K190">
        <f>IF(OR(I190="",J190=""),"",J190-I190)</f>
        <v/>
      </c>
    </row>
    <row r="191">
      <c r="F191">
        <f>IF(OR(D191="",E191=""),"",IF(D191=E191,"No","Yes"))</f>
        <v/>
      </c>
      <c r="K191">
        <f>IF(OR(I191="",J191=""),"",J191-I191)</f>
        <v/>
      </c>
    </row>
    <row r="192">
      <c r="F192">
        <f>IF(OR(D192="",E192=""),"",IF(D192=E192,"No","Yes"))</f>
        <v/>
      </c>
      <c r="K192">
        <f>IF(OR(I192="",J192=""),"",J192-I192)</f>
        <v/>
      </c>
    </row>
    <row r="193">
      <c r="F193">
        <f>IF(OR(D193="",E193=""),"",IF(D193=E193,"No","Yes"))</f>
        <v/>
      </c>
      <c r="K193">
        <f>IF(OR(I193="",J193=""),"",J193-I193)</f>
        <v/>
      </c>
    </row>
    <row r="194">
      <c r="F194">
        <f>IF(OR(D194="",E194=""),"",IF(D194=E194,"No","Yes"))</f>
        <v/>
      </c>
      <c r="K194">
        <f>IF(OR(I194="",J194=""),"",J194-I194)</f>
        <v/>
      </c>
    </row>
    <row r="195">
      <c r="F195">
        <f>IF(OR(D195="",E195=""),"",IF(D195=E195,"No","Yes"))</f>
        <v/>
      </c>
      <c r="K195">
        <f>IF(OR(I195="",J195=""),"",J195-I195)</f>
        <v/>
      </c>
    </row>
    <row r="196">
      <c r="F196">
        <f>IF(OR(D196="",E196=""),"",IF(D196=E196,"No","Yes"))</f>
        <v/>
      </c>
      <c r="K196">
        <f>IF(OR(I196="",J196=""),"",J196-I196)</f>
        <v/>
      </c>
    </row>
    <row r="197">
      <c r="F197">
        <f>IF(OR(D197="",E197=""),"",IF(D197=E197,"No","Yes"))</f>
        <v/>
      </c>
      <c r="K197">
        <f>IF(OR(I197="",J197=""),"",J197-I197)</f>
        <v/>
      </c>
    </row>
    <row r="198">
      <c r="F198">
        <f>IF(OR(D198="",E198=""),"",IF(D198=E198,"No","Yes"))</f>
        <v/>
      </c>
      <c r="K198">
        <f>IF(OR(I198="",J198=""),"",J198-I198)</f>
        <v/>
      </c>
    </row>
    <row r="199">
      <c r="F199">
        <f>IF(OR(D199="",E199=""),"",IF(D199=E199,"No","Yes"))</f>
        <v/>
      </c>
      <c r="K199">
        <f>IF(OR(I199="",J199=""),"",J199-I199)</f>
        <v/>
      </c>
    </row>
    <row r="200">
      <c r="F200">
        <f>IF(OR(D200="",E200=""),"",IF(D200=E200,"No","Yes"))</f>
        <v/>
      </c>
      <c r="K200">
        <f>IF(OR(I200="",J200=""),"",J200-I200)</f>
        <v/>
      </c>
    </row>
    <row r="201">
      <c r="F201">
        <f>IF(OR(D201="",E201=""),"",IF(D201=E201,"No","Yes"))</f>
        <v/>
      </c>
      <c r="K201">
        <f>IF(OR(I201="",J201=""),"",J201-I201)</f>
        <v/>
      </c>
    </row>
    <row r="202">
      <c r="F202">
        <f>IF(OR(D202="",E202=""),"",IF(D202=E202,"No","Yes"))</f>
        <v/>
      </c>
      <c r="K202">
        <f>IF(OR(I202="",J202=""),"",J202-I202)</f>
        <v/>
      </c>
    </row>
    <row r="203">
      <c r="F203">
        <f>IF(OR(D203="",E203=""),"",IF(D203=E203,"No","Yes"))</f>
        <v/>
      </c>
      <c r="K203">
        <f>IF(OR(I203="",J203=""),"",J203-I203)</f>
        <v/>
      </c>
    </row>
    <row r="204">
      <c r="F204">
        <f>IF(OR(D204="",E204=""),"",IF(D204=E204,"No","Yes"))</f>
        <v/>
      </c>
      <c r="K204">
        <f>IF(OR(I204="",J204=""),"",J204-I204)</f>
        <v/>
      </c>
    </row>
    <row r="205">
      <c r="F205">
        <f>IF(OR(D205="",E205=""),"",IF(D205=E205,"No","Yes"))</f>
        <v/>
      </c>
      <c r="K205">
        <f>IF(OR(I205="",J205=""),"",J205-I205)</f>
        <v/>
      </c>
    </row>
    <row r="206">
      <c r="F206">
        <f>IF(OR(D206="",E206=""),"",IF(D206=E206,"No","Yes"))</f>
        <v/>
      </c>
      <c r="K206">
        <f>IF(OR(I206="",J206=""),"",J206-I206)</f>
        <v/>
      </c>
    </row>
    <row r="207">
      <c r="F207">
        <f>IF(OR(D207="",E207=""),"",IF(D207=E207,"No","Yes"))</f>
        <v/>
      </c>
      <c r="K207">
        <f>IF(OR(I207="",J207=""),"",J207-I207)</f>
        <v/>
      </c>
    </row>
    <row r="208">
      <c r="F208">
        <f>IF(OR(D208="",E208=""),"",IF(D208=E208,"No","Yes"))</f>
        <v/>
      </c>
      <c r="K208">
        <f>IF(OR(I208="",J208=""),"",J208-I208)</f>
        <v/>
      </c>
    </row>
    <row r="209">
      <c r="F209">
        <f>IF(OR(D209="",E209=""),"",IF(D209=E209,"No","Yes"))</f>
        <v/>
      </c>
      <c r="K209">
        <f>IF(OR(I209="",J209=""),"",J209-I209)</f>
        <v/>
      </c>
    </row>
    <row r="210">
      <c r="F210">
        <f>IF(OR(D210="",E210=""),"",IF(D210=E210,"No","Yes"))</f>
        <v/>
      </c>
      <c r="K210">
        <f>IF(OR(I210="",J210=""),"",J210-I210)</f>
        <v/>
      </c>
    </row>
    <row r="211">
      <c r="F211">
        <f>IF(OR(D211="",E211=""),"",IF(D211=E211,"No","Yes"))</f>
        <v/>
      </c>
      <c r="K211">
        <f>IF(OR(I211="",J211=""),"",J211-I211)</f>
        <v/>
      </c>
    </row>
    <row r="212">
      <c r="F212">
        <f>IF(OR(D212="",E212=""),"",IF(D212=E212,"No","Yes"))</f>
        <v/>
      </c>
      <c r="K212">
        <f>IF(OR(I212="",J212=""),"",J212-I212)</f>
        <v/>
      </c>
    </row>
    <row r="213">
      <c r="F213">
        <f>IF(OR(D213="",E213=""),"",IF(D213=E213,"No","Yes"))</f>
        <v/>
      </c>
      <c r="K213">
        <f>IF(OR(I213="",J213=""),"",J213-I213)</f>
        <v/>
      </c>
    </row>
    <row r="214">
      <c r="F214">
        <f>IF(OR(D214="",E214=""),"",IF(D214=E214,"No","Yes"))</f>
        <v/>
      </c>
      <c r="K214">
        <f>IF(OR(I214="",J214=""),"",J214-I214)</f>
        <v/>
      </c>
    </row>
    <row r="215">
      <c r="F215">
        <f>IF(OR(D215="",E215=""),"",IF(D215=E215,"No","Yes"))</f>
        <v/>
      </c>
      <c r="K215">
        <f>IF(OR(I215="",J215=""),"",J215-I215)</f>
        <v/>
      </c>
    </row>
    <row r="216">
      <c r="F216">
        <f>IF(OR(D216="",E216=""),"",IF(D216=E216,"No","Yes"))</f>
        <v/>
      </c>
      <c r="K216">
        <f>IF(OR(I216="",J216=""),"",J216-I216)</f>
        <v/>
      </c>
    </row>
    <row r="217">
      <c r="F217">
        <f>IF(OR(D217="",E217=""),"",IF(D217=E217,"No","Yes"))</f>
        <v/>
      </c>
      <c r="K217">
        <f>IF(OR(I217="",J217=""),"",J217-I217)</f>
        <v/>
      </c>
    </row>
    <row r="218">
      <c r="F218">
        <f>IF(OR(D218="",E218=""),"",IF(D218=E218,"No","Yes"))</f>
        <v/>
      </c>
      <c r="K218">
        <f>IF(OR(I218="",J218=""),"",J218-I218)</f>
        <v/>
      </c>
    </row>
    <row r="219">
      <c r="F219">
        <f>IF(OR(D219="",E219=""),"",IF(D219=E219,"No","Yes"))</f>
        <v/>
      </c>
      <c r="K219">
        <f>IF(OR(I219="",J219=""),"",J219-I219)</f>
        <v/>
      </c>
    </row>
    <row r="220">
      <c r="F220">
        <f>IF(OR(D220="",E220=""),"",IF(D220=E220,"No","Yes"))</f>
        <v/>
      </c>
      <c r="K220">
        <f>IF(OR(I220="",J220=""),"",J220-I220)</f>
        <v/>
      </c>
    </row>
    <row r="221">
      <c r="F221">
        <f>IF(OR(D221="",E221=""),"",IF(D221=E221,"No","Yes"))</f>
        <v/>
      </c>
      <c r="K221">
        <f>IF(OR(I221="",J221=""),"",J221-I221)</f>
        <v/>
      </c>
    </row>
    <row r="222">
      <c r="F222">
        <f>IF(OR(D222="",E222=""),"",IF(D222=E222,"No","Yes"))</f>
        <v/>
      </c>
      <c r="K222">
        <f>IF(OR(I222="",J222=""),"",J222-I222)</f>
        <v/>
      </c>
    </row>
    <row r="223">
      <c r="F223">
        <f>IF(OR(D223="",E223=""),"",IF(D223=E223,"No","Yes"))</f>
        <v/>
      </c>
      <c r="K223">
        <f>IF(OR(I223="",J223=""),"",J223-I223)</f>
        <v/>
      </c>
    </row>
    <row r="224">
      <c r="F224">
        <f>IF(OR(D224="",E224=""),"",IF(D224=E224,"No","Yes"))</f>
        <v/>
      </c>
      <c r="K224">
        <f>IF(OR(I224="",J224=""),"",J224-I224)</f>
        <v/>
      </c>
    </row>
    <row r="225">
      <c r="F225">
        <f>IF(OR(D225="",E225=""),"",IF(D225=E225,"No","Yes"))</f>
        <v/>
      </c>
      <c r="K225">
        <f>IF(OR(I225="",J225=""),"",J225-I225)</f>
        <v/>
      </c>
    </row>
    <row r="226">
      <c r="F226">
        <f>IF(OR(D226="",E226=""),"",IF(D226=E226,"No","Yes"))</f>
        <v/>
      </c>
      <c r="K226">
        <f>IF(OR(I226="",J226=""),"",J226-I226)</f>
        <v/>
      </c>
    </row>
    <row r="227">
      <c r="F227">
        <f>IF(OR(D227="",E227=""),"",IF(D227=E227,"No","Yes"))</f>
        <v/>
      </c>
      <c r="K227">
        <f>IF(OR(I227="",J227=""),"",J227-I227)</f>
        <v/>
      </c>
    </row>
    <row r="228">
      <c r="F228">
        <f>IF(OR(D228="",E228=""),"",IF(D228=E228,"No","Yes"))</f>
        <v/>
      </c>
      <c r="K228">
        <f>IF(OR(I228="",J228=""),"",J228-I228)</f>
        <v/>
      </c>
    </row>
    <row r="229">
      <c r="F229">
        <f>IF(OR(D229="",E229=""),"",IF(D229=E229,"No","Yes"))</f>
        <v/>
      </c>
      <c r="K229">
        <f>IF(OR(I229="",J229=""),"",J229-I229)</f>
        <v/>
      </c>
    </row>
    <row r="230">
      <c r="F230">
        <f>IF(OR(D230="",E230=""),"",IF(D230=E230,"No","Yes"))</f>
        <v/>
      </c>
      <c r="K230">
        <f>IF(OR(I230="",J230=""),"",J230-I230)</f>
        <v/>
      </c>
    </row>
    <row r="231">
      <c r="F231">
        <f>IF(OR(D231="",E231=""),"",IF(D231=E231,"No","Yes"))</f>
        <v/>
      </c>
      <c r="K231">
        <f>IF(OR(I231="",J231=""),"",J231-I231)</f>
        <v/>
      </c>
    </row>
    <row r="232">
      <c r="F232">
        <f>IF(OR(D232="",E232=""),"",IF(D232=E232,"No","Yes"))</f>
        <v/>
      </c>
      <c r="K232">
        <f>IF(OR(I232="",J232=""),"",J232-I232)</f>
        <v/>
      </c>
    </row>
    <row r="233">
      <c r="F233">
        <f>IF(OR(D233="",E233=""),"",IF(D233=E233,"No","Yes"))</f>
        <v/>
      </c>
      <c r="K233">
        <f>IF(OR(I233="",J233=""),"",J233-I233)</f>
        <v/>
      </c>
    </row>
    <row r="234">
      <c r="F234">
        <f>IF(OR(D234="",E234=""),"",IF(D234=E234,"No","Yes"))</f>
        <v/>
      </c>
      <c r="K234">
        <f>IF(OR(I234="",J234=""),"",J234-I234)</f>
        <v/>
      </c>
    </row>
    <row r="235">
      <c r="F235">
        <f>IF(OR(D235="",E235=""),"",IF(D235=E235,"No","Yes"))</f>
        <v/>
      </c>
      <c r="K235">
        <f>IF(OR(I235="",J235=""),"",J235-I235)</f>
        <v/>
      </c>
    </row>
    <row r="236">
      <c r="F236">
        <f>IF(OR(D236="",E236=""),"",IF(D236=E236,"No","Yes"))</f>
        <v/>
      </c>
      <c r="K236">
        <f>IF(OR(I236="",J236=""),"",J236-I236)</f>
        <v/>
      </c>
    </row>
    <row r="237">
      <c r="F237">
        <f>IF(OR(D237="",E237=""),"",IF(D237=E237,"No","Yes"))</f>
        <v/>
      </c>
      <c r="K237">
        <f>IF(OR(I237="",J237=""),"",J237-I237)</f>
        <v/>
      </c>
    </row>
    <row r="238">
      <c r="F238">
        <f>IF(OR(D238="",E238=""),"",IF(D238=E238,"No","Yes"))</f>
        <v/>
      </c>
      <c r="K238">
        <f>IF(OR(I238="",J238=""),"",J238-I238)</f>
        <v/>
      </c>
    </row>
    <row r="239">
      <c r="F239">
        <f>IF(OR(D239="",E239=""),"",IF(D239=E239,"No","Yes"))</f>
        <v/>
      </c>
      <c r="K239">
        <f>IF(OR(I239="",J239=""),"",J239-I239)</f>
        <v/>
      </c>
    </row>
    <row r="240">
      <c r="F240">
        <f>IF(OR(D240="",E240=""),"",IF(D240=E240,"No","Yes"))</f>
        <v/>
      </c>
      <c r="K240">
        <f>IF(OR(I240="",J240=""),"",J240-I240)</f>
        <v/>
      </c>
    </row>
    <row r="241">
      <c r="F241">
        <f>IF(OR(D241="",E241=""),"",IF(D241=E241,"No","Yes"))</f>
        <v/>
      </c>
      <c r="K241">
        <f>IF(OR(I241="",J241=""),"",J241-I241)</f>
        <v/>
      </c>
    </row>
    <row r="242">
      <c r="F242">
        <f>IF(OR(D242="",E242=""),"",IF(D242=E242,"No","Yes"))</f>
        <v/>
      </c>
      <c r="K242">
        <f>IF(OR(I242="",J242=""),"",J242-I242)</f>
        <v/>
      </c>
    </row>
    <row r="243">
      <c r="F243">
        <f>IF(OR(D243="",E243=""),"",IF(D243=E243,"No","Yes"))</f>
        <v/>
      </c>
      <c r="K243">
        <f>IF(OR(I243="",J243=""),"",J243-I243)</f>
        <v/>
      </c>
    </row>
    <row r="244">
      <c r="F244">
        <f>IF(OR(D244="",E244=""),"",IF(D244=E244,"No","Yes"))</f>
        <v/>
      </c>
      <c r="K244">
        <f>IF(OR(I244="",J244=""),"",J244-I244)</f>
        <v/>
      </c>
    </row>
    <row r="245">
      <c r="F245">
        <f>IF(OR(D245="",E245=""),"",IF(D245=E245,"No","Yes"))</f>
        <v/>
      </c>
      <c r="K245">
        <f>IF(OR(I245="",J245=""),"",J245-I245)</f>
        <v/>
      </c>
    </row>
    <row r="246">
      <c r="F246">
        <f>IF(OR(D246="",E246=""),"",IF(D246=E246,"No","Yes"))</f>
        <v/>
      </c>
      <c r="K246">
        <f>IF(OR(I246="",J246=""),"",J246-I246)</f>
        <v/>
      </c>
    </row>
    <row r="247">
      <c r="F247">
        <f>IF(OR(D247="",E247=""),"",IF(D247=E247,"No","Yes"))</f>
        <v/>
      </c>
      <c r="K247">
        <f>IF(OR(I247="",J247=""),"",J247-I247)</f>
        <v/>
      </c>
    </row>
    <row r="248">
      <c r="F248">
        <f>IF(OR(D248="",E248=""),"",IF(D248=E248,"No","Yes"))</f>
        <v/>
      </c>
      <c r="K248">
        <f>IF(OR(I248="",J248=""),"",J248-I248)</f>
        <v/>
      </c>
    </row>
    <row r="249">
      <c r="F249">
        <f>IF(OR(D249="",E249=""),"",IF(D249=E249,"No","Yes"))</f>
        <v/>
      </c>
      <c r="K249">
        <f>IF(OR(I249="",J249=""),"",J249-I249)</f>
        <v/>
      </c>
    </row>
    <row r="250">
      <c r="F250">
        <f>IF(OR(D250="",E250=""),"",IF(D250=E250,"No","Yes"))</f>
        <v/>
      </c>
      <c r="K250">
        <f>IF(OR(I250="",J250=""),"",J250-I250)</f>
        <v/>
      </c>
    </row>
  </sheetData>
  <mergeCells count="1">
    <mergeCell ref="A1:T1"/>
  </mergeCells>
  <conditionalFormatting sqref="P4:P6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4">
    <dataValidation sqref="C4:C60" showDropDown="0" showInputMessage="0" showErrorMessage="1" allowBlank="0" errorTitle="Invalid comparator arm" error="Select an exact controlled value from the Vocabulary sheet." type="list" errorStyle="stop">
      <formula1>INDIRECT("Vocabulary!$AE$5:$AE$10")</formula1>
    </dataValidation>
    <dataValidation sqref="O4:O60" showDropDown="0" showInputMessage="0" showErrorMessage="1" allowBlank="0" errorTitle="Invalid uncertainty-improvement value" error="Select an exact controlled value from the Vocabulary sheet." type="list" errorStyle="stop">
      <formula1>INDIRECT("Vocabulary!$AP$5:$AP$7")</formula1>
    </dataValidation>
    <dataValidation sqref="Q4:Q60" showDropDown="0" showInputMessage="0" showErrorMessage="1" allowBlank="0" errorTitle="Invalid net-value assessment" error="Select an exact controlled value from the Vocabulary sheet." type="list" errorStyle="stop">
      <formula1>INDIRECT("Vocabulary!$AF$5:$AF$8")</formula1>
    </dataValidation>
    <dataValidation sqref="S4:S60" showDropDown="0" showInputMessage="0" showErrorMessage="1" allowBlank="0" errorTitle="Invalid continuation decision" error="Select an exact controlled value from the Vocabulary sheet." type="list" errorStyle="stop">
      <formula1>INDIRECT("Vocabulary!$AG$5:$AG$10")</formula1>
    </dataValidation>
    <dataValidation sqref="G4:G60" showDropDown="0" showInputMessage="0" showErrorMessage="1" allowBlank="0" errorTitle="Confidence out of range" error="Enter a proportion from 0 to 1." type="decimal" errorStyle="stop" operator="between">
      <formula1>0</formula1>
      <formula2>1</formula2>
    </dataValidation>
    <dataValidation sqref="H4:H60" showDropDown="0" showInputMessage="0" showErrorMessage="1" allowBlank="0" errorTitle="Confidence out of range" error="Enter a proportion from 0 to 1." type="decimal" errorStyle="stop" operator="between">
      <formula1>0</formula1>
      <formula2>1</formula2>
    </dataValidation>
    <dataValidation sqref="I4:I60" showDropDown="0" showInputMessage="0" showErrorMessage="1" allowBlank="0" errorTitle="Time value invalid" error="Enter a non-negative number of hours." type="decimal" errorStyle="stop" operator="greaterThanOrEqual">
      <formula1>0</formula1>
    </dataValidation>
    <dataValidation sqref="J4:J60" showDropDown="0" showInputMessage="0" showErrorMessage="1" allowBlank="0" errorTitle="Time value invalid" error="Enter a non-negative number of hours." type="decimal" errorStyle="stop" operator="greaterThanOrEqual">
      <formula1>0</formula1>
    </dataValidation>
    <dataValidation sqref="L4:L60" showDropDown="0" showInputMessage="0" showErrorMessage="1" allowBlank="0" errorTitle="Count invalid" error="Enter a non-negative whole number." type="whole" errorStyle="stop" operator="greaterThanOrEqual">
      <formula1>0</formula1>
    </dataValidation>
    <dataValidation sqref="M4:M60" showDropDown="0" showInputMessage="0" showErrorMessage="1" allowBlank="0" errorTitle="Count invalid" error="Enter a non-negative whole number." type="whole" errorStyle="stop" operator="greaterThanOrEqual">
      <formula1>0</formula1>
    </dataValidation>
    <dataValidation sqref="N4:N60" showDropDown="0" showInputMessage="0" showErrorMessage="1" allowBlank="0" errorTitle="Count invalid" error="Enter a non-negative whole number." type="whole" errorStyle="stop" operator="greaterThanOrEqual">
      <formula1>0</formula1>
    </dataValidation>
    <dataValidation sqref="P4:P60" showDropDown="0" showInputMessage="0" showErrorMessage="1" allowBlank="0" errorTitle="Value out of range" error="Enter a whole-number value from 0 to 10." type="whole" errorStyle="stop" operator="between">
      <formula1>0</formula1>
      <formula2>10</formula2>
    </dataValidation>
    <dataValidation sqref="C4:C250" showDropDown="0" showInputMessage="0" showErrorMessage="1" allowBlank="0" errorTitle="Invalid comparator arm" error="Select an exact controlled value from the Vocabulary sheet." type="list" errorStyle="stop">
      <formula1>INDIRECT("Vocabulary!$AE$5:$AE$10")</formula1>
    </dataValidation>
    <dataValidation sqref="O4:O250" showDropDown="0" showInputMessage="0" showErrorMessage="1" allowBlank="0" errorTitle="Invalid uncertainty-improvement value" error="Select an exact controlled value from the Vocabulary sheet." type="list" errorStyle="stop">
      <formula1>INDIRECT("Vocabulary!$AP$5:$AP$7")</formula1>
    </dataValidation>
    <dataValidation sqref="Q4:Q250" showDropDown="0" showInputMessage="0" showErrorMessage="1" allowBlank="0" errorTitle="Invalid net-value assessment" error="Select an exact controlled value from the Vocabulary sheet." type="list" errorStyle="stop">
      <formula1>INDIRECT("Vocabulary!$AF$5:$AF$8")</formula1>
    </dataValidation>
    <dataValidation sqref="S4:S250" showDropDown="0" showInputMessage="0" showErrorMessage="1" allowBlank="0" errorTitle="Invalid continuation decision" error="Select an exact controlled value from the Vocabulary sheet." type="list" errorStyle="stop">
      <formula1>INDIRECT("Vocabulary!$AG$5:$AG$10")</formula1>
    </dataValidation>
    <dataValidation sqref="G4:G250" showDropDown="0" showInputMessage="0" showErrorMessage="1" allowBlank="0" errorTitle="Confidence out of range" error="Enter a proportion from 0 to 1." type="decimal" errorStyle="stop" operator="between">
      <formula1>0</formula1>
      <formula2>1</formula2>
    </dataValidation>
    <dataValidation sqref="H4:H250" showDropDown="0" showInputMessage="0" showErrorMessage="1" allowBlank="0" errorTitle="Confidence out of range" error="Enter a proportion from 0 to 1." type="decimal" errorStyle="stop" operator="between">
      <formula1>0</formula1>
      <formula2>1</formula2>
    </dataValidation>
    <dataValidation sqref="I4:I250" showDropDown="0" showInputMessage="0" showErrorMessage="1" allowBlank="0" errorTitle="Time value invalid" error="Enter a non-negative number of hours." type="decimal" errorStyle="stop" operator="greaterThanOrEqual">
      <formula1>0</formula1>
    </dataValidation>
    <dataValidation sqref="J4:J250" showDropDown="0" showInputMessage="0" showErrorMessage="1" allowBlank="0" errorTitle="Time value invalid" error="Enter a non-negative number of hours." type="decimal" errorStyle="stop" operator="greaterThanOrEqual">
      <formula1>0</formula1>
    </dataValidation>
    <dataValidation sqref="L4:L250" showDropDown="0" showInputMessage="0" showErrorMessage="1" allowBlank="0" errorTitle="Count invalid" error="Enter a non-negative whole number." type="whole" errorStyle="stop" operator="greaterThanOrEqual">
      <formula1>0</formula1>
    </dataValidation>
    <dataValidation sqref="M4:M250" showDropDown="0" showInputMessage="0" showErrorMessage="1" allowBlank="0" errorTitle="Count invalid" error="Enter a non-negative whole number." type="whole" errorStyle="stop" operator="greaterThanOrEqual">
      <formula1>0</formula1>
    </dataValidation>
    <dataValidation sqref="N4:N250" showDropDown="0" showInputMessage="0" showErrorMessage="1" allowBlank="0" errorTitle="Count invalid" error="Enter a non-negative whole number." type="whole" errorStyle="stop" operator="greaterThanOrEqual">
      <formula1>0</formula1>
    </dataValidation>
    <dataValidation sqref="P4:P250" showDropDown="0" showInputMessage="0" showErrorMessage="1" allowBlank="0" errorTitle="Value out of range" error="Enter a whole-number value from 0 to 10." type="whole" errorStyle="stop" operator="between">
      <formula1>0</formula1>
      <formula2>10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50"/>
  <sheetViews>
    <sheetView workbookViewId="0">
      <selection activeCell="A1" sqref="A1"/>
    </sheetView>
  </sheetViews>
  <sheetFormatPr baseColWidth="8" defaultRowHeight="15"/>
  <cols>
    <col width="18" customWidth="1" style="215" min="1" max="1"/>
    <col width="20" customWidth="1" style="215" min="2" max="2"/>
    <col width="24" customWidth="1" style="215" min="3" max="3"/>
    <col width="16" customWidth="1" style="215" min="4" max="4"/>
    <col width="16" customWidth="1" style="215" min="5" max="5"/>
    <col width="20" customWidth="1" style="215" min="6" max="6"/>
    <col width="20" customWidth="1" style="215" min="7" max="7"/>
    <col width="18" customWidth="1" style="215" min="8" max="8"/>
    <col width="22" customWidth="1" style="215" min="9" max="9"/>
    <col width="18" customWidth="1" style="215" min="10" max="10"/>
    <col width="18" customWidth="1" style="215" min="11" max="11"/>
    <col width="22" customWidth="1" style="215" min="12" max="12"/>
    <col width="22" customWidth="1" style="215" min="13" max="13"/>
    <col width="20" customWidth="1" style="215" min="14" max="14"/>
    <col width="24" customWidth="1" style="215" min="15" max="15"/>
    <col width="16" customWidth="1" style="215" min="16" max="16"/>
    <col width="24" customWidth="1" style="215" min="17" max="17"/>
    <col width="34" customWidth="1" style="215" min="18" max="18"/>
    <col width="22" customWidth="1" style="215" min="19" max="19"/>
    <col width="22" customWidth="1" style="215" min="20" max="20"/>
    <col width="22" customWidth="1" style="215" min="21" max="21"/>
    <col width="22" customWidth="1" style="215" min="22" max="22"/>
    <col width="22" customWidth="1" style="215" min="23" max="23"/>
    <col width="22" customWidth="1" style="215" min="24" max="24"/>
    <col width="22" customWidth="1" style="215" min="25" max="25"/>
    <col width="34" customWidth="1" style="215" min="26" max="26"/>
    <col width="34" customWidth="1" style="215" min="27" max="27"/>
    <col width="28" customWidth="1" style="215" min="28" max="28"/>
    <col width="26" customWidth="1" style="215" min="29" max="29"/>
  </cols>
  <sheetData>
    <row r="1" ht="28" customHeight="1" s="215">
      <c r="A1" s="536" t="inlineStr">
        <is>
          <t>Independent Pre-Discussion Reliability Record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  <c r="U1" s="442" t="n"/>
      <c r="V1" s="442" t="n"/>
      <c r="W1" s="442" t="n"/>
      <c r="X1" s="442" t="n"/>
      <c r="Y1" s="442" t="n"/>
      <c r="Z1" s="442" t="n"/>
      <c r="AA1" s="442" t="n"/>
      <c r="AB1" s="442" t="n"/>
      <c r="AC1" s="442" t="n"/>
    </row>
    <row r="2"/>
    <row r="3" ht="34" customHeight="1" s="215">
      <c r="A3" s="421" t="inlineStr">
        <is>
          <t>Study_ID</t>
        </is>
      </c>
      <c r="B3" s="421" t="inlineStr">
        <is>
          <t>Case_ID</t>
        </is>
      </c>
      <c r="C3" s="421" t="inlineStr">
        <is>
          <t>Criterion_or_Outcome</t>
        </is>
      </c>
      <c r="D3" s="421" t="inlineStr">
        <is>
          <t>Reviewer_A</t>
        </is>
      </c>
      <c r="E3" s="421" t="inlineStr">
        <is>
          <t>Reviewer_B</t>
        </is>
      </c>
      <c r="F3" s="421" t="inlineStr">
        <is>
          <t>Reviewer_A_Rating</t>
        </is>
      </c>
      <c r="G3" s="421" t="inlineStr">
        <is>
          <t>Reviewer_B_Rating</t>
        </is>
      </c>
      <c r="H3" s="421" t="inlineStr">
        <is>
          <t>Exact_Agreement</t>
        </is>
      </c>
      <c r="I3" s="421" t="inlineStr">
        <is>
          <t>Within_One_Category</t>
        </is>
      </c>
      <c r="J3" s="421" t="inlineStr">
        <is>
          <t>A_Confidence</t>
        </is>
      </c>
      <c r="K3" s="421" t="inlineStr">
        <is>
          <t>B_Confidence</t>
        </is>
      </c>
      <c r="L3" s="421" t="inlineStr">
        <is>
          <t>Discussion_Changed_A</t>
        </is>
      </c>
      <c r="M3" s="421" t="inlineStr">
        <is>
          <t>Discussion_Changed_B</t>
        </is>
      </c>
      <c r="N3" s="421" t="inlineStr">
        <is>
          <t>Final_Adjudicated</t>
        </is>
      </c>
      <c r="O3" s="421" t="inlineStr">
        <is>
          <t>Architecture_Family</t>
        </is>
      </c>
      <c r="P3" s="421" t="inlineStr">
        <is>
          <t>Language</t>
        </is>
      </c>
      <c r="Q3" s="421" t="inlineStr">
        <is>
          <t>Documentation_Intensity</t>
        </is>
      </c>
      <c r="R3" s="421" t="inlineStr">
        <is>
          <t>Notes</t>
        </is>
      </c>
      <c r="S3" s="421" t="inlineStr">
        <is>
          <t>Decision_Layer</t>
        </is>
      </c>
      <c r="T3" s="421" t="inlineStr">
        <is>
          <t>Rating_Deposit_A_ID</t>
        </is>
      </c>
      <c r="U3" s="421" t="inlineStr">
        <is>
          <t>Rating_Deposit_B_ID</t>
        </is>
      </c>
      <c r="V3" s="421" t="inlineStr">
        <is>
          <t>Criterion_Order_A</t>
        </is>
      </c>
      <c r="W3" s="421" t="inlineStr">
        <is>
          <t>Criterion_Order_B</t>
        </is>
      </c>
      <c r="X3" s="421" t="inlineStr">
        <is>
          <t>Global_Impression_A_Pre</t>
        </is>
      </c>
      <c r="Y3" s="421" t="inlineStr">
        <is>
          <t>Global_Impression_B_Pre</t>
        </is>
      </c>
      <c r="Z3" s="421" t="inlineStr">
        <is>
          <t>AI_Assistance_A</t>
        </is>
      </c>
      <c r="AA3" s="421" t="inlineStr">
        <is>
          <t>AI_Assistance_B</t>
        </is>
      </c>
      <c r="AB3" s="421" t="inlineStr">
        <is>
          <t>Independent_For_Reliability</t>
        </is>
      </c>
      <c r="AC3" s="421" t="inlineStr">
        <is>
          <t>Layer_Agreement_Eligible</t>
        </is>
      </c>
    </row>
    <row r="4">
      <c r="A4" s="81" t="inlineStr">
        <is>
          <t>AF-EXT-ILL</t>
        </is>
      </c>
      <c r="B4" s="356" t="inlineStr">
        <is>
          <t>CASE-ILL-001</t>
        </is>
      </c>
      <c r="C4" s="356" t="inlineStr">
        <is>
          <t>C0</t>
        </is>
      </c>
      <c r="D4" s="356" t="inlineStr">
        <is>
          <t>R-01</t>
        </is>
      </c>
      <c r="E4" s="356" t="inlineStr">
        <is>
          <t>R-02</t>
        </is>
      </c>
      <c r="F4" s="356" t="n">
        <v>3</v>
      </c>
      <c r="G4" s="356" t="n">
        <v>3</v>
      </c>
      <c r="H4" s="302">
        <f>IF(OR(F4="",G4=""),"",IF(F4=G4,1,0))</f>
        <v/>
      </c>
      <c r="I4" s="302">
        <f>IF(OR(F4="",G4=""),"",IF(ABS(F4-G4)&lt;=1,1,0))</f>
        <v/>
      </c>
      <c r="J4" s="356" t="inlineStr">
        <is>
          <t>High</t>
        </is>
      </c>
      <c r="K4" s="356" t="inlineStr">
        <is>
          <t>Moderate</t>
        </is>
      </c>
      <c r="L4" s="356" t="inlineStr">
        <is>
          <t>No</t>
        </is>
      </c>
      <c r="M4" s="356" t="inlineStr">
        <is>
          <t>No</t>
        </is>
      </c>
      <c r="N4" s="356" t="n">
        <v>3</v>
      </c>
      <c r="O4" s="356" t="inlineStr">
        <is>
          <t>legal-institutional</t>
        </is>
      </c>
      <c r="P4" s="356" t="inlineStr">
        <is>
          <t>English</t>
        </is>
      </c>
      <c r="Q4" s="356" t="inlineStr">
        <is>
          <t>High</t>
        </is>
      </c>
      <c r="R4" s="103" t="inlineStr">
        <is>
          <t>Illustrative</t>
        </is>
      </c>
      <c r="S4" s="253" t="inlineStr">
        <is>
          <t>Stage A criterion</t>
        </is>
      </c>
      <c r="T4" s="254" t="inlineStr">
        <is>
          <t>DEP-ILL-001</t>
        </is>
      </c>
      <c r="U4" s="254" t="inlineStr">
        <is>
          <t>DEP-ILL-002</t>
        </is>
      </c>
      <c r="V4" s="254" t="inlineStr">
        <is>
          <t>C3,C0,C5,C1,C4,C2</t>
        </is>
      </c>
      <c r="W4" s="254" t="inlineStr">
        <is>
          <t>C2,C4,C1,C5,C0,C3</t>
        </is>
      </c>
      <c r="X4" s="254" t="n">
        <v>3</v>
      </c>
      <c r="Y4" s="254" t="n">
        <v>3</v>
      </c>
      <c r="Z4" s="254" t="inlineStr">
        <is>
          <t>None</t>
        </is>
      </c>
      <c r="AA4" s="254" t="inlineStr">
        <is>
          <t>Retrieval/formatting only</t>
        </is>
      </c>
      <c r="AB4" s="254" t="inlineStr">
        <is>
          <t>Yes</t>
        </is>
      </c>
      <c r="AC4" s="277">
        <f>IF(A4="","",IF(AND(AB4="Yes",T4&lt;&gt;"",U4&lt;&gt;""),"Yes","No"))</f>
        <v/>
      </c>
    </row>
    <row r="5">
      <c r="A5" s="81" t="inlineStr">
        <is>
          <t>AF-EXT-ILL</t>
        </is>
      </c>
      <c r="B5" s="356" t="inlineStr">
        <is>
          <t>CASE-ILL-001</t>
        </is>
      </c>
      <c r="C5" s="356" t="inlineStr">
        <is>
          <t>C1</t>
        </is>
      </c>
      <c r="D5" s="356" t="inlineStr">
        <is>
          <t>R-01</t>
        </is>
      </c>
      <c r="E5" s="356" t="inlineStr">
        <is>
          <t>R-02</t>
        </is>
      </c>
      <c r="F5" s="356" t="n">
        <v>3</v>
      </c>
      <c r="G5" s="356" t="n">
        <v>2</v>
      </c>
      <c r="H5" s="302">
        <f>IF(OR(F5="",G5=""),"",IF(F5=G5,1,0))</f>
        <v/>
      </c>
      <c r="I5" s="302">
        <f>IF(OR(F5="",G5=""),"",IF(ABS(F5-G5)&lt;=1,1,0))</f>
        <v/>
      </c>
      <c r="J5" s="356" t="inlineStr">
        <is>
          <t>High</t>
        </is>
      </c>
      <c r="K5" s="356" t="inlineStr">
        <is>
          <t>Moderate</t>
        </is>
      </c>
      <c r="L5" s="356" t="inlineStr">
        <is>
          <t>No</t>
        </is>
      </c>
      <c r="M5" s="356" t="inlineStr">
        <is>
          <t>Yes</t>
        </is>
      </c>
      <c r="N5" s="356" t="n">
        <v>3</v>
      </c>
      <c r="O5" s="356" t="inlineStr">
        <is>
          <t>legal-institutional</t>
        </is>
      </c>
      <c r="P5" s="356" t="inlineStr">
        <is>
          <t>English</t>
        </is>
      </c>
      <c r="Q5" s="356" t="inlineStr">
        <is>
          <t>High</t>
        </is>
      </c>
      <c r="R5" s="103" t="inlineStr">
        <is>
          <t>Illustrative</t>
        </is>
      </c>
      <c r="S5" s="253" t="inlineStr">
        <is>
          <t>Stage A criterion</t>
        </is>
      </c>
      <c r="T5" s="254" t="inlineStr">
        <is>
          <t>DEP-ILL-004</t>
        </is>
      </c>
      <c r="U5" s="254" t="inlineStr">
        <is>
          <t>DEP-ILL-005</t>
        </is>
      </c>
      <c r="V5" s="254" t="inlineStr">
        <is>
          <t>C3,C0,C5,C1,C4,C2</t>
        </is>
      </c>
      <c r="W5" s="254" t="inlineStr">
        <is>
          <t>C2,C4,C1,C5,C0,C3</t>
        </is>
      </c>
      <c r="X5" s="254" t="n">
        <v>3</v>
      </c>
      <c r="Y5" s="254" t="n">
        <v>2</v>
      </c>
      <c r="Z5" s="254" t="inlineStr">
        <is>
          <t>None</t>
        </is>
      </c>
      <c r="AA5" s="254" t="inlineStr">
        <is>
          <t>None</t>
        </is>
      </c>
      <c r="AB5" s="254" t="inlineStr">
        <is>
          <t>Yes</t>
        </is>
      </c>
      <c r="AC5" s="277">
        <f>IF(A5="","",IF(AND(AB5="Yes",T5&lt;&gt;"",U5&lt;&gt;""),"Yes","No"))</f>
        <v/>
      </c>
    </row>
    <row r="6">
      <c r="A6" s="81" t="inlineStr">
        <is>
          <t>AF-EXT-ILL</t>
        </is>
      </c>
      <c r="B6" s="356" t="inlineStr">
        <is>
          <t>CASE-ILL-001</t>
        </is>
      </c>
      <c r="C6" s="356" t="inlineStr">
        <is>
          <t>Final Stage A</t>
        </is>
      </c>
      <c r="D6" s="356" t="inlineStr">
        <is>
          <t>R-01</t>
        </is>
      </c>
      <c r="E6" s="356" t="inlineStr">
        <is>
          <t>R-02</t>
        </is>
      </c>
      <c r="F6" s="356" t="n">
        <v>1</v>
      </c>
      <c r="G6" s="356" t="n">
        <v>1</v>
      </c>
      <c r="H6" s="302">
        <f>IF(OR(F6="",G6=""),"",IF(F6=G6,1,0))</f>
        <v/>
      </c>
      <c r="I6" s="302">
        <f>IF(OR(F6="",G6=""),"",IF(ABS(F6-G6)&lt;=1,1,0))</f>
        <v/>
      </c>
      <c r="J6" s="356" t="inlineStr">
        <is>
          <t>High</t>
        </is>
      </c>
      <c r="K6" s="356" t="inlineStr">
        <is>
          <t>High</t>
        </is>
      </c>
      <c r="L6" s="356" t="inlineStr">
        <is>
          <t>No</t>
        </is>
      </c>
      <c r="M6" s="356" t="inlineStr">
        <is>
          <t>No</t>
        </is>
      </c>
      <c r="N6" s="356" t="n">
        <v>1</v>
      </c>
      <c r="O6" s="356" t="inlineStr">
        <is>
          <t>legal-institutional</t>
        </is>
      </c>
      <c r="P6" s="356" t="inlineStr">
        <is>
          <t>English</t>
        </is>
      </c>
      <c r="Q6" s="356" t="inlineStr">
        <is>
          <t>High</t>
        </is>
      </c>
      <c r="R6" s="103" t="inlineStr">
        <is>
          <t>Illustrative; numeric code is preregistered and final-layer only</t>
        </is>
      </c>
      <c r="S6" s="253" t="inlineStr">
        <is>
          <t>Stage A final</t>
        </is>
      </c>
      <c r="T6" s="254" t="inlineStr">
        <is>
          <t>DEP-ILL-006</t>
        </is>
      </c>
      <c r="U6" s="254" t="inlineStr">
        <is>
          <t>DEP-ILL-007</t>
        </is>
      </c>
      <c r="V6" s="254" t="str"/>
      <c r="W6" s="254" t="str"/>
      <c r="X6" s="254" t="n">
        <v>3</v>
      </c>
      <c r="Y6" s="254" t="n">
        <v>3</v>
      </c>
      <c r="Z6" s="254" t="inlineStr">
        <is>
          <t>None</t>
        </is>
      </c>
      <c r="AA6" s="254" t="inlineStr">
        <is>
          <t>None</t>
        </is>
      </c>
      <c r="AB6" s="254" t="inlineStr">
        <is>
          <t>Yes</t>
        </is>
      </c>
      <c r="AC6" s="277">
        <f>IF(A6="","",IF(AND(AB6="Yes",T6&lt;&gt;"",U6&lt;&gt;""),"Yes","No"))</f>
        <v/>
      </c>
    </row>
    <row r="7">
      <c r="A7" s="81" t="inlineStr">
        <is>
          <t>AF-EXT-ILL</t>
        </is>
      </c>
      <c r="B7" s="356" t="inlineStr">
        <is>
          <t>CASE-ILL-002</t>
        </is>
      </c>
      <c r="C7" s="356" t="inlineStr">
        <is>
          <t>Rights robustness</t>
        </is>
      </c>
      <c r="D7" s="356" t="inlineStr">
        <is>
          <t>R-01</t>
        </is>
      </c>
      <c r="E7" s="356" t="inlineStr">
        <is>
          <t>R-02</t>
        </is>
      </c>
      <c r="F7" s="356" t="n">
        <v>2</v>
      </c>
      <c r="G7" s="356" t="n">
        <v>3</v>
      </c>
      <c r="H7" s="302">
        <f>IF(OR(F7="",G7=""),"",IF(F7=G7,1,0))</f>
        <v/>
      </c>
      <c r="I7" s="302">
        <f>IF(OR(F7="",G7=""),"",IF(ABS(F7-G7)&lt;=1,1,0))</f>
        <v/>
      </c>
      <c r="J7" s="356" t="inlineStr">
        <is>
          <t>Moderate</t>
        </is>
      </c>
      <c r="K7" s="356" t="inlineStr">
        <is>
          <t>Moderate</t>
        </is>
      </c>
      <c r="L7" s="356" t="inlineStr">
        <is>
          <t>No</t>
        </is>
      </c>
      <c r="M7" s="356" t="inlineStr">
        <is>
          <t>No</t>
        </is>
      </c>
      <c r="N7" s="356" t="n">
        <v>2</v>
      </c>
      <c r="O7" s="356" t="inlineStr">
        <is>
          <t>technical</t>
        </is>
      </c>
      <c r="P7" s="356" t="inlineStr">
        <is>
          <t>English</t>
        </is>
      </c>
      <c r="Q7" s="356" t="inlineStr">
        <is>
          <t>Moderate</t>
        </is>
      </c>
      <c r="R7" s="103" t="inlineStr">
        <is>
          <t>Illustrative Stage B dimension</t>
        </is>
      </c>
      <c r="S7" s="253" t="inlineStr">
        <is>
          <t>Stage B dimension</t>
        </is>
      </c>
      <c r="T7" s="254" t="inlineStr">
        <is>
          <t>DEP-ILL-008</t>
        </is>
      </c>
      <c r="U7" s="254" t="inlineStr">
        <is>
          <t>DEP-ILL-009</t>
        </is>
      </c>
      <c r="V7" s="254" t="inlineStr">
        <is>
          <t>randomized</t>
        </is>
      </c>
      <c r="W7" s="254" t="inlineStr">
        <is>
          <t>randomized</t>
        </is>
      </c>
      <c r="X7" s="254" t="n">
        <v>2</v>
      </c>
      <c r="Y7" s="254" t="n">
        <v>3</v>
      </c>
      <c r="Z7" s="254" t="inlineStr">
        <is>
          <t>None</t>
        </is>
      </c>
      <c r="AA7" s="254" t="inlineStr">
        <is>
          <t>Material assistance generated draft rating - excluded from human reliability</t>
        </is>
      </c>
      <c r="AB7" s="254" t="inlineStr">
        <is>
          <t>No</t>
        </is>
      </c>
      <c r="AC7" s="277">
        <f>IF(A7="","",IF(AND(AB7="Yes",T7&lt;&gt;"",U7&lt;&gt;""),"Yes","No"))</f>
        <v/>
      </c>
    </row>
    <row r="8">
      <c r="A8" s="81" t="n"/>
      <c r="B8" s="356" t="n"/>
      <c r="C8" s="356" t="n"/>
      <c r="D8" s="356" t="n"/>
      <c r="E8" s="356" t="n"/>
      <c r="F8" s="356" t="n"/>
      <c r="G8" s="356" t="n"/>
      <c r="H8" s="302">
        <f>IF(OR(F8="",G8=""),"",IF(F8=G8,1,0))</f>
        <v/>
      </c>
      <c r="I8" s="302">
        <f>IF(OR(F8="",G8=""),"",IF(ABS(F8-G8)&lt;=1,1,0))</f>
        <v/>
      </c>
      <c r="J8" s="356" t="n"/>
      <c r="K8" s="356" t="n"/>
      <c r="L8" s="356" t="n"/>
      <c r="M8" s="356" t="n"/>
      <c r="N8" s="356" t="n"/>
      <c r="O8" s="356" t="n"/>
      <c r="P8" s="356" t="n"/>
      <c r="Q8" s="356" t="n"/>
      <c r="R8" s="103" t="n"/>
      <c r="S8" s="253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77">
        <f>IF(A8="","",IF(AND(AB8="Yes",T8&lt;&gt;"",U8&lt;&gt;""),"Yes","No"))</f>
        <v/>
      </c>
    </row>
    <row r="9">
      <c r="A9" s="81" t="n"/>
      <c r="B9" s="356" t="n"/>
      <c r="C9" s="356" t="n"/>
      <c r="D9" s="356" t="n"/>
      <c r="E9" s="356" t="n"/>
      <c r="F9" s="356" t="n"/>
      <c r="G9" s="356" t="n"/>
      <c r="H9" s="302">
        <f>IF(OR(F9="",G9=""),"",IF(F9=G9,1,0))</f>
        <v/>
      </c>
      <c r="I9" s="302">
        <f>IF(OR(F9="",G9=""),"",IF(ABS(F9-G9)&lt;=1,1,0))</f>
        <v/>
      </c>
      <c r="J9" s="356" t="n"/>
      <c r="K9" s="356" t="n"/>
      <c r="L9" s="356" t="n"/>
      <c r="M9" s="356" t="n"/>
      <c r="N9" s="356" t="n"/>
      <c r="O9" s="356" t="n"/>
      <c r="P9" s="356" t="n"/>
      <c r="Q9" s="356" t="n"/>
      <c r="R9" s="103" t="n"/>
      <c r="S9" s="253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77">
        <f>IF(A9="","",IF(AND(AB9="Yes",T9&lt;&gt;"",U9&lt;&gt;""),"Yes","No"))</f>
        <v/>
      </c>
    </row>
    <row r="10">
      <c r="A10" s="81" t="n"/>
      <c r="B10" s="356" t="n"/>
      <c r="C10" s="356" t="n"/>
      <c r="D10" s="356" t="n"/>
      <c r="E10" s="356" t="n"/>
      <c r="F10" s="356" t="n"/>
      <c r="G10" s="356" t="n"/>
      <c r="H10" s="302">
        <f>IF(OR(F10="",G10=""),"",IF(F10=G10,1,0))</f>
        <v/>
      </c>
      <c r="I10" s="302">
        <f>IF(OR(F10="",G10=""),"",IF(ABS(F10-G10)&lt;=1,1,0))</f>
        <v/>
      </c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103" t="n"/>
      <c r="S10" s="253" t="n"/>
      <c r="T10" s="254" t="n"/>
      <c r="U10" s="254" t="n"/>
      <c r="V10" s="254" t="n"/>
      <c r="W10" s="254" t="n"/>
      <c r="X10" s="254" t="n"/>
      <c r="Y10" s="254" t="n"/>
      <c r="Z10" s="254" t="n"/>
      <c r="AA10" s="254" t="n"/>
      <c r="AB10" s="254" t="n"/>
      <c r="AC10" s="277">
        <f>IF(A10="","",IF(AND(AB10="Yes",T10&lt;&gt;"",U10&lt;&gt;""),"Yes","No"))</f>
        <v/>
      </c>
    </row>
    <row r="11">
      <c r="A11" s="81" t="n"/>
      <c r="B11" s="356" t="n"/>
      <c r="C11" s="356" t="n"/>
      <c r="D11" s="356" t="n"/>
      <c r="E11" s="356" t="n"/>
      <c r="F11" s="356" t="n"/>
      <c r="G11" s="356" t="n"/>
      <c r="H11" s="302">
        <f>IF(OR(F11="",G11=""),"",IF(F11=G11,1,0))</f>
        <v/>
      </c>
      <c r="I11" s="302">
        <f>IF(OR(F11="",G11=""),"",IF(ABS(F11-G11)&lt;=1,1,0))</f>
        <v/>
      </c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103" t="n"/>
      <c r="S11" s="253" t="n"/>
      <c r="T11" s="254" t="n"/>
      <c r="U11" s="254" t="n"/>
      <c r="V11" s="254" t="n"/>
      <c r="W11" s="254" t="n"/>
      <c r="X11" s="254" t="n"/>
      <c r="Y11" s="254" t="n"/>
      <c r="Z11" s="254" t="n"/>
      <c r="AA11" s="254" t="n"/>
      <c r="AB11" s="254" t="n"/>
      <c r="AC11" s="277">
        <f>IF(A11="","",IF(AND(AB11="Yes",T11&lt;&gt;"",U11&lt;&gt;""),"Yes","No"))</f>
        <v/>
      </c>
    </row>
    <row r="12">
      <c r="A12" s="81" t="n"/>
      <c r="B12" s="356" t="n"/>
      <c r="C12" s="356" t="n"/>
      <c r="D12" s="356" t="n"/>
      <c r="E12" s="356" t="n"/>
      <c r="F12" s="356" t="n"/>
      <c r="G12" s="356" t="n"/>
      <c r="H12" s="302">
        <f>IF(OR(F12="",G12=""),"",IF(F12=G12,1,0))</f>
        <v/>
      </c>
      <c r="I12" s="302">
        <f>IF(OR(F12="",G12=""),"",IF(ABS(F12-G12)&lt;=1,1,0))</f>
        <v/>
      </c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103" t="n"/>
      <c r="S12" s="253" t="n"/>
      <c r="T12" s="254" t="n"/>
      <c r="U12" s="254" t="n"/>
      <c r="V12" s="254" t="n"/>
      <c r="W12" s="254" t="n"/>
      <c r="X12" s="254" t="n"/>
      <c r="Y12" s="254" t="n"/>
      <c r="Z12" s="254" t="n"/>
      <c r="AA12" s="254" t="n"/>
      <c r="AB12" s="254" t="n"/>
      <c r="AC12" s="277">
        <f>IF(A12="","",IF(AND(AB12="Yes",T12&lt;&gt;"",U12&lt;&gt;""),"Yes","No"))</f>
        <v/>
      </c>
    </row>
    <row r="13">
      <c r="A13" s="81" t="n"/>
      <c r="B13" s="356" t="n"/>
      <c r="C13" s="356" t="n"/>
      <c r="D13" s="356" t="n"/>
      <c r="E13" s="356" t="n"/>
      <c r="F13" s="356" t="n"/>
      <c r="G13" s="356" t="n"/>
      <c r="H13" s="302">
        <f>IF(OR(F13="",G13=""),"",IF(F13=G13,1,0))</f>
        <v/>
      </c>
      <c r="I13" s="302">
        <f>IF(OR(F13="",G13=""),"",IF(ABS(F13-G13)&lt;=1,1,0))</f>
        <v/>
      </c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103" t="n"/>
      <c r="S13" s="253" t="n"/>
      <c r="T13" s="254" t="n"/>
      <c r="U13" s="254" t="n"/>
      <c r="V13" s="254" t="n"/>
      <c r="W13" s="254" t="n"/>
      <c r="X13" s="254" t="n"/>
      <c r="Y13" s="254" t="n"/>
      <c r="Z13" s="254" t="n"/>
      <c r="AA13" s="254" t="n"/>
      <c r="AB13" s="254" t="n"/>
      <c r="AC13" s="277">
        <f>IF(A13="","",IF(AND(AB13="Yes",T13&lt;&gt;"",U13&lt;&gt;""),"Yes","No"))</f>
        <v/>
      </c>
    </row>
    <row r="14">
      <c r="A14" s="81" t="n"/>
      <c r="B14" s="356" t="n"/>
      <c r="C14" s="356" t="n"/>
      <c r="D14" s="356" t="n"/>
      <c r="E14" s="356" t="n"/>
      <c r="F14" s="356" t="n"/>
      <c r="G14" s="356" t="n"/>
      <c r="H14" s="302">
        <f>IF(OR(F14="",G14=""),"",IF(F14=G14,1,0))</f>
        <v/>
      </c>
      <c r="I14" s="302">
        <f>IF(OR(F14="",G14=""),"",IF(ABS(F14-G14)&lt;=1,1,0))</f>
        <v/>
      </c>
      <c r="J14" s="356" t="n"/>
      <c r="K14" s="356" t="n"/>
      <c r="L14" s="356" t="n"/>
      <c r="M14" s="356" t="n"/>
      <c r="N14" s="356" t="n"/>
      <c r="O14" s="356" t="n"/>
      <c r="P14" s="356" t="n"/>
      <c r="Q14" s="356" t="n"/>
      <c r="R14" s="103" t="n"/>
      <c r="S14" s="253" t="n"/>
      <c r="T14" s="254" t="n"/>
      <c r="U14" s="254" t="n"/>
      <c r="V14" s="254" t="n"/>
      <c r="W14" s="254" t="n"/>
      <c r="X14" s="254" t="n"/>
      <c r="Y14" s="254" t="n"/>
      <c r="Z14" s="254" t="n"/>
      <c r="AA14" s="254" t="n"/>
      <c r="AB14" s="254" t="n"/>
      <c r="AC14" s="277">
        <f>IF(A14="","",IF(AND(AB14="Yes",T14&lt;&gt;"",U14&lt;&gt;""),"Yes","No"))</f>
        <v/>
      </c>
    </row>
    <row r="15">
      <c r="A15" s="81" t="n"/>
      <c r="B15" s="356" t="n"/>
      <c r="C15" s="356" t="n"/>
      <c r="D15" s="356" t="n"/>
      <c r="E15" s="356" t="n"/>
      <c r="F15" s="356" t="n"/>
      <c r="G15" s="356" t="n"/>
      <c r="H15" s="302">
        <f>IF(OR(F15="",G15=""),"",IF(F15=G15,1,0))</f>
        <v/>
      </c>
      <c r="I15" s="302">
        <f>IF(OR(F15="",G15=""),"",IF(ABS(F15-G15)&lt;=1,1,0))</f>
        <v/>
      </c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103" t="n"/>
      <c r="S15" s="253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77">
        <f>IF(A15="","",IF(AND(AB15="Yes",T15&lt;&gt;"",U15&lt;&gt;""),"Yes","No"))</f>
        <v/>
      </c>
    </row>
    <row r="16">
      <c r="A16" s="81" t="n"/>
      <c r="B16" s="356" t="n"/>
      <c r="C16" s="356" t="n"/>
      <c r="D16" s="356" t="n"/>
      <c r="E16" s="356" t="n"/>
      <c r="F16" s="356" t="n"/>
      <c r="G16" s="356" t="n"/>
      <c r="H16" s="302">
        <f>IF(OR(F16="",G16=""),"",IF(F16=G16,1,0))</f>
        <v/>
      </c>
      <c r="I16" s="302">
        <f>IF(OR(F16="",G16=""),"",IF(ABS(F16-G16)&lt;=1,1,0))</f>
        <v/>
      </c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103" t="n"/>
      <c r="S16" s="253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77">
        <f>IF(A16="","",IF(AND(AB16="Yes",T16&lt;&gt;"",U16&lt;&gt;""),"Yes","No"))</f>
        <v/>
      </c>
    </row>
    <row r="17">
      <c r="A17" s="81" t="n"/>
      <c r="B17" s="356" t="n"/>
      <c r="C17" s="356" t="n"/>
      <c r="D17" s="356" t="n"/>
      <c r="E17" s="356" t="n"/>
      <c r="F17" s="356" t="n"/>
      <c r="G17" s="356" t="n"/>
      <c r="H17" s="302">
        <f>IF(OR(F17="",G17=""),"",IF(F17=G17,1,0))</f>
        <v/>
      </c>
      <c r="I17" s="302">
        <f>IF(OR(F17="",G17=""),"",IF(ABS(F17-G17)&lt;=1,1,0))</f>
        <v/>
      </c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103" t="n"/>
      <c r="S17" s="253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77">
        <f>IF(A17="","",IF(AND(AB17="Yes",T17&lt;&gt;"",U17&lt;&gt;""),"Yes","No"))</f>
        <v/>
      </c>
    </row>
    <row r="18">
      <c r="A18" s="81" t="n"/>
      <c r="B18" s="356" t="n"/>
      <c r="C18" s="356" t="n"/>
      <c r="D18" s="356" t="n"/>
      <c r="E18" s="356" t="n"/>
      <c r="F18" s="356" t="n"/>
      <c r="G18" s="356" t="n"/>
      <c r="H18" s="302">
        <f>IF(OR(F18="",G18=""),"",IF(F18=G18,1,0))</f>
        <v/>
      </c>
      <c r="I18" s="302">
        <f>IF(OR(F18="",G18=""),"",IF(ABS(F18-G18)&lt;=1,1,0))</f>
        <v/>
      </c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103" t="n"/>
      <c r="S18" s="253" t="n"/>
      <c r="T18" s="254" t="n"/>
      <c r="U18" s="254" t="n"/>
      <c r="V18" s="254" t="n"/>
      <c r="W18" s="254" t="n"/>
      <c r="X18" s="254" t="n"/>
      <c r="Y18" s="254" t="n"/>
      <c r="Z18" s="254" t="n"/>
      <c r="AA18" s="254" t="n"/>
      <c r="AB18" s="254" t="n"/>
      <c r="AC18" s="277">
        <f>IF(A18="","",IF(AND(AB18="Yes",T18&lt;&gt;"",U18&lt;&gt;""),"Yes","No"))</f>
        <v/>
      </c>
    </row>
    <row r="19">
      <c r="A19" s="81" t="n"/>
      <c r="B19" s="356" t="n"/>
      <c r="C19" s="356" t="n"/>
      <c r="D19" s="356" t="n"/>
      <c r="E19" s="356" t="n"/>
      <c r="F19" s="356" t="n"/>
      <c r="G19" s="356" t="n"/>
      <c r="H19" s="302">
        <f>IF(OR(F19="",G19=""),"",IF(F19=G19,1,0))</f>
        <v/>
      </c>
      <c r="I19" s="302">
        <f>IF(OR(F19="",G19=""),"",IF(ABS(F19-G19)&lt;=1,1,0))</f>
        <v/>
      </c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103" t="n"/>
      <c r="S19" s="253" t="n"/>
      <c r="T19" s="254" t="n"/>
      <c r="U19" s="254" t="n"/>
      <c r="V19" s="254" t="n"/>
      <c r="W19" s="254" t="n"/>
      <c r="X19" s="254" t="n"/>
      <c r="Y19" s="254" t="n"/>
      <c r="Z19" s="254" t="n"/>
      <c r="AA19" s="254" t="n"/>
      <c r="AB19" s="254" t="n"/>
      <c r="AC19" s="277">
        <f>IF(A19="","",IF(AND(AB19="Yes",T19&lt;&gt;"",U19&lt;&gt;""),"Yes","No"))</f>
        <v/>
      </c>
    </row>
    <row r="20">
      <c r="A20" s="81" t="n"/>
      <c r="B20" s="356" t="n"/>
      <c r="C20" s="356" t="n"/>
      <c r="D20" s="356" t="n"/>
      <c r="E20" s="356" t="n"/>
      <c r="F20" s="356" t="n"/>
      <c r="G20" s="356" t="n"/>
      <c r="H20" s="302">
        <f>IF(OR(F20="",G20=""),"",IF(F20=G20,1,0))</f>
        <v/>
      </c>
      <c r="I20" s="302">
        <f>IF(OR(F20="",G20=""),"",IF(ABS(F20-G20)&lt;=1,1,0))</f>
        <v/>
      </c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103" t="n"/>
      <c r="S20" s="253" t="n"/>
      <c r="T20" s="254" t="n"/>
      <c r="U20" s="254" t="n"/>
      <c r="V20" s="254" t="n"/>
      <c r="W20" s="254" t="n"/>
      <c r="X20" s="254" t="n"/>
      <c r="Y20" s="254" t="n"/>
      <c r="Z20" s="254" t="n"/>
      <c r="AA20" s="254" t="n"/>
      <c r="AB20" s="254" t="n"/>
      <c r="AC20" s="277">
        <f>IF(A20="","",IF(AND(AB20="Yes",T20&lt;&gt;"",U20&lt;&gt;""),"Yes","No"))</f>
        <v/>
      </c>
    </row>
    <row r="21">
      <c r="A21" s="81" t="n"/>
      <c r="B21" s="356" t="n"/>
      <c r="C21" s="356" t="n"/>
      <c r="D21" s="356" t="n"/>
      <c r="E21" s="356" t="n"/>
      <c r="F21" s="356" t="n"/>
      <c r="G21" s="356" t="n"/>
      <c r="H21" s="302">
        <f>IF(OR(F21="",G21=""),"",IF(F21=G21,1,0))</f>
        <v/>
      </c>
      <c r="I21" s="302">
        <f>IF(OR(F21="",G21=""),"",IF(ABS(F21-G21)&lt;=1,1,0))</f>
        <v/>
      </c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103" t="n"/>
      <c r="S21" s="253" t="n"/>
      <c r="T21" s="254" t="n"/>
      <c r="U21" s="254" t="n"/>
      <c r="V21" s="254" t="n"/>
      <c r="W21" s="254" t="n"/>
      <c r="X21" s="254" t="n"/>
      <c r="Y21" s="254" t="n"/>
      <c r="Z21" s="254" t="n"/>
      <c r="AA21" s="254" t="n"/>
      <c r="AB21" s="254" t="n"/>
      <c r="AC21" s="277">
        <f>IF(A21="","",IF(AND(AB21="Yes",T21&lt;&gt;"",U21&lt;&gt;""),"Yes","No"))</f>
        <v/>
      </c>
    </row>
    <row r="22">
      <c r="A22" s="81" t="n"/>
      <c r="B22" s="356" t="n"/>
      <c r="C22" s="356" t="n"/>
      <c r="D22" s="356" t="n"/>
      <c r="E22" s="356" t="n"/>
      <c r="F22" s="356" t="n"/>
      <c r="G22" s="356" t="n"/>
      <c r="H22" s="302">
        <f>IF(OR(F22="",G22=""),"",IF(F22=G22,1,0))</f>
        <v/>
      </c>
      <c r="I22" s="302">
        <f>IF(OR(F22="",G22=""),"",IF(ABS(F22-G22)&lt;=1,1,0))</f>
        <v/>
      </c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103" t="n"/>
      <c r="S22" s="253" t="n"/>
      <c r="T22" s="254" t="n"/>
      <c r="U22" s="254" t="n"/>
      <c r="V22" s="254" t="n"/>
      <c r="W22" s="254" t="n"/>
      <c r="X22" s="254" t="n"/>
      <c r="Y22" s="254" t="n"/>
      <c r="Z22" s="254" t="n"/>
      <c r="AA22" s="254" t="n"/>
      <c r="AB22" s="254" t="n"/>
      <c r="AC22" s="277">
        <f>IF(A22="","",IF(AND(AB22="Yes",T22&lt;&gt;"",U22&lt;&gt;""),"Yes","No"))</f>
        <v/>
      </c>
    </row>
    <row r="23">
      <c r="A23" s="81" t="n"/>
      <c r="B23" s="356" t="n"/>
      <c r="C23" s="356" t="n"/>
      <c r="D23" s="356" t="n"/>
      <c r="E23" s="356" t="n"/>
      <c r="F23" s="356" t="n"/>
      <c r="G23" s="356" t="n"/>
      <c r="H23" s="302">
        <f>IF(OR(F23="",G23=""),"",IF(F23=G23,1,0))</f>
        <v/>
      </c>
      <c r="I23" s="302">
        <f>IF(OR(F23="",G23=""),"",IF(ABS(F23-G23)&lt;=1,1,0))</f>
        <v/>
      </c>
      <c r="J23" s="356" t="n"/>
      <c r="K23" s="356" t="n"/>
      <c r="L23" s="356" t="n"/>
      <c r="M23" s="356" t="n"/>
      <c r="N23" s="356" t="n"/>
      <c r="O23" s="356" t="n"/>
      <c r="P23" s="356" t="n"/>
      <c r="Q23" s="356" t="n"/>
      <c r="R23" s="103" t="n"/>
      <c r="S23" s="253" t="n"/>
      <c r="T23" s="254" t="n"/>
      <c r="U23" s="254" t="n"/>
      <c r="V23" s="254" t="n"/>
      <c r="W23" s="254" t="n"/>
      <c r="X23" s="254" t="n"/>
      <c r="Y23" s="254" t="n"/>
      <c r="Z23" s="254" t="n"/>
      <c r="AA23" s="254" t="n"/>
      <c r="AB23" s="254" t="n"/>
      <c r="AC23" s="277">
        <f>IF(A23="","",IF(AND(AB23="Yes",T23&lt;&gt;"",U23&lt;&gt;""),"Yes","No"))</f>
        <v/>
      </c>
    </row>
    <row r="24">
      <c r="A24" s="81" t="n"/>
      <c r="B24" s="356" t="n"/>
      <c r="C24" s="356" t="n"/>
      <c r="D24" s="356" t="n"/>
      <c r="E24" s="356" t="n"/>
      <c r="F24" s="356" t="n"/>
      <c r="G24" s="356" t="n"/>
      <c r="H24" s="302">
        <f>IF(OR(F24="",G24=""),"",IF(F24=G24,1,0))</f>
        <v/>
      </c>
      <c r="I24" s="302">
        <f>IF(OR(F24="",G24=""),"",IF(ABS(F24-G24)&lt;=1,1,0))</f>
        <v/>
      </c>
      <c r="J24" s="356" t="n"/>
      <c r="K24" s="356" t="n"/>
      <c r="L24" s="356" t="n"/>
      <c r="M24" s="356" t="n"/>
      <c r="N24" s="356" t="n"/>
      <c r="O24" s="356" t="n"/>
      <c r="P24" s="356" t="n"/>
      <c r="Q24" s="356" t="n"/>
      <c r="R24" s="103" t="n"/>
      <c r="S24" s="253" t="n"/>
      <c r="T24" s="254" t="n"/>
      <c r="U24" s="254" t="n"/>
      <c r="V24" s="254" t="n"/>
      <c r="W24" s="254" t="n"/>
      <c r="X24" s="254" t="n"/>
      <c r="Y24" s="254" t="n"/>
      <c r="Z24" s="254" t="n"/>
      <c r="AA24" s="254" t="n"/>
      <c r="AB24" s="254" t="n"/>
      <c r="AC24" s="277">
        <f>IF(A24="","",IF(AND(AB24="Yes",T24&lt;&gt;"",U24&lt;&gt;""),"Yes","No"))</f>
        <v/>
      </c>
    </row>
    <row r="25">
      <c r="A25" s="81" t="n"/>
      <c r="B25" s="356" t="n"/>
      <c r="C25" s="356" t="n"/>
      <c r="D25" s="356" t="n"/>
      <c r="E25" s="356" t="n"/>
      <c r="F25" s="356" t="n"/>
      <c r="G25" s="356" t="n"/>
      <c r="H25" s="302">
        <f>IF(OR(F25="",G25=""),"",IF(F25=G25,1,0))</f>
        <v/>
      </c>
      <c r="I25" s="302">
        <f>IF(OR(F25="",G25=""),"",IF(ABS(F25-G25)&lt;=1,1,0))</f>
        <v/>
      </c>
      <c r="J25" s="356" t="n"/>
      <c r="K25" s="356" t="n"/>
      <c r="L25" s="356" t="n"/>
      <c r="M25" s="356" t="n"/>
      <c r="N25" s="356" t="n"/>
      <c r="O25" s="356" t="n"/>
      <c r="P25" s="356" t="n"/>
      <c r="Q25" s="356" t="n"/>
      <c r="R25" s="103" t="n"/>
      <c r="S25" s="253" t="n"/>
      <c r="T25" s="254" t="n"/>
      <c r="U25" s="254" t="n"/>
      <c r="V25" s="254" t="n"/>
      <c r="W25" s="254" t="n"/>
      <c r="X25" s="254" t="n"/>
      <c r="Y25" s="254" t="n"/>
      <c r="Z25" s="254" t="n"/>
      <c r="AA25" s="254" t="n"/>
      <c r="AB25" s="254" t="n"/>
      <c r="AC25" s="277">
        <f>IF(A25="","",IF(AND(AB25="Yes",T25&lt;&gt;"",U25&lt;&gt;""),"Yes","No"))</f>
        <v/>
      </c>
    </row>
    <row r="26">
      <c r="A26" s="81" t="n"/>
      <c r="B26" s="356" t="n"/>
      <c r="C26" s="356" t="n"/>
      <c r="D26" s="356" t="n"/>
      <c r="E26" s="356" t="n"/>
      <c r="F26" s="356" t="n"/>
      <c r="G26" s="356" t="n"/>
      <c r="H26" s="302">
        <f>IF(OR(F26="",G26=""),"",IF(F26=G26,1,0))</f>
        <v/>
      </c>
      <c r="I26" s="302">
        <f>IF(OR(F26="",G26=""),"",IF(ABS(F26-G26)&lt;=1,1,0))</f>
        <v/>
      </c>
      <c r="J26" s="356" t="n"/>
      <c r="K26" s="356" t="n"/>
      <c r="L26" s="356" t="n"/>
      <c r="M26" s="356" t="n"/>
      <c r="N26" s="356" t="n"/>
      <c r="O26" s="356" t="n"/>
      <c r="P26" s="356" t="n"/>
      <c r="Q26" s="356" t="n"/>
      <c r="R26" s="103" t="n"/>
      <c r="S26" s="253" t="n"/>
      <c r="T26" s="254" t="n"/>
      <c r="U26" s="254" t="n"/>
      <c r="V26" s="254" t="n"/>
      <c r="W26" s="254" t="n"/>
      <c r="X26" s="254" t="n"/>
      <c r="Y26" s="254" t="n"/>
      <c r="Z26" s="254" t="n"/>
      <c r="AA26" s="254" t="n"/>
      <c r="AB26" s="254" t="n"/>
      <c r="AC26" s="277">
        <f>IF(A26="","",IF(AND(AB26="Yes",T26&lt;&gt;"",U26&lt;&gt;""),"Yes","No"))</f>
        <v/>
      </c>
    </row>
    <row r="27">
      <c r="A27" s="81" t="n"/>
      <c r="B27" s="356" t="n"/>
      <c r="C27" s="356" t="n"/>
      <c r="D27" s="356" t="n"/>
      <c r="E27" s="356" t="n"/>
      <c r="F27" s="356" t="n"/>
      <c r="G27" s="356" t="n"/>
      <c r="H27" s="302">
        <f>IF(OR(F27="",G27=""),"",IF(F27=G27,1,0))</f>
        <v/>
      </c>
      <c r="I27" s="302">
        <f>IF(OR(F27="",G27=""),"",IF(ABS(F27-G27)&lt;=1,1,0))</f>
        <v/>
      </c>
      <c r="J27" s="356" t="n"/>
      <c r="K27" s="356" t="n"/>
      <c r="L27" s="356" t="n"/>
      <c r="M27" s="356" t="n"/>
      <c r="N27" s="356" t="n"/>
      <c r="O27" s="356" t="n"/>
      <c r="P27" s="356" t="n"/>
      <c r="Q27" s="356" t="n"/>
      <c r="R27" s="103" t="n"/>
      <c r="S27" s="253" t="n"/>
      <c r="T27" s="254" t="n"/>
      <c r="U27" s="254" t="n"/>
      <c r="V27" s="254" t="n"/>
      <c r="W27" s="254" t="n"/>
      <c r="X27" s="254" t="n"/>
      <c r="Y27" s="254" t="n"/>
      <c r="Z27" s="254" t="n"/>
      <c r="AA27" s="254" t="n"/>
      <c r="AB27" s="254" t="n"/>
      <c r="AC27" s="277">
        <f>IF(A27="","",IF(AND(AB27="Yes",T27&lt;&gt;"",U27&lt;&gt;""),"Yes","No"))</f>
        <v/>
      </c>
    </row>
    <row r="28">
      <c r="A28" s="81" t="n"/>
      <c r="B28" s="356" t="n"/>
      <c r="C28" s="356" t="n"/>
      <c r="D28" s="356" t="n"/>
      <c r="E28" s="356" t="n"/>
      <c r="F28" s="356" t="n"/>
      <c r="G28" s="356" t="n"/>
      <c r="H28" s="302">
        <f>IF(OR(F28="",G28=""),"",IF(F28=G28,1,0))</f>
        <v/>
      </c>
      <c r="I28" s="302">
        <f>IF(OR(F28="",G28=""),"",IF(ABS(F28-G28)&lt;=1,1,0))</f>
        <v/>
      </c>
      <c r="J28" s="356" t="n"/>
      <c r="K28" s="356" t="n"/>
      <c r="L28" s="356" t="n"/>
      <c r="M28" s="356" t="n"/>
      <c r="N28" s="356" t="n"/>
      <c r="O28" s="356" t="n"/>
      <c r="P28" s="356" t="n"/>
      <c r="Q28" s="356" t="n"/>
      <c r="R28" s="103" t="n"/>
      <c r="S28" s="253" t="n"/>
      <c r="T28" s="254" t="n"/>
      <c r="U28" s="254" t="n"/>
      <c r="V28" s="254" t="n"/>
      <c r="W28" s="254" t="n"/>
      <c r="X28" s="254" t="n"/>
      <c r="Y28" s="254" t="n"/>
      <c r="Z28" s="254" t="n"/>
      <c r="AA28" s="254" t="n"/>
      <c r="AB28" s="254" t="n"/>
      <c r="AC28" s="277">
        <f>IF(A28="","",IF(AND(AB28="Yes",T28&lt;&gt;"",U28&lt;&gt;""),"Yes","No"))</f>
        <v/>
      </c>
    </row>
    <row r="29">
      <c r="A29" s="81" t="n"/>
      <c r="B29" s="356" t="n"/>
      <c r="C29" s="356" t="n"/>
      <c r="D29" s="356" t="n"/>
      <c r="E29" s="356" t="n"/>
      <c r="F29" s="356" t="n"/>
      <c r="G29" s="356" t="n"/>
      <c r="H29" s="302">
        <f>IF(OR(F29="",G29=""),"",IF(F29=G29,1,0))</f>
        <v/>
      </c>
      <c r="I29" s="302">
        <f>IF(OR(F29="",G29=""),"",IF(ABS(F29-G29)&lt;=1,1,0))</f>
        <v/>
      </c>
      <c r="J29" s="356" t="n"/>
      <c r="K29" s="356" t="n"/>
      <c r="L29" s="356" t="n"/>
      <c r="M29" s="356" t="n"/>
      <c r="N29" s="356" t="n"/>
      <c r="O29" s="356" t="n"/>
      <c r="P29" s="356" t="n"/>
      <c r="Q29" s="356" t="n"/>
      <c r="R29" s="103" t="n"/>
      <c r="S29" s="253" t="n"/>
      <c r="T29" s="254" t="n"/>
      <c r="U29" s="254" t="n"/>
      <c r="V29" s="254" t="n"/>
      <c r="W29" s="254" t="n"/>
      <c r="X29" s="254" t="n"/>
      <c r="Y29" s="254" t="n"/>
      <c r="Z29" s="254" t="n"/>
      <c r="AA29" s="254" t="n"/>
      <c r="AB29" s="254" t="n"/>
      <c r="AC29" s="277">
        <f>IF(A29="","",IF(AND(AB29="Yes",T29&lt;&gt;"",U29&lt;&gt;""),"Yes","No"))</f>
        <v/>
      </c>
    </row>
    <row r="30">
      <c r="A30" s="81" t="n"/>
      <c r="B30" s="356" t="n"/>
      <c r="C30" s="356" t="n"/>
      <c r="D30" s="356" t="n"/>
      <c r="E30" s="356" t="n"/>
      <c r="F30" s="356" t="n"/>
      <c r="G30" s="356" t="n"/>
      <c r="H30" s="302">
        <f>IF(OR(F30="",G30=""),"",IF(F30=G30,1,0))</f>
        <v/>
      </c>
      <c r="I30" s="302">
        <f>IF(OR(F30="",G30=""),"",IF(ABS(F30-G30)&lt;=1,1,0))</f>
        <v/>
      </c>
      <c r="J30" s="356" t="n"/>
      <c r="K30" s="356" t="n"/>
      <c r="L30" s="356" t="n"/>
      <c r="M30" s="356" t="n"/>
      <c r="N30" s="356" t="n"/>
      <c r="O30" s="356" t="n"/>
      <c r="P30" s="356" t="n"/>
      <c r="Q30" s="356" t="n"/>
      <c r="R30" s="103" t="n"/>
      <c r="S30" s="253" t="n"/>
      <c r="T30" s="254" t="n"/>
      <c r="U30" s="254" t="n"/>
      <c r="V30" s="254" t="n"/>
      <c r="W30" s="254" t="n"/>
      <c r="X30" s="254" t="n"/>
      <c r="Y30" s="254" t="n"/>
      <c r="Z30" s="254" t="n"/>
      <c r="AA30" s="254" t="n"/>
      <c r="AB30" s="254" t="n"/>
      <c r="AC30" s="277">
        <f>IF(A30="","",IF(AND(AB30="Yes",T30&lt;&gt;"",U30&lt;&gt;""),"Yes","No"))</f>
        <v/>
      </c>
    </row>
    <row r="31">
      <c r="A31" s="81" t="n"/>
      <c r="B31" s="356" t="n"/>
      <c r="C31" s="356" t="n"/>
      <c r="D31" s="356" t="n"/>
      <c r="E31" s="356" t="n"/>
      <c r="F31" s="356" t="n"/>
      <c r="G31" s="356" t="n"/>
      <c r="H31" s="302">
        <f>IF(OR(F31="",G31=""),"",IF(F31=G31,1,0))</f>
        <v/>
      </c>
      <c r="I31" s="302">
        <f>IF(OR(F31="",G31=""),"",IF(ABS(F31-G31)&lt;=1,1,0))</f>
        <v/>
      </c>
      <c r="J31" s="356" t="n"/>
      <c r="K31" s="356" t="n"/>
      <c r="L31" s="356" t="n"/>
      <c r="M31" s="356" t="n"/>
      <c r="N31" s="356" t="n"/>
      <c r="O31" s="356" t="n"/>
      <c r="P31" s="356" t="n"/>
      <c r="Q31" s="356" t="n"/>
      <c r="R31" s="103" t="n"/>
      <c r="S31" s="253" t="n"/>
      <c r="T31" s="254" t="n"/>
      <c r="U31" s="254" t="n"/>
      <c r="V31" s="254" t="n"/>
      <c r="W31" s="254" t="n"/>
      <c r="X31" s="254" t="n"/>
      <c r="Y31" s="254" t="n"/>
      <c r="Z31" s="254" t="n"/>
      <c r="AA31" s="254" t="n"/>
      <c r="AB31" s="254" t="n"/>
      <c r="AC31" s="277">
        <f>IF(A31="","",IF(AND(AB31="Yes",T31&lt;&gt;"",U31&lt;&gt;""),"Yes","No"))</f>
        <v/>
      </c>
    </row>
    <row r="32">
      <c r="A32" s="81" t="n"/>
      <c r="B32" s="356" t="n"/>
      <c r="C32" s="356" t="n"/>
      <c r="D32" s="356" t="n"/>
      <c r="E32" s="356" t="n"/>
      <c r="F32" s="356" t="n"/>
      <c r="G32" s="356" t="n"/>
      <c r="H32" s="302">
        <f>IF(OR(F32="",G32=""),"",IF(F32=G32,1,0))</f>
        <v/>
      </c>
      <c r="I32" s="302">
        <f>IF(OR(F32="",G32=""),"",IF(ABS(F32-G32)&lt;=1,1,0))</f>
        <v/>
      </c>
      <c r="J32" s="356" t="n"/>
      <c r="K32" s="356" t="n"/>
      <c r="L32" s="356" t="n"/>
      <c r="M32" s="356" t="n"/>
      <c r="N32" s="356" t="n"/>
      <c r="O32" s="356" t="n"/>
      <c r="P32" s="356" t="n"/>
      <c r="Q32" s="356" t="n"/>
      <c r="R32" s="103" t="n"/>
      <c r="S32" s="253" t="n"/>
      <c r="T32" s="254" t="n"/>
      <c r="U32" s="254" t="n"/>
      <c r="V32" s="254" t="n"/>
      <c r="W32" s="254" t="n"/>
      <c r="X32" s="254" t="n"/>
      <c r="Y32" s="254" t="n"/>
      <c r="Z32" s="254" t="n"/>
      <c r="AA32" s="254" t="n"/>
      <c r="AB32" s="254" t="n"/>
      <c r="AC32" s="277">
        <f>IF(A32="","",IF(AND(AB32="Yes",T32&lt;&gt;"",U32&lt;&gt;""),"Yes","No"))</f>
        <v/>
      </c>
    </row>
    <row r="33">
      <c r="A33" s="81" t="n"/>
      <c r="B33" s="356" t="n"/>
      <c r="C33" s="356" t="n"/>
      <c r="D33" s="356" t="n"/>
      <c r="E33" s="356" t="n"/>
      <c r="F33" s="356" t="n"/>
      <c r="G33" s="356" t="n"/>
      <c r="H33" s="302">
        <f>IF(OR(F33="",G33=""),"",IF(F33=G33,1,0))</f>
        <v/>
      </c>
      <c r="I33" s="302">
        <f>IF(OR(F33="",G33=""),"",IF(ABS(F33-G33)&lt;=1,1,0))</f>
        <v/>
      </c>
      <c r="J33" s="356" t="n"/>
      <c r="K33" s="356" t="n"/>
      <c r="L33" s="356" t="n"/>
      <c r="M33" s="356" t="n"/>
      <c r="N33" s="356" t="n"/>
      <c r="O33" s="356" t="n"/>
      <c r="P33" s="356" t="n"/>
      <c r="Q33" s="356" t="n"/>
      <c r="R33" s="103" t="n"/>
      <c r="S33" s="253" t="n"/>
      <c r="T33" s="254" t="n"/>
      <c r="U33" s="254" t="n"/>
      <c r="V33" s="254" t="n"/>
      <c r="W33" s="254" t="n"/>
      <c r="X33" s="254" t="n"/>
      <c r="Y33" s="254" t="n"/>
      <c r="Z33" s="254" t="n"/>
      <c r="AA33" s="254" t="n"/>
      <c r="AB33" s="254" t="n"/>
      <c r="AC33" s="277">
        <f>IF(A33="","",IF(AND(AB33="Yes",T33&lt;&gt;"",U33&lt;&gt;""),"Yes","No"))</f>
        <v/>
      </c>
    </row>
    <row r="34">
      <c r="A34" s="81" t="n"/>
      <c r="B34" s="356" t="n"/>
      <c r="C34" s="356" t="n"/>
      <c r="D34" s="356" t="n"/>
      <c r="E34" s="356" t="n"/>
      <c r="F34" s="356" t="n"/>
      <c r="G34" s="356" t="n"/>
      <c r="H34" s="302">
        <f>IF(OR(F34="",G34=""),"",IF(F34=G34,1,0))</f>
        <v/>
      </c>
      <c r="I34" s="302">
        <f>IF(OR(F34="",G34=""),"",IF(ABS(F34-G34)&lt;=1,1,0))</f>
        <v/>
      </c>
      <c r="J34" s="356" t="n"/>
      <c r="K34" s="356" t="n"/>
      <c r="L34" s="356" t="n"/>
      <c r="M34" s="356" t="n"/>
      <c r="N34" s="356" t="n"/>
      <c r="O34" s="356" t="n"/>
      <c r="P34" s="356" t="n"/>
      <c r="Q34" s="356" t="n"/>
      <c r="R34" s="103" t="n"/>
      <c r="S34" s="253" t="n"/>
      <c r="T34" s="254" t="n"/>
      <c r="U34" s="254" t="n"/>
      <c r="V34" s="254" t="n"/>
      <c r="W34" s="254" t="n"/>
      <c r="X34" s="254" t="n"/>
      <c r="Y34" s="254" t="n"/>
      <c r="Z34" s="254" t="n"/>
      <c r="AA34" s="254" t="n"/>
      <c r="AB34" s="254" t="n"/>
      <c r="AC34" s="277">
        <f>IF(A34="","",IF(AND(AB34="Yes",T34&lt;&gt;"",U34&lt;&gt;""),"Yes","No"))</f>
        <v/>
      </c>
    </row>
    <row r="35">
      <c r="A35" s="81" t="n"/>
      <c r="B35" s="356" t="n"/>
      <c r="C35" s="356" t="n"/>
      <c r="D35" s="356" t="n"/>
      <c r="E35" s="356" t="n"/>
      <c r="F35" s="356" t="n"/>
      <c r="G35" s="356" t="n"/>
      <c r="H35" s="302">
        <f>IF(OR(F35="",G35=""),"",IF(F35=G35,1,0))</f>
        <v/>
      </c>
      <c r="I35" s="302">
        <f>IF(OR(F35="",G35=""),"",IF(ABS(F35-G35)&lt;=1,1,0))</f>
        <v/>
      </c>
      <c r="J35" s="356" t="n"/>
      <c r="K35" s="356" t="n"/>
      <c r="L35" s="356" t="n"/>
      <c r="M35" s="356" t="n"/>
      <c r="N35" s="356" t="n"/>
      <c r="O35" s="356" t="n"/>
      <c r="P35" s="356" t="n"/>
      <c r="Q35" s="356" t="n"/>
      <c r="R35" s="103" t="n"/>
      <c r="S35" s="253" t="n"/>
      <c r="T35" s="254" t="n"/>
      <c r="U35" s="254" t="n"/>
      <c r="V35" s="254" t="n"/>
      <c r="W35" s="254" t="n"/>
      <c r="X35" s="254" t="n"/>
      <c r="Y35" s="254" t="n"/>
      <c r="Z35" s="254" t="n"/>
      <c r="AA35" s="254" t="n"/>
      <c r="AB35" s="254" t="n"/>
      <c r="AC35" s="277">
        <f>IF(A35="","",IF(AND(AB35="Yes",T35&lt;&gt;"",U35&lt;&gt;""),"Yes","No"))</f>
        <v/>
      </c>
    </row>
    <row r="36">
      <c r="A36" s="81" t="n"/>
      <c r="B36" s="356" t="n"/>
      <c r="C36" s="356" t="n"/>
      <c r="D36" s="356" t="n"/>
      <c r="E36" s="356" t="n"/>
      <c r="F36" s="356" t="n"/>
      <c r="G36" s="356" t="n"/>
      <c r="H36" s="302">
        <f>IF(OR(F36="",G36=""),"",IF(F36=G36,1,0))</f>
        <v/>
      </c>
      <c r="I36" s="302">
        <f>IF(OR(F36="",G36=""),"",IF(ABS(F36-G36)&lt;=1,1,0))</f>
        <v/>
      </c>
      <c r="J36" s="356" t="n"/>
      <c r="K36" s="356" t="n"/>
      <c r="L36" s="356" t="n"/>
      <c r="M36" s="356" t="n"/>
      <c r="N36" s="356" t="n"/>
      <c r="O36" s="356" t="n"/>
      <c r="P36" s="356" t="n"/>
      <c r="Q36" s="356" t="n"/>
      <c r="R36" s="103" t="n"/>
      <c r="S36" s="253" t="n"/>
      <c r="T36" s="254" t="n"/>
      <c r="U36" s="254" t="n"/>
      <c r="V36" s="254" t="n"/>
      <c r="W36" s="254" t="n"/>
      <c r="X36" s="254" t="n"/>
      <c r="Y36" s="254" t="n"/>
      <c r="Z36" s="254" t="n"/>
      <c r="AA36" s="254" t="n"/>
      <c r="AB36" s="254" t="n"/>
      <c r="AC36" s="277">
        <f>IF(A36="","",IF(AND(AB36="Yes",T36&lt;&gt;"",U36&lt;&gt;""),"Yes","No"))</f>
        <v/>
      </c>
    </row>
    <row r="37">
      <c r="A37" s="81" t="n"/>
      <c r="B37" s="356" t="n"/>
      <c r="C37" s="356" t="n"/>
      <c r="D37" s="356" t="n"/>
      <c r="E37" s="356" t="n"/>
      <c r="F37" s="356" t="n"/>
      <c r="G37" s="356" t="n"/>
      <c r="H37" s="302">
        <f>IF(OR(F37="",G37=""),"",IF(F37=G37,1,0))</f>
        <v/>
      </c>
      <c r="I37" s="302">
        <f>IF(OR(F37="",G37=""),"",IF(ABS(F37-G37)&lt;=1,1,0))</f>
        <v/>
      </c>
      <c r="J37" s="356" t="n"/>
      <c r="K37" s="356" t="n"/>
      <c r="L37" s="356" t="n"/>
      <c r="M37" s="356" t="n"/>
      <c r="N37" s="356" t="n"/>
      <c r="O37" s="356" t="n"/>
      <c r="P37" s="356" t="n"/>
      <c r="Q37" s="356" t="n"/>
      <c r="R37" s="103" t="n"/>
      <c r="S37" s="253" t="n"/>
      <c r="T37" s="254" t="n"/>
      <c r="U37" s="254" t="n"/>
      <c r="V37" s="254" t="n"/>
      <c r="W37" s="254" t="n"/>
      <c r="X37" s="254" t="n"/>
      <c r="Y37" s="254" t="n"/>
      <c r="Z37" s="254" t="n"/>
      <c r="AA37" s="254" t="n"/>
      <c r="AB37" s="254" t="n"/>
      <c r="AC37" s="277">
        <f>IF(A37="","",IF(AND(AB37="Yes",T37&lt;&gt;"",U37&lt;&gt;""),"Yes","No"))</f>
        <v/>
      </c>
    </row>
    <row r="38">
      <c r="A38" s="81" t="n"/>
      <c r="B38" s="356" t="n"/>
      <c r="C38" s="356" t="n"/>
      <c r="D38" s="356" t="n"/>
      <c r="E38" s="356" t="n"/>
      <c r="F38" s="356" t="n"/>
      <c r="G38" s="356" t="n"/>
      <c r="H38" s="302">
        <f>IF(OR(F38="",G38=""),"",IF(F38=G38,1,0))</f>
        <v/>
      </c>
      <c r="I38" s="302">
        <f>IF(OR(F38="",G38=""),"",IF(ABS(F38-G38)&lt;=1,1,0))</f>
        <v/>
      </c>
      <c r="J38" s="356" t="n"/>
      <c r="K38" s="356" t="n"/>
      <c r="L38" s="356" t="n"/>
      <c r="M38" s="356" t="n"/>
      <c r="N38" s="356" t="n"/>
      <c r="O38" s="356" t="n"/>
      <c r="P38" s="356" t="n"/>
      <c r="Q38" s="356" t="n"/>
      <c r="R38" s="103" t="n"/>
      <c r="S38" s="253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77">
        <f>IF(A38="","",IF(AND(AB38="Yes",T38&lt;&gt;"",U38&lt;&gt;""),"Yes","No"))</f>
        <v/>
      </c>
    </row>
    <row r="39">
      <c r="A39" s="81" t="n"/>
      <c r="B39" s="356" t="n"/>
      <c r="C39" s="356" t="n"/>
      <c r="D39" s="356" t="n"/>
      <c r="E39" s="356" t="n"/>
      <c r="F39" s="356" t="n"/>
      <c r="G39" s="356" t="n"/>
      <c r="H39" s="302">
        <f>IF(OR(F39="",G39=""),"",IF(F39=G39,1,0))</f>
        <v/>
      </c>
      <c r="I39" s="302">
        <f>IF(OR(F39="",G39=""),"",IF(ABS(F39-G39)&lt;=1,1,0))</f>
        <v/>
      </c>
      <c r="J39" s="356" t="n"/>
      <c r="K39" s="356" t="n"/>
      <c r="L39" s="356" t="n"/>
      <c r="M39" s="356" t="n"/>
      <c r="N39" s="356" t="n"/>
      <c r="O39" s="356" t="n"/>
      <c r="P39" s="356" t="n"/>
      <c r="Q39" s="356" t="n"/>
      <c r="R39" s="103" t="n"/>
      <c r="S39" s="253" t="n"/>
      <c r="T39" s="254" t="n"/>
      <c r="U39" s="254" t="n"/>
      <c r="V39" s="254" t="n"/>
      <c r="W39" s="254" t="n"/>
      <c r="X39" s="254" t="n"/>
      <c r="Y39" s="254" t="n"/>
      <c r="Z39" s="254" t="n"/>
      <c r="AA39" s="254" t="n"/>
      <c r="AB39" s="254" t="n"/>
      <c r="AC39" s="277">
        <f>IF(A39="","",IF(AND(AB39="Yes",T39&lt;&gt;"",U39&lt;&gt;""),"Yes","No"))</f>
        <v/>
      </c>
    </row>
    <row r="40">
      <c r="A40" s="81" t="n"/>
      <c r="B40" s="356" t="n"/>
      <c r="C40" s="356" t="n"/>
      <c r="D40" s="356" t="n"/>
      <c r="E40" s="356" t="n"/>
      <c r="F40" s="356" t="n"/>
      <c r="G40" s="356" t="n"/>
      <c r="H40" s="302">
        <f>IF(OR(F40="",G40=""),"",IF(F40=G40,1,0))</f>
        <v/>
      </c>
      <c r="I40" s="302">
        <f>IF(OR(F40="",G40=""),"",IF(ABS(F40-G40)&lt;=1,1,0))</f>
        <v/>
      </c>
      <c r="J40" s="356" t="n"/>
      <c r="K40" s="356" t="n"/>
      <c r="L40" s="356" t="n"/>
      <c r="M40" s="356" t="n"/>
      <c r="N40" s="356" t="n"/>
      <c r="O40" s="356" t="n"/>
      <c r="P40" s="356" t="n"/>
      <c r="Q40" s="356" t="n"/>
      <c r="R40" s="103" t="n"/>
      <c r="S40" s="253" t="n"/>
      <c r="T40" s="254" t="n"/>
      <c r="U40" s="254" t="n"/>
      <c r="V40" s="254" t="n"/>
      <c r="W40" s="254" t="n"/>
      <c r="X40" s="254" t="n"/>
      <c r="Y40" s="254" t="n"/>
      <c r="Z40" s="254" t="n"/>
      <c r="AA40" s="254" t="n"/>
      <c r="AB40" s="254" t="n"/>
      <c r="AC40" s="277">
        <f>IF(A40="","",IF(AND(AB40="Yes",T40&lt;&gt;"",U40&lt;&gt;""),"Yes","No"))</f>
        <v/>
      </c>
    </row>
    <row r="41">
      <c r="A41" s="81" t="n"/>
      <c r="B41" s="356" t="n"/>
      <c r="C41" s="356" t="n"/>
      <c r="D41" s="356" t="n"/>
      <c r="E41" s="356" t="n"/>
      <c r="F41" s="356" t="n"/>
      <c r="G41" s="356" t="n"/>
      <c r="H41" s="302">
        <f>IF(OR(F41="",G41=""),"",IF(F41=G41,1,0))</f>
        <v/>
      </c>
      <c r="I41" s="302">
        <f>IF(OR(F41="",G41=""),"",IF(ABS(F41-G41)&lt;=1,1,0))</f>
        <v/>
      </c>
      <c r="J41" s="356" t="n"/>
      <c r="K41" s="356" t="n"/>
      <c r="L41" s="356" t="n"/>
      <c r="M41" s="356" t="n"/>
      <c r="N41" s="356" t="n"/>
      <c r="O41" s="356" t="n"/>
      <c r="P41" s="356" t="n"/>
      <c r="Q41" s="356" t="n"/>
      <c r="R41" s="103" t="n"/>
      <c r="S41" s="253" t="n"/>
      <c r="T41" s="254" t="n"/>
      <c r="U41" s="254" t="n"/>
      <c r="V41" s="254" t="n"/>
      <c r="W41" s="254" t="n"/>
      <c r="X41" s="254" t="n"/>
      <c r="Y41" s="254" t="n"/>
      <c r="Z41" s="254" t="n"/>
      <c r="AA41" s="254" t="n"/>
      <c r="AB41" s="254" t="n"/>
      <c r="AC41" s="277">
        <f>IF(A41="","",IF(AND(AB41="Yes",T41&lt;&gt;"",U41&lt;&gt;""),"Yes","No"))</f>
        <v/>
      </c>
    </row>
    <row r="42">
      <c r="A42" s="81" t="n"/>
      <c r="B42" s="356" t="n"/>
      <c r="C42" s="356" t="n"/>
      <c r="D42" s="356" t="n"/>
      <c r="E42" s="356" t="n"/>
      <c r="F42" s="356" t="n"/>
      <c r="G42" s="356" t="n"/>
      <c r="H42" s="302">
        <f>IF(OR(F42="",G42=""),"",IF(F42=G42,1,0))</f>
        <v/>
      </c>
      <c r="I42" s="302">
        <f>IF(OR(F42="",G42=""),"",IF(ABS(F42-G42)&lt;=1,1,0))</f>
        <v/>
      </c>
      <c r="J42" s="356" t="n"/>
      <c r="K42" s="356" t="n"/>
      <c r="L42" s="356" t="n"/>
      <c r="M42" s="356" t="n"/>
      <c r="N42" s="356" t="n"/>
      <c r="O42" s="356" t="n"/>
      <c r="P42" s="356" t="n"/>
      <c r="Q42" s="356" t="n"/>
      <c r="R42" s="103" t="n"/>
      <c r="S42" s="253" t="n"/>
      <c r="T42" s="254" t="n"/>
      <c r="U42" s="254" t="n"/>
      <c r="V42" s="254" t="n"/>
      <c r="W42" s="254" t="n"/>
      <c r="X42" s="254" t="n"/>
      <c r="Y42" s="254" t="n"/>
      <c r="Z42" s="254" t="n"/>
      <c r="AA42" s="254" t="n"/>
      <c r="AB42" s="254" t="n"/>
      <c r="AC42" s="277">
        <f>IF(A42="","",IF(AND(AB42="Yes",T42&lt;&gt;"",U42&lt;&gt;""),"Yes","No"))</f>
        <v/>
      </c>
    </row>
    <row r="43">
      <c r="A43" s="81" t="n"/>
      <c r="B43" s="356" t="n"/>
      <c r="C43" s="356" t="n"/>
      <c r="D43" s="356" t="n"/>
      <c r="E43" s="356" t="n"/>
      <c r="F43" s="356" t="n"/>
      <c r="G43" s="356" t="n"/>
      <c r="H43" s="302">
        <f>IF(OR(F43="",G43=""),"",IF(F43=G43,1,0))</f>
        <v/>
      </c>
      <c r="I43" s="302">
        <f>IF(OR(F43="",G43=""),"",IF(ABS(F43-G43)&lt;=1,1,0))</f>
        <v/>
      </c>
      <c r="J43" s="356" t="n"/>
      <c r="K43" s="356" t="n"/>
      <c r="L43" s="356" t="n"/>
      <c r="M43" s="356" t="n"/>
      <c r="N43" s="356" t="n"/>
      <c r="O43" s="356" t="n"/>
      <c r="P43" s="356" t="n"/>
      <c r="Q43" s="356" t="n"/>
      <c r="R43" s="103" t="n"/>
      <c r="S43" s="253" t="n"/>
      <c r="T43" s="254" t="n"/>
      <c r="U43" s="254" t="n"/>
      <c r="V43" s="254" t="n"/>
      <c r="W43" s="254" t="n"/>
      <c r="X43" s="254" t="n"/>
      <c r="Y43" s="254" t="n"/>
      <c r="Z43" s="254" t="n"/>
      <c r="AA43" s="254" t="n"/>
      <c r="AB43" s="254" t="n"/>
      <c r="AC43" s="277">
        <f>IF(A43="","",IF(AND(AB43="Yes",T43&lt;&gt;"",U43&lt;&gt;""),"Yes","No"))</f>
        <v/>
      </c>
    </row>
    <row r="44">
      <c r="A44" s="81" t="n"/>
      <c r="B44" s="356" t="n"/>
      <c r="C44" s="356" t="n"/>
      <c r="D44" s="356" t="n"/>
      <c r="E44" s="356" t="n"/>
      <c r="F44" s="356" t="n"/>
      <c r="G44" s="356" t="n"/>
      <c r="H44" s="302">
        <f>IF(OR(F44="",G44=""),"",IF(F44=G44,1,0))</f>
        <v/>
      </c>
      <c r="I44" s="302">
        <f>IF(OR(F44="",G44=""),"",IF(ABS(F44-G44)&lt;=1,1,0))</f>
        <v/>
      </c>
      <c r="J44" s="356" t="n"/>
      <c r="K44" s="356" t="n"/>
      <c r="L44" s="356" t="n"/>
      <c r="M44" s="356" t="n"/>
      <c r="N44" s="356" t="n"/>
      <c r="O44" s="356" t="n"/>
      <c r="P44" s="356" t="n"/>
      <c r="Q44" s="356" t="n"/>
      <c r="R44" s="103" t="n"/>
      <c r="S44" s="253" t="n"/>
      <c r="T44" s="254" t="n"/>
      <c r="U44" s="254" t="n"/>
      <c r="V44" s="254" t="n"/>
      <c r="W44" s="254" t="n"/>
      <c r="X44" s="254" t="n"/>
      <c r="Y44" s="254" t="n"/>
      <c r="Z44" s="254" t="n"/>
      <c r="AA44" s="254" t="n"/>
      <c r="AB44" s="254" t="n"/>
      <c r="AC44" s="277">
        <f>IF(A44="","",IF(AND(AB44="Yes",T44&lt;&gt;"",U44&lt;&gt;""),"Yes","No"))</f>
        <v/>
      </c>
    </row>
    <row r="45">
      <c r="A45" s="81" t="n"/>
      <c r="B45" s="356" t="n"/>
      <c r="C45" s="356" t="n"/>
      <c r="D45" s="356" t="n"/>
      <c r="E45" s="356" t="n"/>
      <c r="F45" s="356" t="n"/>
      <c r="G45" s="356" t="n"/>
      <c r="H45" s="302">
        <f>IF(OR(F45="",G45=""),"",IF(F45=G45,1,0))</f>
        <v/>
      </c>
      <c r="I45" s="302">
        <f>IF(OR(F45="",G45=""),"",IF(ABS(F45-G45)&lt;=1,1,0))</f>
        <v/>
      </c>
      <c r="J45" s="356" t="n"/>
      <c r="K45" s="356" t="n"/>
      <c r="L45" s="356" t="n"/>
      <c r="M45" s="356" t="n"/>
      <c r="N45" s="356" t="n"/>
      <c r="O45" s="356" t="n"/>
      <c r="P45" s="356" t="n"/>
      <c r="Q45" s="356" t="n"/>
      <c r="R45" s="103" t="n"/>
      <c r="S45" s="253" t="n"/>
      <c r="T45" s="254" t="n"/>
      <c r="U45" s="254" t="n"/>
      <c r="V45" s="254" t="n"/>
      <c r="W45" s="254" t="n"/>
      <c r="X45" s="254" t="n"/>
      <c r="Y45" s="254" t="n"/>
      <c r="Z45" s="254" t="n"/>
      <c r="AA45" s="254" t="n"/>
      <c r="AB45" s="254" t="n"/>
      <c r="AC45" s="277">
        <f>IF(A45="","",IF(AND(AB45="Yes",T45&lt;&gt;"",U45&lt;&gt;""),"Yes","No"))</f>
        <v/>
      </c>
    </row>
    <row r="46">
      <c r="A46" s="81" t="n"/>
      <c r="B46" s="356" t="n"/>
      <c r="C46" s="356" t="n"/>
      <c r="D46" s="356" t="n"/>
      <c r="E46" s="356" t="n"/>
      <c r="F46" s="356" t="n"/>
      <c r="G46" s="356" t="n"/>
      <c r="H46" s="302">
        <f>IF(OR(F46="",G46=""),"",IF(F46=G46,1,0))</f>
        <v/>
      </c>
      <c r="I46" s="302">
        <f>IF(OR(F46="",G46=""),"",IF(ABS(F46-G46)&lt;=1,1,0))</f>
        <v/>
      </c>
      <c r="J46" s="356" t="n"/>
      <c r="K46" s="356" t="n"/>
      <c r="L46" s="356" t="n"/>
      <c r="M46" s="356" t="n"/>
      <c r="N46" s="356" t="n"/>
      <c r="O46" s="356" t="n"/>
      <c r="P46" s="356" t="n"/>
      <c r="Q46" s="356" t="n"/>
      <c r="R46" s="103" t="n"/>
      <c r="S46" s="253" t="n"/>
      <c r="T46" s="254" t="n"/>
      <c r="U46" s="254" t="n"/>
      <c r="V46" s="254" t="n"/>
      <c r="W46" s="254" t="n"/>
      <c r="X46" s="254" t="n"/>
      <c r="Y46" s="254" t="n"/>
      <c r="Z46" s="254" t="n"/>
      <c r="AA46" s="254" t="n"/>
      <c r="AB46" s="254" t="n"/>
      <c r="AC46" s="277">
        <f>IF(A46="","",IF(AND(AB46="Yes",T46&lt;&gt;"",U46&lt;&gt;""),"Yes","No"))</f>
        <v/>
      </c>
    </row>
    <row r="47">
      <c r="A47" s="81" t="n"/>
      <c r="B47" s="356" t="n"/>
      <c r="C47" s="356" t="n"/>
      <c r="D47" s="356" t="n"/>
      <c r="E47" s="356" t="n"/>
      <c r="F47" s="356" t="n"/>
      <c r="G47" s="356" t="n"/>
      <c r="H47" s="302">
        <f>IF(OR(F47="",G47=""),"",IF(F47=G47,1,0))</f>
        <v/>
      </c>
      <c r="I47" s="302">
        <f>IF(OR(F47="",G47=""),"",IF(ABS(F47-G47)&lt;=1,1,0))</f>
        <v/>
      </c>
      <c r="J47" s="356" t="n"/>
      <c r="K47" s="356" t="n"/>
      <c r="L47" s="356" t="n"/>
      <c r="M47" s="356" t="n"/>
      <c r="N47" s="356" t="n"/>
      <c r="O47" s="356" t="n"/>
      <c r="P47" s="356" t="n"/>
      <c r="Q47" s="356" t="n"/>
      <c r="R47" s="103" t="n"/>
      <c r="S47" s="253" t="n"/>
      <c r="T47" s="254" t="n"/>
      <c r="U47" s="254" t="n"/>
      <c r="V47" s="254" t="n"/>
      <c r="W47" s="254" t="n"/>
      <c r="X47" s="254" t="n"/>
      <c r="Y47" s="254" t="n"/>
      <c r="Z47" s="254" t="n"/>
      <c r="AA47" s="254" t="n"/>
      <c r="AB47" s="254" t="n"/>
      <c r="AC47" s="277">
        <f>IF(A47="","",IF(AND(AB47="Yes",T47&lt;&gt;"",U47&lt;&gt;""),"Yes","No"))</f>
        <v/>
      </c>
    </row>
    <row r="48">
      <c r="A48" s="81" t="n"/>
      <c r="B48" s="356" t="n"/>
      <c r="C48" s="356" t="n"/>
      <c r="D48" s="356" t="n"/>
      <c r="E48" s="356" t="n"/>
      <c r="F48" s="356" t="n"/>
      <c r="G48" s="356" t="n"/>
      <c r="H48" s="302">
        <f>IF(OR(F48="",G48=""),"",IF(F48=G48,1,0))</f>
        <v/>
      </c>
      <c r="I48" s="302">
        <f>IF(OR(F48="",G48=""),"",IF(ABS(F48-G48)&lt;=1,1,0))</f>
        <v/>
      </c>
      <c r="J48" s="356" t="n"/>
      <c r="K48" s="356" t="n"/>
      <c r="L48" s="356" t="n"/>
      <c r="M48" s="356" t="n"/>
      <c r="N48" s="356" t="n"/>
      <c r="O48" s="356" t="n"/>
      <c r="P48" s="356" t="n"/>
      <c r="Q48" s="356" t="n"/>
      <c r="R48" s="103" t="n"/>
      <c r="S48" s="253" t="n"/>
      <c r="T48" s="254" t="n"/>
      <c r="U48" s="254" t="n"/>
      <c r="V48" s="254" t="n"/>
      <c r="W48" s="254" t="n"/>
      <c r="X48" s="254" t="n"/>
      <c r="Y48" s="254" t="n"/>
      <c r="Z48" s="254" t="n"/>
      <c r="AA48" s="254" t="n"/>
      <c r="AB48" s="254" t="n"/>
      <c r="AC48" s="277">
        <f>IF(A48="","",IF(AND(AB48="Yes",T48&lt;&gt;"",U48&lt;&gt;""),"Yes","No"))</f>
        <v/>
      </c>
    </row>
    <row r="49">
      <c r="A49" s="81" t="n"/>
      <c r="B49" s="356" t="n"/>
      <c r="C49" s="356" t="n"/>
      <c r="D49" s="356" t="n"/>
      <c r="E49" s="356" t="n"/>
      <c r="F49" s="356" t="n"/>
      <c r="G49" s="356" t="n"/>
      <c r="H49" s="302">
        <f>IF(OR(F49="",G49=""),"",IF(F49=G49,1,0))</f>
        <v/>
      </c>
      <c r="I49" s="302">
        <f>IF(OR(F49="",G49=""),"",IF(ABS(F49-G49)&lt;=1,1,0))</f>
        <v/>
      </c>
      <c r="J49" s="356" t="n"/>
      <c r="K49" s="356" t="n"/>
      <c r="L49" s="356" t="n"/>
      <c r="M49" s="356" t="n"/>
      <c r="N49" s="356" t="n"/>
      <c r="O49" s="356" t="n"/>
      <c r="P49" s="356" t="n"/>
      <c r="Q49" s="356" t="n"/>
      <c r="R49" s="103" t="n"/>
      <c r="S49" s="253" t="n"/>
      <c r="T49" s="254" t="n"/>
      <c r="U49" s="254" t="n"/>
      <c r="V49" s="254" t="n"/>
      <c r="W49" s="254" t="n"/>
      <c r="X49" s="254" t="n"/>
      <c r="Y49" s="254" t="n"/>
      <c r="Z49" s="254" t="n"/>
      <c r="AA49" s="254" t="n"/>
      <c r="AB49" s="254" t="n"/>
      <c r="AC49" s="277">
        <f>IF(A49="","",IF(AND(AB49="Yes",T49&lt;&gt;"",U49&lt;&gt;""),"Yes","No"))</f>
        <v/>
      </c>
    </row>
    <row r="50">
      <c r="A50" s="81" t="n"/>
      <c r="B50" s="356" t="n"/>
      <c r="C50" s="356" t="n"/>
      <c r="D50" s="356" t="n"/>
      <c r="E50" s="356" t="n"/>
      <c r="F50" s="356" t="n"/>
      <c r="G50" s="356" t="n"/>
      <c r="H50" s="302">
        <f>IF(OR(F50="",G50=""),"",IF(F50=G50,1,0))</f>
        <v/>
      </c>
      <c r="I50" s="302">
        <f>IF(OR(F50="",G50=""),"",IF(ABS(F50-G50)&lt;=1,1,0))</f>
        <v/>
      </c>
      <c r="J50" s="356" t="n"/>
      <c r="K50" s="356" t="n"/>
      <c r="L50" s="356" t="n"/>
      <c r="M50" s="356" t="n"/>
      <c r="N50" s="356" t="n"/>
      <c r="O50" s="356" t="n"/>
      <c r="P50" s="356" t="n"/>
      <c r="Q50" s="356" t="n"/>
      <c r="R50" s="103" t="n"/>
      <c r="S50" s="253" t="n"/>
      <c r="T50" s="254" t="n"/>
      <c r="U50" s="254" t="n"/>
      <c r="V50" s="254" t="n"/>
      <c r="W50" s="254" t="n"/>
      <c r="X50" s="254" t="n"/>
      <c r="Y50" s="254" t="n"/>
      <c r="Z50" s="254" t="n"/>
      <c r="AA50" s="254" t="n"/>
      <c r="AB50" s="254" t="n"/>
      <c r="AC50" s="277">
        <f>IF(A50="","",IF(AND(AB50="Yes",T50&lt;&gt;"",U50&lt;&gt;""),"Yes","No"))</f>
        <v/>
      </c>
    </row>
    <row r="51">
      <c r="A51" s="81" t="n"/>
      <c r="B51" s="356" t="n"/>
      <c r="C51" s="356" t="n"/>
      <c r="D51" s="356" t="n"/>
      <c r="E51" s="356" t="n"/>
      <c r="F51" s="356" t="n"/>
      <c r="G51" s="356" t="n"/>
      <c r="H51" s="302">
        <f>IF(OR(F51="",G51=""),"",IF(F51=G51,1,0))</f>
        <v/>
      </c>
      <c r="I51" s="302">
        <f>IF(OR(F51="",G51=""),"",IF(ABS(F51-G51)&lt;=1,1,0))</f>
        <v/>
      </c>
      <c r="J51" s="356" t="n"/>
      <c r="K51" s="356" t="n"/>
      <c r="L51" s="356" t="n"/>
      <c r="M51" s="356" t="n"/>
      <c r="N51" s="356" t="n"/>
      <c r="O51" s="356" t="n"/>
      <c r="P51" s="356" t="n"/>
      <c r="Q51" s="356" t="n"/>
      <c r="R51" s="103" t="n"/>
      <c r="S51" s="253" t="n"/>
      <c r="T51" s="254" t="n"/>
      <c r="U51" s="254" t="n"/>
      <c r="V51" s="254" t="n"/>
      <c r="W51" s="254" t="n"/>
      <c r="X51" s="254" t="n"/>
      <c r="Y51" s="254" t="n"/>
      <c r="Z51" s="254" t="n"/>
      <c r="AA51" s="254" t="n"/>
      <c r="AB51" s="254" t="n"/>
      <c r="AC51" s="277">
        <f>IF(A51="","",IF(AND(AB51="Yes",T51&lt;&gt;"",U51&lt;&gt;""),"Yes","No"))</f>
        <v/>
      </c>
    </row>
    <row r="52">
      <c r="A52" s="81" t="n"/>
      <c r="B52" s="356" t="n"/>
      <c r="C52" s="356" t="n"/>
      <c r="D52" s="356" t="n"/>
      <c r="E52" s="356" t="n"/>
      <c r="F52" s="356" t="n"/>
      <c r="G52" s="356" t="n"/>
      <c r="H52" s="302">
        <f>IF(OR(F52="",G52=""),"",IF(F52=G52,1,0))</f>
        <v/>
      </c>
      <c r="I52" s="302">
        <f>IF(OR(F52="",G52=""),"",IF(ABS(F52-G52)&lt;=1,1,0))</f>
        <v/>
      </c>
      <c r="J52" s="356" t="n"/>
      <c r="K52" s="356" t="n"/>
      <c r="L52" s="356" t="n"/>
      <c r="M52" s="356" t="n"/>
      <c r="N52" s="356" t="n"/>
      <c r="O52" s="356" t="n"/>
      <c r="P52" s="356" t="n"/>
      <c r="Q52" s="356" t="n"/>
      <c r="R52" s="103" t="n"/>
      <c r="S52" s="253" t="n"/>
      <c r="T52" s="254" t="n"/>
      <c r="U52" s="254" t="n"/>
      <c r="V52" s="254" t="n"/>
      <c r="W52" s="254" t="n"/>
      <c r="X52" s="254" t="n"/>
      <c r="Y52" s="254" t="n"/>
      <c r="Z52" s="254" t="n"/>
      <c r="AA52" s="254" t="n"/>
      <c r="AB52" s="254" t="n"/>
      <c r="AC52" s="277">
        <f>IF(A52="","",IF(AND(AB52="Yes",T52&lt;&gt;"",U52&lt;&gt;""),"Yes","No"))</f>
        <v/>
      </c>
    </row>
    <row r="53">
      <c r="A53" s="81" t="n"/>
      <c r="B53" s="356" t="n"/>
      <c r="C53" s="356" t="n"/>
      <c r="D53" s="356" t="n"/>
      <c r="E53" s="356" t="n"/>
      <c r="F53" s="356" t="n"/>
      <c r="G53" s="356" t="n"/>
      <c r="H53" s="302">
        <f>IF(OR(F53="",G53=""),"",IF(F53=G53,1,0))</f>
        <v/>
      </c>
      <c r="I53" s="302">
        <f>IF(OR(F53="",G53=""),"",IF(ABS(F53-G53)&lt;=1,1,0))</f>
        <v/>
      </c>
      <c r="J53" s="356" t="n"/>
      <c r="K53" s="356" t="n"/>
      <c r="L53" s="356" t="n"/>
      <c r="M53" s="356" t="n"/>
      <c r="N53" s="356" t="n"/>
      <c r="O53" s="356" t="n"/>
      <c r="P53" s="356" t="n"/>
      <c r="Q53" s="356" t="n"/>
      <c r="R53" s="103" t="n"/>
      <c r="S53" s="253" t="n"/>
      <c r="T53" s="254" t="n"/>
      <c r="U53" s="254" t="n"/>
      <c r="V53" s="254" t="n"/>
      <c r="W53" s="254" t="n"/>
      <c r="X53" s="254" t="n"/>
      <c r="Y53" s="254" t="n"/>
      <c r="Z53" s="254" t="n"/>
      <c r="AA53" s="254" t="n"/>
      <c r="AB53" s="254" t="n"/>
      <c r="AC53" s="277">
        <f>IF(A53="","",IF(AND(AB53="Yes",T53&lt;&gt;"",U53&lt;&gt;""),"Yes","No"))</f>
        <v/>
      </c>
    </row>
    <row r="54">
      <c r="A54" s="81" t="n"/>
      <c r="B54" s="356" t="n"/>
      <c r="C54" s="356" t="n"/>
      <c r="D54" s="356" t="n"/>
      <c r="E54" s="356" t="n"/>
      <c r="F54" s="356" t="n"/>
      <c r="G54" s="356" t="n"/>
      <c r="H54" s="302">
        <f>IF(OR(F54="",G54=""),"",IF(F54=G54,1,0))</f>
        <v/>
      </c>
      <c r="I54" s="302">
        <f>IF(OR(F54="",G54=""),"",IF(ABS(F54-G54)&lt;=1,1,0))</f>
        <v/>
      </c>
      <c r="J54" s="356" t="n"/>
      <c r="K54" s="356" t="n"/>
      <c r="L54" s="356" t="n"/>
      <c r="M54" s="356" t="n"/>
      <c r="N54" s="356" t="n"/>
      <c r="O54" s="356" t="n"/>
      <c r="P54" s="356" t="n"/>
      <c r="Q54" s="356" t="n"/>
      <c r="R54" s="103" t="n"/>
      <c r="S54" s="253" t="n"/>
      <c r="T54" s="254" t="n"/>
      <c r="U54" s="254" t="n"/>
      <c r="V54" s="254" t="n"/>
      <c r="W54" s="254" t="n"/>
      <c r="X54" s="254" t="n"/>
      <c r="Y54" s="254" t="n"/>
      <c r="Z54" s="254" t="n"/>
      <c r="AA54" s="254" t="n"/>
      <c r="AB54" s="254" t="n"/>
      <c r="AC54" s="277">
        <f>IF(A54="","",IF(AND(AB54="Yes",T54&lt;&gt;"",U54&lt;&gt;""),"Yes","No"))</f>
        <v/>
      </c>
    </row>
    <row r="55">
      <c r="A55" s="81" t="n"/>
      <c r="B55" s="356" t="n"/>
      <c r="C55" s="356" t="n"/>
      <c r="D55" s="356" t="n"/>
      <c r="E55" s="356" t="n"/>
      <c r="F55" s="356" t="n"/>
      <c r="G55" s="356" t="n"/>
      <c r="H55" s="302">
        <f>IF(OR(F55="",G55=""),"",IF(F55=G55,1,0))</f>
        <v/>
      </c>
      <c r="I55" s="302">
        <f>IF(OR(F55="",G55=""),"",IF(ABS(F55-G55)&lt;=1,1,0))</f>
        <v/>
      </c>
      <c r="J55" s="356" t="n"/>
      <c r="K55" s="356" t="n"/>
      <c r="L55" s="356" t="n"/>
      <c r="M55" s="356" t="n"/>
      <c r="N55" s="356" t="n"/>
      <c r="O55" s="356" t="n"/>
      <c r="P55" s="356" t="n"/>
      <c r="Q55" s="356" t="n"/>
      <c r="R55" s="103" t="n"/>
      <c r="S55" s="253" t="n"/>
      <c r="T55" s="254" t="n"/>
      <c r="U55" s="254" t="n"/>
      <c r="V55" s="254" t="n"/>
      <c r="W55" s="254" t="n"/>
      <c r="X55" s="254" t="n"/>
      <c r="Y55" s="254" t="n"/>
      <c r="Z55" s="254" t="n"/>
      <c r="AA55" s="254" t="n"/>
      <c r="AB55" s="254" t="n"/>
      <c r="AC55" s="277">
        <f>IF(A55="","",IF(AND(AB55="Yes",T55&lt;&gt;"",U55&lt;&gt;""),"Yes","No"))</f>
        <v/>
      </c>
    </row>
    <row r="56">
      <c r="A56" s="81" t="n"/>
      <c r="B56" s="356" t="n"/>
      <c r="C56" s="356" t="n"/>
      <c r="D56" s="356" t="n"/>
      <c r="E56" s="356" t="n"/>
      <c r="F56" s="356" t="n"/>
      <c r="G56" s="356" t="n"/>
      <c r="H56" s="302">
        <f>IF(OR(F56="",G56=""),"",IF(F56=G56,1,0))</f>
        <v/>
      </c>
      <c r="I56" s="302">
        <f>IF(OR(F56="",G56=""),"",IF(ABS(F56-G56)&lt;=1,1,0))</f>
        <v/>
      </c>
      <c r="J56" s="356" t="n"/>
      <c r="K56" s="356" t="n"/>
      <c r="L56" s="356" t="n"/>
      <c r="M56" s="356" t="n"/>
      <c r="N56" s="356" t="n"/>
      <c r="O56" s="356" t="n"/>
      <c r="P56" s="356" t="n"/>
      <c r="Q56" s="356" t="n"/>
      <c r="R56" s="103" t="n"/>
      <c r="S56" s="253" t="n"/>
      <c r="T56" s="254" t="n"/>
      <c r="U56" s="254" t="n"/>
      <c r="V56" s="254" t="n"/>
      <c r="W56" s="254" t="n"/>
      <c r="X56" s="254" t="n"/>
      <c r="Y56" s="254" t="n"/>
      <c r="Z56" s="254" t="n"/>
      <c r="AA56" s="254" t="n"/>
      <c r="AB56" s="254" t="n"/>
      <c r="AC56" s="277">
        <f>IF(A56="","",IF(AND(AB56="Yes",T56&lt;&gt;"",U56&lt;&gt;""),"Yes","No"))</f>
        <v/>
      </c>
    </row>
    <row r="57">
      <c r="A57" s="81" t="n"/>
      <c r="B57" s="356" t="n"/>
      <c r="C57" s="356" t="n"/>
      <c r="D57" s="356" t="n"/>
      <c r="E57" s="356" t="n"/>
      <c r="F57" s="356" t="n"/>
      <c r="G57" s="356" t="n"/>
      <c r="H57" s="302">
        <f>IF(OR(F57="",G57=""),"",IF(F57=G57,1,0))</f>
        <v/>
      </c>
      <c r="I57" s="302">
        <f>IF(OR(F57="",G57=""),"",IF(ABS(F57-G57)&lt;=1,1,0))</f>
        <v/>
      </c>
      <c r="J57" s="356" t="n"/>
      <c r="K57" s="356" t="n"/>
      <c r="L57" s="356" t="n"/>
      <c r="M57" s="356" t="n"/>
      <c r="N57" s="356" t="n"/>
      <c r="O57" s="356" t="n"/>
      <c r="P57" s="356" t="n"/>
      <c r="Q57" s="356" t="n"/>
      <c r="R57" s="103" t="n"/>
      <c r="S57" s="253" t="n"/>
      <c r="T57" s="254" t="n"/>
      <c r="U57" s="254" t="n"/>
      <c r="V57" s="254" t="n"/>
      <c r="W57" s="254" t="n"/>
      <c r="X57" s="254" t="n"/>
      <c r="Y57" s="254" t="n"/>
      <c r="Z57" s="254" t="n"/>
      <c r="AA57" s="254" t="n"/>
      <c r="AB57" s="254" t="n"/>
      <c r="AC57" s="277">
        <f>IF(A57="","",IF(AND(AB57="Yes",T57&lt;&gt;"",U57&lt;&gt;""),"Yes","No"))</f>
        <v/>
      </c>
    </row>
    <row r="58">
      <c r="A58" s="81" t="n"/>
      <c r="B58" s="356" t="n"/>
      <c r="C58" s="356" t="n"/>
      <c r="D58" s="356" t="n"/>
      <c r="E58" s="356" t="n"/>
      <c r="F58" s="356" t="n"/>
      <c r="G58" s="356" t="n"/>
      <c r="H58" s="302">
        <f>IF(OR(F58="",G58=""),"",IF(F58=G58,1,0))</f>
        <v/>
      </c>
      <c r="I58" s="302">
        <f>IF(OR(F58="",G58=""),"",IF(ABS(F58-G58)&lt;=1,1,0))</f>
        <v/>
      </c>
      <c r="J58" s="356" t="n"/>
      <c r="K58" s="356" t="n"/>
      <c r="L58" s="356" t="n"/>
      <c r="M58" s="356" t="n"/>
      <c r="N58" s="356" t="n"/>
      <c r="O58" s="356" t="n"/>
      <c r="P58" s="356" t="n"/>
      <c r="Q58" s="356" t="n"/>
      <c r="R58" s="103" t="n"/>
      <c r="S58" s="253" t="n"/>
      <c r="T58" s="254" t="n"/>
      <c r="U58" s="254" t="n"/>
      <c r="V58" s="254" t="n"/>
      <c r="W58" s="254" t="n"/>
      <c r="X58" s="254" t="n"/>
      <c r="Y58" s="254" t="n"/>
      <c r="Z58" s="254" t="n"/>
      <c r="AA58" s="254" t="n"/>
      <c r="AB58" s="254" t="n"/>
      <c r="AC58" s="277">
        <f>IF(A58="","",IF(AND(AB58="Yes",T58&lt;&gt;"",U58&lt;&gt;""),"Yes","No"))</f>
        <v/>
      </c>
    </row>
    <row r="59">
      <c r="A59" s="81" t="n"/>
      <c r="B59" s="356" t="n"/>
      <c r="C59" s="356" t="n"/>
      <c r="D59" s="356" t="n"/>
      <c r="E59" s="356" t="n"/>
      <c r="F59" s="356" t="n"/>
      <c r="G59" s="356" t="n"/>
      <c r="H59" s="302">
        <f>IF(OR(F59="",G59=""),"",IF(F59=G59,1,0))</f>
        <v/>
      </c>
      <c r="I59" s="302">
        <f>IF(OR(F59="",G59=""),"",IF(ABS(F59-G59)&lt;=1,1,0))</f>
        <v/>
      </c>
      <c r="J59" s="356" t="n"/>
      <c r="K59" s="356" t="n"/>
      <c r="L59" s="356" t="n"/>
      <c r="M59" s="356" t="n"/>
      <c r="N59" s="356" t="n"/>
      <c r="O59" s="356" t="n"/>
      <c r="P59" s="356" t="n"/>
      <c r="Q59" s="356" t="n"/>
      <c r="R59" s="103" t="n"/>
      <c r="S59" s="253" t="n"/>
      <c r="T59" s="254" t="n"/>
      <c r="U59" s="254" t="n"/>
      <c r="V59" s="254" t="n"/>
      <c r="W59" s="254" t="n"/>
      <c r="X59" s="254" t="n"/>
      <c r="Y59" s="254" t="n"/>
      <c r="Z59" s="254" t="n"/>
      <c r="AA59" s="254" t="n"/>
      <c r="AB59" s="254" t="n"/>
      <c r="AC59" s="277">
        <f>IF(A59="","",IF(AND(AB59="Yes",T59&lt;&gt;"",U59&lt;&gt;""),"Yes","No"))</f>
        <v/>
      </c>
    </row>
    <row r="60">
      <c r="A60" s="83" t="n"/>
      <c r="B60" s="84" t="n"/>
      <c r="C60" s="84" t="n"/>
      <c r="D60" s="84" t="n"/>
      <c r="E60" s="84" t="n"/>
      <c r="F60" s="84" t="n"/>
      <c r="G60" s="84" t="n"/>
      <c r="H60" s="96">
        <f>IF(OR(F60="",G60=""),"",IF(F60=G60,1,0))</f>
        <v/>
      </c>
      <c r="I60" s="96">
        <f>IF(OR(F60="",G60=""),"",IF(ABS(F60-G60)&lt;=1,1,0))</f>
        <v/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104" t="n"/>
      <c r="S60" s="256" t="n"/>
      <c r="T60" s="257" t="n"/>
      <c r="U60" s="257" t="n"/>
      <c r="V60" s="257" t="n"/>
      <c r="W60" s="257" t="n"/>
      <c r="X60" s="257" t="n"/>
      <c r="Y60" s="257" t="n"/>
      <c r="Z60" s="257" t="n"/>
      <c r="AA60" s="257" t="n"/>
      <c r="AB60" s="257" t="n"/>
      <c r="AC60" s="279">
        <f>IF(A60="","",IF(AND(AB60="Yes",T60&lt;&gt;"",U60&lt;&gt;""),"Yes","No"))</f>
        <v/>
      </c>
    </row>
    <row r="61">
      <c r="H61">
        <f>IF(OR(F61="",G61=""),"",IF(F61=G61,1,0))</f>
        <v/>
      </c>
      <c r="I61">
        <f>IF(OR(F61="",G61=""),"",IF(ABS(F61-G61)&lt;=1,1,0))</f>
        <v/>
      </c>
      <c r="AC61">
        <f>IF(A61="","",IF(AND(AB61="Yes",T61&lt;&gt;"",U61&lt;&gt;""),"Yes","No"))</f>
        <v/>
      </c>
    </row>
    <row r="62">
      <c r="H62">
        <f>IF(OR(F62="",G62=""),"",IF(F62=G62,1,0))</f>
        <v/>
      </c>
      <c r="I62">
        <f>IF(OR(F62="",G62=""),"",IF(ABS(F62-G62)&lt;=1,1,0))</f>
        <v/>
      </c>
      <c r="AC62">
        <f>IF(A62="","",IF(AND(AB62="Yes",T62&lt;&gt;"",U62&lt;&gt;""),"Yes","No"))</f>
        <v/>
      </c>
    </row>
    <row r="63">
      <c r="H63">
        <f>IF(OR(F63="",G63=""),"",IF(F63=G63,1,0))</f>
        <v/>
      </c>
      <c r="I63">
        <f>IF(OR(F63="",G63=""),"",IF(ABS(F63-G63)&lt;=1,1,0))</f>
        <v/>
      </c>
      <c r="AC63">
        <f>IF(A63="","",IF(AND(AB63="Yes",T63&lt;&gt;"",U63&lt;&gt;""),"Yes","No"))</f>
        <v/>
      </c>
    </row>
    <row r="64">
      <c r="H64">
        <f>IF(OR(F64="",G64=""),"",IF(F64=G64,1,0))</f>
        <v/>
      </c>
      <c r="I64">
        <f>IF(OR(F64="",G64=""),"",IF(ABS(F64-G64)&lt;=1,1,0))</f>
        <v/>
      </c>
      <c r="AC64">
        <f>IF(A64="","",IF(AND(AB64="Yes",T64&lt;&gt;"",U64&lt;&gt;""),"Yes","No"))</f>
        <v/>
      </c>
    </row>
    <row r="65">
      <c r="H65">
        <f>IF(OR(F65="",G65=""),"",IF(F65=G65,1,0))</f>
        <v/>
      </c>
      <c r="I65">
        <f>IF(OR(F65="",G65=""),"",IF(ABS(F65-G65)&lt;=1,1,0))</f>
        <v/>
      </c>
      <c r="AC65">
        <f>IF(A65="","",IF(AND(AB65="Yes",T65&lt;&gt;"",U65&lt;&gt;""),"Yes","No"))</f>
        <v/>
      </c>
    </row>
    <row r="66">
      <c r="H66">
        <f>IF(OR(F66="",G66=""),"",IF(F66=G66,1,0))</f>
        <v/>
      </c>
      <c r="I66">
        <f>IF(OR(F66="",G66=""),"",IF(ABS(F66-G66)&lt;=1,1,0))</f>
        <v/>
      </c>
      <c r="AC66">
        <f>IF(A66="","",IF(AND(AB66="Yes",T66&lt;&gt;"",U66&lt;&gt;""),"Yes","No"))</f>
        <v/>
      </c>
    </row>
    <row r="67">
      <c r="H67">
        <f>IF(OR(F67="",G67=""),"",IF(F67=G67,1,0))</f>
        <v/>
      </c>
      <c r="I67">
        <f>IF(OR(F67="",G67=""),"",IF(ABS(F67-G67)&lt;=1,1,0))</f>
        <v/>
      </c>
      <c r="AC67">
        <f>IF(A67="","",IF(AND(AB67="Yes",T67&lt;&gt;"",U67&lt;&gt;""),"Yes","No"))</f>
        <v/>
      </c>
    </row>
    <row r="68">
      <c r="H68">
        <f>IF(OR(F68="",G68=""),"",IF(F68=G68,1,0))</f>
        <v/>
      </c>
      <c r="I68">
        <f>IF(OR(F68="",G68=""),"",IF(ABS(F68-G68)&lt;=1,1,0))</f>
        <v/>
      </c>
      <c r="AC68">
        <f>IF(A68="","",IF(AND(AB68="Yes",T68&lt;&gt;"",U68&lt;&gt;""),"Yes","No"))</f>
        <v/>
      </c>
    </row>
    <row r="69">
      <c r="H69">
        <f>IF(OR(F69="",G69=""),"",IF(F69=G69,1,0))</f>
        <v/>
      </c>
      <c r="I69">
        <f>IF(OR(F69="",G69=""),"",IF(ABS(F69-G69)&lt;=1,1,0))</f>
        <v/>
      </c>
      <c r="AC69">
        <f>IF(A69="","",IF(AND(AB69="Yes",T69&lt;&gt;"",U69&lt;&gt;""),"Yes","No"))</f>
        <v/>
      </c>
    </row>
    <row r="70">
      <c r="H70">
        <f>IF(OR(F70="",G70=""),"",IF(F70=G70,1,0))</f>
        <v/>
      </c>
      <c r="I70">
        <f>IF(OR(F70="",G70=""),"",IF(ABS(F70-G70)&lt;=1,1,0))</f>
        <v/>
      </c>
      <c r="AC70">
        <f>IF(A70="","",IF(AND(AB70="Yes",T70&lt;&gt;"",U70&lt;&gt;""),"Yes","No"))</f>
        <v/>
      </c>
    </row>
    <row r="71">
      <c r="H71">
        <f>IF(OR(F71="",G71=""),"",IF(F71=G71,1,0))</f>
        <v/>
      </c>
      <c r="I71">
        <f>IF(OR(F71="",G71=""),"",IF(ABS(F71-G71)&lt;=1,1,0))</f>
        <v/>
      </c>
      <c r="AC71">
        <f>IF(A71="","",IF(AND(AB71="Yes",T71&lt;&gt;"",U71&lt;&gt;""),"Yes","No"))</f>
        <v/>
      </c>
    </row>
    <row r="72">
      <c r="H72">
        <f>IF(OR(F72="",G72=""),"",IF(F72=G72,1,0))</f>
        <v/>
      </c>
      <c r="I72">
        <f>IF(OR(F72="",G72=""),"",IF(ABS(F72-G72)&lt;=1,1,0))</f>
        <v/>
      </c>
      <c r="AC72">
        <f>IF(A72="","",IF(AND(AB72="Yes",T72&lt;&gt;"",U72&lt;&gt;""),"Yes","No"))</f>
        <v/>
      </c>
    </row>
    <row r="73">
      <c r="H73">
        <f>IF(OR(F73="",G73=""),"",IF(F73=G73,1,0))</f>
        <v/>
      </c>
      <c r="I73">
        <f>IF(OR(F73="",G73=""),"",IF(ABS(F73-G73)&lt;=1,1,0))</f>
        <v/>
      </c>
      <c r="AC73">
        <f>IF(A73="","",IF(AND(AB73="Yes",T73&lt;&gt;"",U73&lt;&gt;""),"Yes","No"))</f>
        <v/>
      </c>
    </row>
    <row r="74">
      <c r="H74">
        <f>IF(OR(F74="",G74=""),"",IF(F74=G74,1,0))</f>
        <v/>
      </c>
      <c r="I74">
        <f>IF(OR(F74="",G74=""),"",IF(ABS(F74-G74)&lt;=1,1,0))</f>
        <v/>
      </c>
      <c r="AC74">
        <f>IF(A74="","",IF(AND(AB74="Yes",T74&lt;&gt;"",U74&lt;&gt;""),"Yes","No"))</f>
        <v/>
      </c>
    </row>
    <row r="75">
      <c r="H75">
        <f>IF(OR(F75="",G75=""),"",IF(F75=G75,1,0))</f>
        <v/>
      </c>
      <c r="I75">
        <f>IF(OR(F75="",G75=""),"",IF(ABS(F75-G75)&lt;=1,1,0))</f>
        <v/>
      </c>
      <c r="AC75">
        <f>IF(A75="","",IF(AND(AB75="Yes",T75&lt;&gt;"",U75&lt;&gt;""),"Yes","No"))</f>
        <v/>
      </c>
    </row>
    <row r="76">
      <c r="H76">
        <f>IF(OR(F76="",G76=""),"",IF(F76=G76,1,0))</f>
        <v/>
      </c>
      <c r="I76">
        <f>IF(OR(F76="",G76=""),"",IF(ABS(F76-G76)&lt;=1,1,0))</f>
        <v/>
      </c>
      <c r="AC76">
        <f>IF(A76="","",IF(AND(AB76="Yes",T76&lt;&gt;"",U76&lt;&gt;""),"Yes","No"))</f>
        <v/>
      </c>
    </row>
    <row r="77">
      <c r="H77">
        <f>IF(OR(F77="",G77=""),"",IF(F77=G77,1,0))</f>
        <v/>
      </c>
      <c r="I77">
        <f>IF(OR(F77="",G77=""),"",IF(ABS(F77-G77)&lt;=1,1,0))</f>
        <v/>
      </c>
      <c r="AC77">
        <f>IF(A77="","",IF(AND(AB77="Yes",T77&lt;&gt;"",U77&lt;&gt;""),"Yes","No"))</f>
        <v/>
      </c>
    </row>
    <row r="78">
      <c r="H78">
        <f>IF(OR(F78="",G78=""),"",IF(F78=G78,1,0))</f>
        <v/>
      </c>
      <c r="I78">
        <f>IF(OR(F78="",G78=""),"",IF(ABS(F78-G78)&lt;=1,1,0))</f>
        <v/>
      </c>
      <c r="AC78">
        <f>IF(A78="","",IF(AND(AB78="Yes",T78&lt;&gt;"",U78&lt;&gt;""),"Yes","No"))</f>
        <v/>
      </c>
    </row>
    <row r="79">
      <c r="H79">
        <f>IF(OR(F79="",G79=""),"",IF(F79=G79,1,0))</f>
        <v/>
      </c>
      <c r="I79">
        <f>IF(OR(F79="",G79=""),"",IF(ABS(F79-G79)&lt;=1,1,0))</f>
        <v/>
      </c>
      <c r="AC79">
        <f>IF(A79="","",IF(AND(AB79="Yes",T79&lt;&gt;"",U79&lt;&gt;""),"Yes","No"))</f>
        <v/>
      </c>
    </row>
    <row r="80">
      <c r="H80">
        <f>IF(OR(F80="",G80=""),"",IF(F80=G80,1,0))</f>
        <v/>
      </c>
      <c r="I80">
        <f>IF(OR(F80="",G80=""),"",IF(ABS(F80-G80)&lt;=1,1,0))</f>
        <v/>
      </c>
      <c r="AC80">
        <f>IF(A80="","",IF(AND(AB80="Yes",T80&lt;&gt;"",U80&lt;&gt;""),"Yes","No"))</f>
        <v/>
      </c>
    </row>
    <row r="81">
      <c r="H81">
        <f>IF(OR(F81="",G81=""),"",IF(F81=G81,1,0))</f>
        <v/>
      </c>
      <c r="I81">
        <f>IF(OR(F81="",G81=""),"",IF(ABS(F81-G81)&lt;=1,1,0))</f>
        <v/>
      </c>
      <c r="AC81">
        <f>IF(A81="","",IF(AND(AB81="Yes",T81&lt;&gt;"",U81&lt;&gt;""),"Yes","No"))</f>
        <v/>
      </c>
    </row>
    <row r="82">
      <c r="H82">
        <f>IF(OR(F82="",G82=""),"",IF(F82=G82,1,0))</f>
        <v/>
      </c>
      <c r="I82">
        <f>IF(OR(F82="",G82=""),"",IF(ABS(F82-G82)&lt;=1,1,0))</f>
        <v/>
      </c>
      <c r="AC82">
        <f>IF(A82="","",IF(AND(AB82="Yes",T82&lt;&gt;"",U82&lt;&gt;""),"Yes","No"))</f>
        <v/>
      </c>
    </row>
    <row r="83">
      <c r="H83">
        <f>IF(OR(F83="",G83=""),"",IF(F83=G83,1,0))</f>
        <v/>
      </c>
      <c r="I83">
        <f>IF(OR(F83="",G83=""),"",IF(ABS(F83-G83)&lt;=1,1,0))</f>
        <v/>
      </c>
      <c r="AC83">
        <f>IF(A83="","",IF(AND(AB83="Yes",T83&lt;&gt;"",U83&lt;&gt;""),"Yes","No"))</f>
        <v/>
      </c>
    </row>
    <row r="84">
      <c r="H84">
        <f>IF(OR(F84="",G84=""),"",IF(F84=G84,1,0))</f>
        <v/>
      </c>
      <c r="I84">
        <f>IF(OR(F84="",G84=""),"",IF(ABS(F84-G84)&lt;=1,1,0))</f>
        <v/>
      </c>
      <c r="AC84">
        <f>IF(A84="","",IF(AND(AB84="Yes",T84&lt;&gt;"",U84&lt;&gt;""),"Yes","No"))</f>
        <v/>
      </c>
    </row>
    <row r="85">
      <c r="H85">
        <f>IF(OR(F85="",G85=""),"",IF(F85=G85,1,0))</f>
        <v/>
      </c>
      <c r="I85">
        <f>IF(OR(F85="",G85=""),"",IF(ABS(F85-G85)&lt;=1,1,0))</f>
        <v/>
      </c>
      <c r="AC85">
        <f>IF(A85="","",IF(AND(AB85="Yes",T85&lt;&gt;"",U85&lt;&gt;""),"Yes","No"))</f>
        <v/>
      </c>
    </row>
    <row r="86">
      <c r="H86">
        <f>IF(OR(F86="",G86=""),"",IF(F86=G86,1,0))</f>
        <v/>
      </c>
      <c r="I86">
        <f>IF(OR(F86="",G86=""),"",IF(ABS(F86-G86)&lt;=1,1,0))</f>
        <v/>
      </c>
      <c r="AC86">
        <f>IF(A86="","",IF(AND(AB86="Yes",T86&lt;&gt;"",U86&lt;&gt;""),"Yes","No"))</f>
        <v/>
      </c>
    </row>
    <row r="87">
      <c r="H87">
        <f>IF(OR(F87="",G87=""),"",IF(F87=G87,1,0))</f>
        <v/>
      </c>
      <c r="I87">
        <f>IF(OR(F87="",G87=""),"",IF(ABS(F87-G87)&lt;=1,1,0))</f>
        <v/>
      </c>
      <c r="AC87">
        <f>IF(A87="","",IF(AND(AB87="Yes",T87&lt;&gt;"",U87&lt;&gt;""),"Yes","No"))</f>
        <v/>
      </c>
    </row>
    <row r="88">
      <c r="H88">
        <f>IF(OR(F88="",G88=""),"",IF(F88=G88,1,0))</f>
        <v/>
      </c>
      <c r="I88">
        <f>IF(OR(F88="",G88=""),"",IF(ABS(F88-G88)&lt;=1,1,0))</f>
        <v/>
      </c>
      <c r="AC88">
        <f>IF(A88="","",IF(AND(AB88="Yes",T88&lt;&gt;"",U88&lt;&gt;""),"Yes","No"))</f>
        <v/>
      </c>
    </row>
    <row r="89">
      <c r="H89">
        <f>IF(OR(F89="",G89=""),"",IF(F89=G89,1,0))</f>
        <v/>
      </c>
      <c r="I89">
        <f>IF(OR(F89="",G89=""),"",IF(ABS(F89-G89)&lt;=1,1,0))</f>
        <v/>
      </c>
      <c r="AC89">
        <f>IF(A89="","",IF(AND(AB89="Yes",T89&lt;&gt;"",U89&lt;&gt;""),"Yes","No"))</f>
        <v/>
      </c>
    </row>
    <row r="90">
      <c r="H90">
        <f>IF(OR(F90="",G90=""),"",IF(F90=G90,1,0))</f>
        <v/>
      </c>
      <c r="I90">
        <f>IF(OR(F90="",G90=""),"",IF(ABS(F90-G90)&lt;=1,1,0))</f>
        <v/>
      </c>
      <c r="AC90">
        <f>IF(A90="","",IF(AND(AB90="Yes",T90&lt;&gt;"",U90&lt;&gt;""),"Yes","No"))</f>
        <v/>
      </c>
    </row>
    <row r="91">
      <c r="H91">
        <f>IF(OR(F91="",G91=""),"",IF(F91=G91,1,0))</f>
        <v/>
      </c>
      <c r="I91">
        <f>IF(OR(F91="",G91=""),"",IF(ABS(F91-G91)&lt;=1,1,0))</f>
        <v/>
      </c>
      <c r="AC91">
        <f>IF(A91="","",IF(AND(AB91="Yes",T91&lt;&gt;"",U91&lt;&gt;""),"Yes","No"))</f>
        <v/>
      </c>
    </row>
    <row r="92">
      <c r="H92">
        <f>IF(OR(F92="",G92=""),"",IF(F92=G92,1,0))</f>
        <v/>
      </c>
      <c r="I92">
        <f>IF(OR(F92="",G92=""),"",IF(ABS(F92-G92)&lt;=1,1,0))</f>
        <v/>
      </c>
      <c r="AC92">
        <f>IF(A92="","",IF(AND(AB92="Yes",T92&lt;&gt;"",U92&lt;&gt;""),"Yes","No"))</f>
        <v/>
      </c>
    </row>
    <row r="93">
      <c r="H93">
        <f>IF(OR(F93="",G93=""),"",IF(F93=G93,1,0))</f>
        <v/>
      </c>
      <c r="I93">
        <f>IF(OR(F93="",G93=""),"",IF(ABS(F93-G93)&lt;=1,1,0))</f>
        <v/>
      </c>
      <c r="AC93">
        <f>IF(A93="","",IF(AND(AB93="Yes",T93&lt;&gt;"",U93&lt;&gt;""),"Yes","No"))</f>
        <v/>
      </c>
    </row>
    <row r="94">
      <c r="H94">
        <f>IF(OR(F94="",G94=""),"",IF(F94=G94,1,0))</f>
        <v/>
      </c>
      <c r="I94">
        <f>IF(OR(F94="",G94=""),"",IF(ABS(F94-G94)&lt;=1,1,0))</f>
        <v/>
      </c>
      <c r="AC94">
        <f>IF(A94="","",IF(AND(AB94="Yes",T94&lt;&gt;"",U94&lt;&gt;""),"Yes","No"))</f>
        <v/>
      </c>
    </row>
    <row r="95">
      <c r="H95">
        <f>IF(OR(F95="",G95=""),"",IF(F95=G95,1,0))</f>
        <v/>
      </c>
      <c r="I95">
        <f>IF(OR(F95="",G95=""),"",IF(ABS(F95-G95)&lt;=1,1,0))</f>
        <v/>
      </c>
      <c r="AC95">
        <f>IF(A95="","",IF(AND(AB95="Yes",T95&lt;&gt;"",U95&lt;&gt;""),"Yes","No"))</f>
        <v/>
      </c>
    </row>
    <row r="96">
      <c r="H96">
        <f>IF(OR(F96="",G96=""),"",IF(F96=G96,1,0))</f>
        <v/>
      </c>
      <c r="I96">
        <f>IF(OR(F96="",G96=""),"",IF(ABS(F96-G96)&lt;=1,1,0))</f>
        <v/>
      </c>
      <c r="AC96">
        <f>IF(A96="","",IF(AND(AB96="Yes",T96&lt;&gt;"",U96&lt;&gt;""),"Yes","No"))</f>
        <v/>
      </c>
    </row>
    <row r="97">
      <c r="H97">
        <f>IF(OR(F97="",G97=""),"",IF(F97=G97,1,0))</f>
        <v/>
      </c>
      <c r="I97">
        <f>IF(OR(F97="",G97=""),"",IF(ABS(F97-G97)&lt;=1,1,0))</f>
        <v/>
      </c>
      <c r="AC97">
        <f>IF(A97="","",IF(AND(AB97="Yes",T97&lt;&gt;"",U97&lt;&gt;""),"Yes","No"))</f>
        <v/>
      </c>
    </row>
    <row r="98">
      <c r="H98">
        <f>IF(OR(F98="",G98=""),"",IF(F98=G98,1,0))</f>
        <v/>
      </c>
      <c r="I98">
        <f>IF(OR(F98="",G98=""),"",IF(ABS(F98-G98)&lt;=1,1,0))</f>
        <v/>
      </c>
      <c r="AC98">
        <f>IF(A98="","",IF(AND(AB98="Yes",T98&lt;&gt;"",U98&lt;&gt;""),"Yes","No"))</f>
        <v/>
      </c>
    </row>
    <row r="99">
      <c r="H99">
        <f>IF(OR(F99="",G99=""),"",IF(F99=G99,1,0))</f>
        <v/>
      </c>
      <c r="I99">
        <f>IF(OR(F99="",G99=""),"",IF(ABS(F99-G99)&lt;=1,1,0))</f>
        <v/>
      </c>
      <c r="AC99">
        <f>IF(A99="","",IF(AND(AB99="Yes",T99&lt;&gt;"",U99&lt;&gt;""),"Yes","No"))</f>
        <v/>
      </c>
    </row>
    <row r="100">
      <c r="H100">
        <f>IF(OR(F100="",G100=""),"",IF(F100=G100,1,0))</f>
        <v/>
      </c>
      <c r="I100">
        <f>IF(OR(F100="",G100=""),"",IF(ABS(F100-G100)&lt;=1,1,0))</f>
        <v/>
      </c>
      <c r="AC100">
        <f>IF(A100="","",IF(AND(AB100="Yes",T100&lt;&gt;"",U100&lt;&gt;""),"Yes","No"))</f>
        <v/>
      </c>
    </row>
    <row r="101">
      <c r="H101">
        <f>IF(OR(F101="",G101=""),"",IF(F101=G101,1,0))</f>
        <v/>
      </c>
      <c r="I101">
        <f>IF(OR(F101="",G101=""),"",IF(ABS(F101-G101)&lt;=1,1,0))</f>
        <v/>
      </c>
      <c r="AC101">
        <f>IF(A101="","",IF(AND(AB101="Yes",T101&lt;&gt;"",U101&lt;&gt;""),"Yes","No"))</f>
        <v/>
      </c>
    </row>
    <row r="102">
      <c r="H102">
        <f>IF(OR(F102="",G102=""),"",IF(F102=G102,1,0))</f>
        <v/>
      </c>
      <c r="I102">
        <f>IF(OR(F102="",G102=""),"",IF(ABS(F102-G102)&lt;=1,1,0))</f>
        <v/>
      </c>
      <c r="AC102">
        <f>IF(A102="","",IF(AND(AB102="Yes",T102&lt;&gt;"",U102&lt;&gt;""),"Yes","No"))</f>
        <v/>
      </c>
    </row>
    <row r="103">
      <c r="H103">
        <f>IF(OR(F103="",G103=""),"",IF(F103=G103,1,0))</f>
        <v/>
      </c>
      <c r="I103">
        <f>IF(OR(F103="",G103=""),"",IF(ABS(F103-G103)&lt;=1,1,0))</f>
        <v/>
      </c>
      <c r="AC103">
        <f>IF(A103="","",IF(AND(AB103="Yes",T103&lt;&gt;"",U103&lt;&gt;""),"Yes","No"))</f>
        <v/>
      </c>
    </row>
    <row r="104">
      <c r="H104">
        <f>IF(OR(F104="",G104=""),"",IF(F104=G104,1,0))</f>
        <v/>
      </c>
      <c r="I104">
        <f>IF(OR(F104="",G104=""),"",IF(ABS(F104-G104)&lt;=1,1,0))</f>
        <v/>
      </c>
      <c r="AC104">
        <f>IF(A104="","",IF(AND(AB104="Yes",T104&lt;&gt;"",U104&lt;&gt;""),"Yes","No"))</f>
        <v/>
      </c>
    </row>
    <row r="105">
      <c r="H105">
        <f>IF(OR(F105="",G105=""),"",IF(F105=G105,1,0))</f>
        <v/>
      </c>
      <c r="I105">
        <f>IF(OR(F105="",G105=""),"",IF(ABS(F105-G105)&lt;=1,1,0))</f>
        <v/>
      </c>
      <c r="AC105">
        <f>IF(A105="","",IF(AND(AB105="Yes",T105&lt;&gt;"",U105&lt;&gt;""),"Yes","No"))</f>
        <v/>
      </c>
    </row>
    <row r="106">
      <c r="H106">
        <f>IF(OR(F106="",G106=""),"",IF(F106=G106,1,0))</f>
        <v/>
      </c>
      <c r="I106">
        <f>IF(OR(F106="",G106=""),"",IF(ABS(F106-G106)&lt;=1,1,0))</f>
        <v/>
      </c>
      <c r="AC106">
        <f>IF(A106="","",IF(AND(AB106="Yes",T106&lt;&gt;"",U106&lt;&gt;""),"Yes","No"))</f>
        <v/>
      </c>
    </row>
    <row r="107">
      <c r="H107">
        <f>IF(OR(F107="",G107=""),"",IF(F107=G107,1,0))</f>
        <v/>
      </c>
      <c r="I107">
        <f>IF(OR(F107="",G107=""),"",IF(ABS(F107-G107)&lt;=1,1,0))</f>
        <v/>
      </c>
      <c r="AC107">
        <f>IF(A107="","",IF(AND(AB107="Yes",T107&lt;&gt;"",U107&lt;&gt;""),"Yes","No"))</f>
        <v/>
      </c>
    </row>
    <row r="108">
      <c r="H108">
        <f>IF(OR(F108="",G108=""),"",IF(F108=G108,1,0))</f>
        <v/>
      </c>
      <c r="I108">
        <f>IF(OR(F108="",G108=""),"",IF(ABS(F108-G108)&lt;=1,1,0))</f>
        <v/>
      </c>
      <c r="AC108">
        <f>IF(A108="","",IF(AND(AB108="Yes",T108&lt;&gt;"",U108&lt;&gt;""),"Yes","No"))</f>
        <v/>
      </c>
    </row>
    <row r="109">
      <c r="H109">
        <f>IF(OR(F109="",G109=""),"",IF(F109=G109,1,0))</f>
        <v/>
      </c>
      <c r="I109">
        <f>IF(OR(F109="",G109=""),"",IF(ABS(F109-G109)&lt;=1,1,0))</f>
        <v/>
      </c>
      <c r="AC109">
        <f>IF(A109="","",IF(AND(AB109="Yes",T109&lt;&gt;"",U109&lt;&gt;""),"Yes","No"))</f>
        <v/>
      </c>
    </row>
    <row r="110">
      <c r="H110">
        <f>IF(OR(F110="",G110=""),"",IF(F110=G110,1,0))</f>
        <v/>
      </c>
      <c r="I110">
        <f>IF(OR(F110="",G110=""),"",IF(ABS(F110-G110)&lt;=1,1,0))</f>
        <v/>
      </c>
      <c r="AC110">
        <f>IF(A110="","",IF(AND(AB110="Yes",T110&lt;&gt;"",U110&lt;&gt;""),"Yes","No"))</f>
        <v/>
      </c>
    </row>
    <row r="111">
      <c r="H111">
        <f>IF(OR(F111="",G111=""),"",IF(F111=G111,1,0))</f>
        <v/>
      </c>
      <c r="I111">
        <f>IF(OR(F111="",G111=""),"",IF(ABS(F111-G111)&lt;=1,1,0))</f>
        <v/>
      </c>
      <c r="AC111">
        <f>IF(A111="","",IF(AND(AB111="Yes",T111&lt;&gt;"",U111&lt;&gt;""),"Yes","No"))</f>
        <v/>
      </c>
    </row>
    <row r="112">
      <c r="H112">
        <f>IF(OR(F112="",G112=""),"",IF(F112=G112,1,0))</f>
        <v/>
      </c>
      <c r="I112">
        <f>IF(OR(F112="",G112=""),"",IF(ABS(F112-G112)&lt;=1,1,0))</f>
        <v/>
      </c>
      <c r="AC112">
        <f>IF(A112="","",IF(AND(AB112="Yes",T112&lt;&gt;"",U112&lt;&gt;""),"Yes","No"))</f>
        <v/>
      </c>
    </row>
    <row r="113">
      <c r="H113">
        <f>IF(OR(F113="",G113=""),"",IF(F113=G113,1,0))</f>
        <v/>
      </c>
      <c r="I113">
        <f>IF(OR(F113="",G113=""),"",IF(ABS(F113-G113)&lt;=1,1,0))</f>
        <v/>
      </c>
      <c r="AC113">
        <f>IF(A113="","",IF(AND(AB113="Yes",T113&lt;&gt;"",U113&lt;&gt;""),"Yes","No"))</f>
        <v/>
      </c>
    </row>
    <row r="114">
      <c r="H114">
        <f>IF(OR(F114="",G114=""),"",IF(F114=G114,1,0))</f>
        <v/>
      </c>
      <c r="I114">
        <f>IF(OR(F114="",G114=""),"",IF(ABS(F114-G114)&lt;=1,1,0))</f>
        <v/>
      </c>
      <c r="AC114">
        <f>IF(A114="","",IF(AND(AB114="Yes",T114&lt;&gt;"",U114&lt;&gt;""),"Yes","No"))</f>
        <v/>
      </c>
    </row>
    <row r="115">
      <c r="H115">
        <f>IF(OR(F115="",G115=""),"",IF(F115=G115,1,0))</f>
        <v/>
      </c>
      <c r="I115">
        <f>IF(OR(F115="",G115=""),"",IF(ABS(F115-G115)&lt;=1,1,0))</f>
        <v/>
      </c>
      <c r="AC115">
        <f>IF(A115="","",IF(AND(AB115="Yes",T115&lt;&gt;"",U115&lt;&gt;""),"Yes","No"))</f>
        <v/>
      </c>
    </row>
    <row r="116">
      <c r="H116">
        <f>IF(OR(F116="",G116=""),"",IF(F116=G116,1,0))</f>
        <v/>
      </c>
      <c r="I116">
        <f>IF(OR(F116="",G116=""),"",IF(ABS(F116-G116)&lt;=1,1,0))</f>
        <v/>
      </c>
      <c r="AC116">
        <f>IF(A116="","",IF(AND(AB116="Yes",T116&lt;&gt;"",U116&lt;&gt;""),"Yes","No"))</f>
        <v/>
      </c>
    </row>
    <row r="117">
      <c r="H117">
        <f>IF(OR(F117="",G117=""),"",IF(F117=G117,1,0))</f>
        <v/>
      </c>
      <c r="I117">
        <f>IF(OR(F117="",G117=""),"",IF(ABS(F117-G117)&lt;=1,1,0))</f>
        <v/>
      </c>
      <c r="AC117">
        <f>IF(A117="","",IF(AND(AB117="Yes",T117&lt;&gt;"",U117&lt;&gt;""),"Yes","No"))</f>
        <v/>
      </c>
    </row>
    <row r="118">
      <c r="H118">
        <f>IF(OR(F118="",G118=""),"",IF(F118=G118,1,0))</f>
        <v/>
      </c>
      <c r="I118">
        <f>IF(OR(F118="",G118=""),"",IF(ABS(F118-G118)&lt;=1,1,0))</f>
        <v/>
      </c>
      <c r="AC118">
        <f>IF(A118="","",IF(AND(AB118="Yes",T118&lt;&gt;"",U118&lt;&gt;""),"Yes","No"))</f>
        <v/>
      </c>
    </row>
    <row r="119">
      <c r="H119">
        <f>IF(OR(F119="",G119=""),"",IF(F119=G119,1,0))</f>
        <v/>
      </c>
      <c r="I119">
        <f>IF(OR(F119="",G119=""),"",IF(ABS(F119-G119)&lt;=1,1,0))</f>
        <v/>
      </c>
      <c r="AC119">
        <f>IF(A119="","",IF(AND(AB119="Yes",T119&lt;&gt;"",U119&lt;&gt;""),"Yes","No"))</f>
        <v/>
      </c>
    </row>
    <row r="120">
      <c r="H120">
        <f>IF(OR(F120="",G120=""),"",IF(F120=G120,1,0))</f>
        <v/>
      </c>
      <c r="I120">
        <f>IF(OR(F120="",G120=""),"",IF(ABS(F120-G120)&lt;=1,1,0))</f>
        <v/>
      </c>
      <c r="AC120">
        <f>IF(A120="","",IF(AND(AB120="Yes",T120&lt;&gt;"",U120&lt;&gt;""),"Yes","No"))</f>
        <v/>
      </c>
    </row>
    <row r="121">
      <c r="H121">
        <f>IF(OR(F121="",G121=""),"",IF(F121=G121,1,0))</f>
        <v/>
      </c>
      <c r="I121">
        <f>IF(OR(F121="",G121=""),"",IF(ABS(F121-G121)&lt;=1,1,0))</f>
        <v/>
      </c>
      <c r="AC121">
        <f>IF(A121="","",IF(AND(AB121="Yes",T121&lt;&gt;"",U121&lt;&gt;""),"Yes","No"))</f>
        <v/>
      </c>
    </row>
    <row r="122">
      <c r="H122">
        <f>IF(OR(F122="",G122=""),"",IF(F122=G122,1,0))</f>
        <v/>
      </c>
      <c r="I122">
        <f>IF(OR(F122="",G122=""),"",IF(ABS(F122-G122)&lt;=1,1,0))</f>
        <v/>
      </c>
      <c r="AC122">
        <f>IF(A122="","",IF(AND(AB122="Yes",T122&lt;&gt;"",U122&lt;&gt;""),"Yes","No"))</f>
        <v/>
      </c>
    </row>
    <row r="123">
      <c r="H123">
        <f>IF(OR(F123="",G123=""),"",IF(F123=G123,1,0))</f>
        <v/>
      </c>
      <c r="I123">
        <f>IF(OR(F123="",G123=""),"",IF(ABS(F123-G123)&lt;=1,1,0))</f>
        <v/>
      </c>
      <c r="AC123">
        <f>IF(A123="","",IF(AND(AB123="Yes",T123&lt;&gt;"",U123&lt;&gt;""),"Yes","No"))</f>
        <v/>
      </c>
    </row>
    <row r="124">
      <c r="H124">
        <f>IF(OR(F124="",G124=""),"",IF(F124=G124,1,0))</f>
        <v/>
      </c>
      <c r="I124">
        <f>IF(OR(F124="",G124=""),"",IF(ABS(F124-G124)&lt;=1,1,0))</f>
        <v/>
      </c>
      <c r="AC124">
        <f>IF(A124="","",IF(AND(AB124="Yes",T124&lt;&gt;"",U124&lt;&gt;""),"Yes","No"))</f>
        <v/>
      </c>
    </row>
    <row r="125">
      <c r="H125">
        <f>IF(OR(F125="",G125=""),"",IF(F125=G125,1,0))</f>
        <v/>
      </c>
      <c r="I125">
        <f>IF(OR(F125="",G125=""),"",IF(ABS(F125-G125)&lt;=1,1,0))</f>
        <v/>
      </c>
      <c r="AC125">
        <f>IF(A125="","",IF(AND(AB125="Yes",T125&lt;&gt;"",U125&lt;&gt;""),"Yes","No"))</f>
        <v/>
      </c>
    </row>
    <row r="126">
      <c r="H126">
        <f>IF(OR(F126="",G126=""),"",IF(F126=G126,1,0))</f>
        <v/>
      </c>
      <c r="I126">
        <f>IF(OR(F126="",G126=""),"",IF(ABS(F126-G126)&lt;=1,1,0))</f>
        <v/>
      </c>
      <c r="AC126">
        <f>IF(A126="","",IF(AND(AB126="Yes",T126&lt;&gt;"",U126&lt;&gt;""),"Yes","No"))</f>
        <v/>
      </c>
    </row>
    <row r="127">
      <c r="H127">
        <f>IF(OR(F127="",G127=""),"",IF(F127=G127,1,0))</f>
        <v/>
      </c>
      <c r="I127">
        <f>IF(OR(F127="",G127=""),"",IF(ABS(F127-G127)&lt;=1,1,0))</f>
        <v/>
      </c>
      <c r="AC127">
        <f>IF(A127="","",IF(AND(AB127="Yes",T127&lt;&gt;"",U127&lt;&gt;""),"Yes","No"))</f>
        <v/>
      </c>
    </row>
    <row r="128">
      <c r="H128">
        <f>IF(OR(F128="",G128=""),"",IF(F128=G128,1,0))</f>
        <v/>
      </c>
      <c r="I128">
        <f>IF(OR(F128="",G128=""),"",IF(ABS(F128-G128)&lt;=1,1,0))</f>
        <v/>
      </c>
      <c r="AC128">
        <f>IF(A128="","",IF(AND(AB128="Yes",T128&lt;&gt;"",U128&lt;&gt;""),"Yes","No"))</f>
        <v/>
      </c>
    </row>
    <row r="129">
      <c r="H129">
        <f>IF(OR(F129="",G129=""),"",IF(F129=G129,1,0))</f>
        <v/>
      </c>
      <c r="I129">
        <f>IF(OR(F129="",G129=""),"",IF(ABS(F129-G129)&lt;=1,1,0))</f>
        <v/>
      </c>
      <c r="AC129">
        <f>IF(A129="","",IF(AND(AB129="Yes",T129&lt;&gt;"",U129&lt;&gt;""),"Yes","No"))</f>
        <v/>
      </c>
    </row>
    <row r="130">
      <c r="H130">
        <f>IF(OR(F130="",G130=""),"",IF(F130=G130,1,0))</f>
        <v/>
      </c>
      <c r="I130">
        <f>IF(OR(F130="",G130=""),"",IF(ABS(F130-G130)&lt;=1,1,0))</f>
        <v/>
      </c>
      <c r="AC130">
        <f>IF(A130="","",IF(AND(AB130="Yes",T130&lt;&gt;"",U130&lt;&gt;""),"Yes","No"))</f>
        <v/>
      </c>
    </row>
    <row r="131">
      <c r="H131">
        <f>IF(OR(F131="",G131=""),"",IF(F131=G131,1,0))</f>
        <v/>
      </c>
      <c r="I131">
        <f>IF(OR(F131="",G131=""),"",IF(ABS(F131-G131)&lt;=1,1,0))</f>
        <v/>
      </c>
      <c r="AC131">
        <f>IF(A131="","",IF(AND(AB131="Yes",T131&lt;&gt;"",U131&lt;&gt;""),"Yes","No"))</f>
        <v/>
      </c>
    </row>
    <row r="132">
      <c r="H132">
        <f>IF(OR(F132="",G132=""),"",IF(F132=G132,1,0))</f>
        <v/>
      </c>
      <c r="I132">
        <f>IF(OR(F132="",G132=""),"",IF(ABS(F132-G132)&lt;=1,1,0))</f>
        <v/>
      </c>
      <c r="AC132">
        <f>IF(A132="","",IF(AND(AB132="Yes",T132&lt;&gt;"",U132&lt;&gt;""),"Yes","No"))</f>
        <v/>
      </c>
    </row>
    <row r="133">
      <c r="H133">
        <f>IF(OR(F133="",G133=""),"",IF(F133=G133,1,0))</f>
        <v/>
      </c>
      <c r="I133">
        <f>IF(OR(F133="",G133=""),"",IF(ABS(F133-G133)&lt;=1,1,0))</f>
        <v/>
      </c>
      <c r="AC133">
        <f>IF(A133="","",IF(AND(AB133="Yes",T133&lt;&gt;"",U133&lt;&gt;""),"Yes","No"))</f>
        <v/>
      </c>
    </row>
    <row r="134">
      <c r="H134">
        <f>IF(OR(F134="",G134=""),"",IF(F134=G134,1,0))</f>
        <v/>
      </c>
      <c r="I134">
        <f>IF(OR(F134="",G134=""),"",IF(ABS(F134-G134)&lt;=1,1,0))</f>
        <v/>
      </c>
      <c r="AC134">
        <f>IF(A134="","",IF(AND(AB134="Yes",T134&lt;&gt;"",U134&lt;&gt;""),"Yes","No"))</f>
        <v/>
      </c>
    </row>
    <row r="135">
      <c r="H135">
        <f>IF(OR(F135="",G135=""),"",IF(F135=G135,1,0))</f>
        <v/>
      </c>
      <c r="I135">
        <f>IF(OR(F135="",G135=""),"",IF(ABS(F135-G135)&lt;=1,1,0))</f>
        <v/>
      </c>
      <c r="AC135">
        <f>IF(A135="","",IF(AND(AB135="Yes",T135&lt;&gt;"",U135&lt;&gt;""),"Yes","No"))</f>
        <v/>
      </c>
    </row>
    <row r="136">
      <c r="H136">
        <f>IF(OR(F136="",G136=""),"",IF(F136=G136,1,0))</f>
        <v/>
      </c>
      <c r="I136">
        <f>IF(OR(F136="",G136=""),"",IF(ABS(F136-G136)&lt;=1,1,0))</f>
        <v/>
      </c>
      <c r="AC136">
        <f>IF(A136="","",IF(AND(AB136="Yes",T136&lt;&gt;"",U136&lt;&gt;""),"Yes","No"))</f>
        <v/>
      </c>
    </row>
    <row r="137">
      <c r="H137">
        <f>IF(OR(F137="",G137=""),"",IF(F137=G137,1,0))</f>
        <v/>
      </c>
      <c r="I137">
        <f>IF(OR(F137="",G137=""),"",IF(ABS(F137-G137)&lt;=1,1,0))</f>
        <v/>
      </c>
      <c r="AC137">
        <f>IF(A137="","",IF(AND(AB137="Yes",T137&lt;&gt;"",U137&lt;&gt;""),"Yes","No"))</f>
        <v/>
      </c>
    </row>
    <row r="138">
      <c r="H138">
        <f>IF(OR(F138="",G138=""),"",IF(F138=G138,1,0))</f>
        <v/>
      </c>
      <c r="I138">
        <f>IF(OR(F138="",G138=""),"",IF(ABS(F138-G138)&lt;=1,1,0))</f>
        <v/>
      </c>
      <c r="AC138">
        <f>IF(A138="","",IF(AND(AB138="Yes",T138&lt;&gt;"",U138&lt;&gt;""),"Yes","No"))</f>
        <v/>
      </c>
    </row>
    <row r="139">
      <c r="H139">
        <f>IF(OR(F139="",G139=""),"",IF(F139=G139,1,0))</f>
        <v/>
      </c>
      <c r="I139">
        <f>IF(OR(F139="",G139=""),"",IF(ABS(F139-G139)&lt;=1,1,0))</f>
        <v/>
      </c>
      <c r="AC139">
        <f>IF(A139="","",IF(AND(AB139="Yes",T139&lt;&gt;"",U139&lt;&gt;""),"Yes","No"))</f>
        <v/>
      </c>
    </row>
    <row r="140">
      <c r="H140">
        <f>IF(OR(F140="",G140=""),"",IF(F140=G140,1,0))</f>
        <v/>
      </c>
      <c r="I140">
        <f>IF(OR(F140="",G140=""),"",IF(ABS(F140-G140)&lt;=1,1,0))</f>
        <v/>
      </c>
      <c r="AC140">
        <f>IF(A140="","",IF(AND(AB140="Yes",T140&lt;&gt;"",U140&lt;&gt;""),"Yes","No"))</f>
        <v/>
      </c>
    </row>
    <row r="141">
      <c r="H141">
        <f>IF(OR(F141="",G141=""),"",IF(F141=G141,1,0))</f>
        <v/>
      </c>
      <c r="I141">
        <f>IF(OR(F141="",G141=""),"",IF(ABS(F141-G141)&lt;=1,1,0))</f>
        <v/>
      </c>
      <c r="AC141">
        <f>IF(A141="","",IF(AND(AB141="Yes",T141&lt;&gt;"",U141&lt;&gt;""),"Yes","No"))</f>
        <v/>
      </c>
    </row>
    <row r="142">
      <c r="H142">
        <f>IF(OR(F142="",G142=""),"",IF(F142=G142,1,0))</f>
        <v/>
      </c>
      <c r="I142">
        <f>IF(OR(F142="",G142=""),"",IF(ABS(F142-G142)&lt;=1,1,0))</f>
        <v/>
      </c>
      <c r="AC142">
        <f>IF(A142="","",IF(AND(AB142="Yes",T142&lt;&gt;"",U142&lt;&gt;""),"Yes","No"))</f>
        <v/>
      </c>
    </row>
    <row r="143">
      <c r="H143">
        <f>IF(OR(F143="",G143=""),"",IF(F143=G143,1,0))</f>
        <v/>
      </c>
      <c r="I143">
        <f>IF(OR(F143="",G143=""),"",IF(ABS(F143-G143)&lt;=1,1,0))</f>
        <v/>
      </c>
      <c r="AC143">
        <f>IF(A143="","",IF(AND(AB143="Yes",T143&lt;&gt;"",U143&lt;&gt;""),"Yes","No"))</f>
        <v/>
      </c>
    </row>
    <row r="144">
      <c r="H144">
        <f>IF(OR(F144="",G144=""),"",IF(F144=G144,1,0))</f>
        <v/>
      </c>
      <c r="I144">
        <f>IF(OR(F144="",G144=""),"",IF(ABS(F144-G144)&lt;=1,1,0))</f>
        <v/>
      </c>
      <c r="AC144">
        <f>IF(A144="","",IF(AND(AB144="Yes",T144&lt;&gt;"",U144&lt;&gt;""),"Yes","No"))</f>
        <v/>
      </c>
    </row>
    <row r="145">
      <c r="H145">
        <f>IF(OR(F145="",G145=""),"",IF(F145=G145,1,0))</f>
        <v/>
      </c>
      <c r="I145">
        <f>IF(OR(F145="",G145=""),"",IF(ABS(F145-G145)&lt;=1,1,0))</f>
        <v/>
      </c>
      <c r="AC145">
        <f>IF(A145="","",IF(AND(AB145="Yes",T145&lt;&gt;"",U145&lt;&gt;""),"Yes","No"))</f>
        <v/>
      </c>
    </row>
    <row r="146">
      <c r="H146">
        <f>IF(OR(F146="",G146=""),"",IF(F146=G146,1,0))</f>
        <v/>
      </c>
      <c r="I146">
        <f>IF(OR(F146="",G146=""),"",IF(ABS(F146-G146)&lt;=1,1,0))</f>
        <v/>
      </c>
      <c r="AC146">
        <f>IF(A146="","",IF(AND(AB146="Yes",T146&lt;&gt;"",U146&lt;&gt;""),"Yes","No"))</f>
        <v/>
      </c>
    </row>
    <row r="147">
      <c r="H147">
        <f>IF(OR(F147="",G147=""),"",IF(F147=G147,1,0))</f>
        <v/>
      </c>
      <c r="I147">
        <f>IF(OR(F147="",G147=""),"",IF(ABS(F147-G147)&lt;=1,1,0))</f>
        <v/>
      </c>
      <c r="AC147">
        <f>IF(A147="","",IF(AND(AB147="Yes",T147&lt;&gt;"",U147&lt;&gt;""),"Yes","No"))</f>
        <v/>
      </c>
    </row>
    <row r="148">
      <c r="H148">
        <f>IF(OR(F148="",G148=""),"",IF(F148=G148,1,0))</f>
        <v/>
      </c>
      <c r="I148">
        <f>IF(OR(F148="",G148=""),"",IF(ABS(F148-G148)&lt;=1,1,0))</f>
        <v/>
      </c>
      <c r="AC148">
        <f>IF(A148="","",IF(AND(AB148="Yes",T148&lt;&gt;"",U148&lt;&gt;""),"Yes","No"))</f>
        <v/>
      </c>
    </row>
    <row r="149">
      <c r="H149">
        <f>IF(OR(F149="",G149=""),"",IF(F149=G149,1,0))</f>
        <v/>
      </c>
      <c r="I149">
        <f>IF(OR(F149="",G149=""),"",IF(ABS(F149-G149)&lt;=1,1,0))</f>
        <v/>
      </c>
      <c r="AC149">
        <f>IF(A149="","",IF(AND(AB149="Yes",T149&lt;&gt;"",U149&lt;&gt;""),"Yes","No"))</f>
        <v/>
      </c>
    </row>
    <row r="150">
      <c r="H150">
        <f>IF(OR(F150="",G150=""),"",IF(F150=G150,1,0))</f>
        <v/>
      </c>
      <c r="I150">
        <f>IF(OR(F150="",G150=""),"",IF(ABS(F150-G150)&lt;=1,1,0))</f>
        <v/>
      </c>
      <c r="AC150">
        <f>IF(A150="","",IF(AND(AB150="Yes",T150&lt;&gt;"",U150&lt;&gt;""),"Yes","No"))</f>
        <v/>
      </c>
    </row>
    <row r="151">
      <c r="H151">
        <f>IF(OR(F151="",G151=""),"",IF(F151=G151,1,0))</f>
        <v/>
      </c>
      <c r="I151">
        <f>IF(OR(F151="",G151=""),"",IF(ABS(F151-G151)&lt;=1,1,0))</f>
        <v/>
      </c>
      <c r="AC151">
        <f>IF(A151="","",IF(AND(AB151="Yes",T151&lt;&gt;"",U151&lt;&gt;""),"Yes","No"))</f>
        <v/>
      </c>
    </row>
    <row r="152">
      <c r="H152">
        <f>IF(OR(F152="",G152=""),"",IF(F152=G152,1,0))</f>
        <v/>
      </c>
      <c r="I152">
        <f>IF(OR(F152="",G152=""),"",IF(ABS(F152-G152)&lt;=1,1,0))</f>
        <v/>
      </c>
      <c r="AC152">
        <f>IF(A152="","",IF(AND(AB152="Yes",T152&lt;&gt;"",U152&lt;&gt;""),"Yes","No"))</f>
        <v/>
      </c>
    </row>
    <row r="153">
      <c r="H153">
        <f>IF(OR(F153="",G153=""),"",IF(F153=G153,1,0))</f>
        <v/>
      </c>
      <c r="I153">
        <f>IF(OR(F153="",G153=""),"",IF(ABS(F153-G153)&lt;=1,1,0))</f>
        <v/>
      </c>
      <c r="AC153">
        <f>IF(A153="","",IF(AND(AB153="Yes",T153&lt;&gt;"",U153&lt;&gt;""),"Yes","No"))</f>
        <v/>
      </c>
    </row>
    <row r="154">
      <c r="H154">
        <f>IF(OR(F154="",G154=""),"",IF(F154=G154,1,0))</f>
        <v/>
      </c>
      <c r="I154">
        <f>IF(OR(F154="",G154=""),"",IF(ABS(F154-G154)&lt;=1,1,0))</f>
        <v/>
      </c>
      <c r="AC154">
        <f>IF(A154="","",IF(AND(AB154="Yes",T154&lt;&gt;"",U154&lt;&gt;""),"Yes","No"))</f>
        <v/>
      </c>
    </row>
    <row r="155">
      <c r="H155">
        <f>IF(OR(F155="",G155=""),"",IF(F155=G155,1,0))</f>
        <v/>
      </c>
      <c r="I155">
        <f>IF(OR(F155="",G155=""),"",IF(ABS(F155-G155)&lt;=1,1,0))</f>
        <v/>
      </c>
      <c r="AC155">
        <f>IF(A155="","",IF(AND(AB155="Yes",T155&lt;&gt;"",U155&lt;&gt;""),"Yes","No"))</f>
        <v/>
      </c>
    </row>
    <row r="156">
      <c r="H156">
        <f>IF(OR(F156="",G156=""),"",IF(F156=G156,1,0))</f>
        <v/>
      </c>
      <c r="I156">
        <f>IF(OR(F156="",G156=""),"",IF(ABS(F156-G156)&lt;=1,1,0))</f>
        <v/>
      </c>
      <c r="AC156">
        <f>IF(A156="","",IF(AND(AB156="Yes",T156&lt;&gt;"",U156&lt;&gt;""),"Yes","No"))</f>
        <v/>
      </c>
    </row>
    <row r="157">
      <c r="H157">
        <f>IF(OR(F157="",G157=""),"",IF(F157=G157,1,0))</f>
        <v/>
      </c>
      <c r="I157">
        <f>IF(OR(F157="",G157=""),"",IF(ABS(F157-G157)&lt;=1,1,0))</f>
        <v/>
      </c>
      <c r="AC157">
        <f>IF(A157="","",IF(AND(AB157="Yes",T157&lt;&gt;"",U157&lt;&gt;""),"Yes","No"))</f>
        <v/>
      </c>
    </row>
    <row r="158">
      <c r="H158">
        <f>IF(OR(F158="",G158=""),"",IF(F158=G158,1,0))</f>
        <v/>
      </c>
      <c r="I158">
        <f>IF(OR(F158="",G158=""),"",IF(ABS(F158-G158)&lt;=1,1,0))</f>
        <v/>
      </c>
      <c r="AC158">
        <f>IF(A158="","",IF(AND(AB158="Yes",T158&lt;&gt;"",U158&lt;&gt;""),"Yes","No"))</f>
        <v/>
      </c>
    </row>
    <row r="159">
      <c r="H159">
        <f>IF(OR(F159="",G159=""),"",IF(F159=G159,1,0))</f>
        <v/>
      </c>
      <c r="I159">
        <f>IF(OR(F159="",G159=""),"",IF(ABS(F159-G159)&lt;=1,1,0))</f>
        <v/>
      </c>
      <c r="AC159">
        <f>IF(A159="","",IF(AND(AB159="Yes",T159&lt;&gt;"",U159&lt;&gt;""),"Yes","No"))</f>
        <v/>
      </c>
    </row>
    <row r="160">
      <c r="H160">
        <f>IF(OR(F160="",G160=""),"",IF(F160=G160,1,0))</f>
        <v/>
      </c>
      <c r="I160">
        <f>IF(OR(F160="",G160=""),"",IF(ABS(F160-G160)&lt;=1,1,0))</f>
        <v/>
      </c>
      <c r="AC160">
        <f>IF(A160="","",IF(AND(AB160="Yes",T160&lt;&gt;"",U160&lt;&gt;""),"Yes","No"))</f>
        <v/>
      </c>
    </row>
    <row r="161">
      <c r="H161">
        <f>IF(OR(F161="",G161=""),"",IF(F161=G161,1,0))</f>
        <v/>
      </c>
      <c r="I161">
        <f>IF(OR(F161="",G161=""),"",IF(ABS(F161-G161)&lt;=1,1,0))</f>
        <v/>
      </c>
      <c r="AC161">
        <f>IF(A161="","",IF(AND(AB161="Yes",T161&lt;&gt;"",U161&lt;&gt;""),"Yes","No"))</f>
        <v/>
      </c>
    </row>
    <row r="162">
      <c r="H162">
        <f>IF(OR(F162="",G162=""),"",IF(F162=G162,1,0))</f>
        <v/>
      </c>
      <c r="I162">
        <f>IF(OR(F162="",G162=""),"",IF(ABS(F162-G162)&lt;=1,1,0))</f>
        <v/>
      </c>
      <c r="AC162">
        <f>IF(A162="","",IF(AND(AB162="Yes",T162&lt;&gt;"",U162&lt;&gt;""),"Yes","No"))</f>
        <v/>
      </c>
    </row>
    <row r="163">
      <c r="H163">
        <f>IF(OR(F163="",G163=""),"",IF(F163=G163,1,0))</f>
        <v/>
      </c>
      <c r="I163">
        <f>IF(OR(F163="",G163=""),"",IF(ABS(F163-G163)&lt;=1,1,0))</f>
        <v/>
      </c>
      <c r="AC163">
        <f>IF(A163="","",IF(AND(AB163="Yes",T163&lt;&gt;"",U163&lt;&gt;""),"Yes","No"))</f>
        <v/>
      </c>
    </row>
    <row r="164">
      <c r="H164">
        <f>IF(OR(F164="",G164=""),"",IF(F164=G164,1,0))</f>
        <v/>
      </c>
      <c r="I164">
        <f>IF(OR(F164="",G164=""),"",IF(ABS(F164-G164)&lt;=1,1,0))</f>
        <v/>
      </c>
      <c r="AC164">
        <f>IF(A164="","",IF(AND(AB164="Yes",T164&lt;&gt;"",U164&lt;&gt;""),"Yes","No"))</f>
        <v/>
      </c>
    </row>
    <row r="165">
      <c r="H165">
        <f>IF(OR(F165="",G165=""),"",IF(F165=G165,1,0))</f>
        <v/>
      </c>
      <c r="I165">
        <f>IF(OR(F165="",G165=""),"",IF(ABS(F165-G165)&lt;=1,1,0))</f>
        <v/>
      </c>
      <c r="AC165">
        <f>IF(A165="","",IF(AND(AB165="Yes",T165&lt;&gt;"",U165&lt;&gt;""),"Yes","No"))</f>
        <v/>
      </c>
    </row>
    <row r="166">
      <c r="H166">
        <f>IF(OR(F166="",G166=""),"",IF(F166=G166,1,0))</f>
        <v/>
      </c>
      <c r="I166">
        <f>IF(OR(F166="",G166=""),"",IF(ABS(F166-G166)&lt;=1,1,0))</f>
        <v/>
      </c>
      <c r="AC166">
        <f>IF(A166="","",IF(AND(AB166="Yes",T166&lt;&gt;"",U166&lt;&gt;""),"Yes","No"))</f>
        <v/>
      </c>
    </row>
    <row r="167">
      <c r="H167">
        <f>IF(OR(F167="",G167=""),"",IF(F167=G167,1,0))</f>
        <v/>
      </c>
      <c r="I167">
        <f>IF(OR(F167="",G167=""),"",IF(ABS(F167-G167)&lt;=1,1,0))</f>
        <v/>
      </c>
      <c r="AC167">
        <f>IF(A167="","",IF(AND(AB167="Yes",T167&lt;&gt;"",U167&lt;&gt;""),"Yes","No"))</f>
        <v/>
      </c>
    </row>
    <row r="168">
      <c r="H168">
        <f>IF(OR(F168="",G168=""),"",IF(F168=G168,1,0))</f>
        <v/>
      </c>
      <c r="I168">
        <f>IF(OR(F168="",G168=""),"",IF(ABS(F168-G168)&lt;=1,1,0))</f>
        <v/>
      </c>
      <c r="AC168">
        <f>IF(A168="","",IF(AND(AB168="Yes",T168&lt;&gt;"",U168&lt;&gt;""),"Yes","No"))</f>
        <v/>
      </c>
    </row>
    <row r="169">
      <c r="H169">
        <f>IF(OR(F169="",G169=""),"",IF(F169=G169,1,0))</f>
        <v/>
      </c>
      <c r="I169">
        <f>IF(OR(F169="",G169=""),"",IF(ABS(F169-G169)&lt;=1,1,0))</f>
        <v/>
      </c>
      <c r="AC169">
        <f>IF(A169="","",IF(AND(AB169="Yes",T169&lt;&gt;"",U169&lt;&gt;""),"Yes","No"))</f>
        <v/>
      </c>
    </row>
    <row r="170">
      <c r="H170">
        <f>IF(OR(F170="",G170=""),"",IF(F170=G170,1,0))</f>
        <v/>
      </c>
      <c r="I170">
        <f>IF(OR(F170="",G170=""),"",IF(ABS(F170-G170)&lt;=1,1,0))</f>
        <v/>
      </c>
      <c r="AC170">
        <f>IF(A170="","",IF(AND(AB170="Yes",T170&lt;&gt;"",U170&lt;&gt;""),"Yes","No"))</f>
        <v/>
      </c>
    </row>
    <row r="171">
      <c r="H171">
        <f>IF(OR(F171="",G171=""),"",IF(F171=G171,1,0))</f>
        <v/>
      </c>
      <c r="I171">
        <f>IF(OR(F171="",G171=""),"",IF(ABS(F171-G171)&lt;=1,1,0))</f>
        <v/>
      </c>
      <c r="AC171">
        <f>IF(A171="","",IF(AND(AB171="Yes",T171&lt;&gt;"",U171&lt;&gt;""),"Yes","No"))</f>
        <v/>
      </c>
    </row>
    <row r="172">
      <c r="H172">
        <f>IF(OR(F172="",G172=""),"",IF(F172=G172,1,0))</f>
        <v/>
      </c>
      <c r="I172">
        <f>IF(OR(F172="",G172=""),"",IF(ABS(F172-G172)&lt;=1,1,0))</f>
        <v/>
      </c>
      <c r="AC172">
        <f>IF(A172="","",IF(AND(AB172="Yes",T172&lt;&gt;"",U172&lt;&gt;""),"Yes","No"))</f>
        <v/>
      </c>
    </row>
    <row r="173">
      <c r="H173">
        <f>IF(OR(F173="",G173=""),"",IF(F173=G173,1,0))</f>
        <v/>
      </c>
      <c r="I173">
        <f>IF(OR(F173="",G173=""),"",IF(ABS(F173-G173)&lt;=1,1,0))</f>
        <v/>
      </c>
      <c r="AC173">
        <f>IF(A173="","",IF(AND(AB173="Yes",T173&lt;&gt;"",U173&lt;&gt;""),"Yes","No"))</f>
        <v/>
      </c>
    </row>
    <row r="174">
      <c r="H174">
        <f>IF(OR(F174="",G174=""),"",IF(F174=G174,1,0))</f>
        <v/>
      </c>
      <c r="I174">
        <f>IF(OR(F174="",G174=""),"",IF(ABS(F174-G174)&lt;=1,1,0))</f>
        <v/>
      </c>
      <c r="AC174">
        <f>IF(A174="","",IF(AND(AB174="Yes",T174&lt;&gt;"",U174&lt;&gt;""),"Yes","No"))</f>
        <v/>
      </c>
    </row>
    <row r="175">
      <c r="H175">
        <f>IF(OR(F175="",G175=""),"",IF(F175=G175,1,0))</f>
        <v/>
      </c>
      <c r="I175">
        <f>IF(OR(F175="",G175=""),"",IF(ABS(F175-G175)&lt;=1,1,0))</f>
        <v/>
      </c>
      <c r="AC175">
        <f>IF(A175="","",IF(AND(AB175="Yes",T175&lt;&gt;"",U175&lt;&gt;""),"Yes","No"))</f>
        <v/>
      </c>
    </row>
    <row r="176">
      <c r="H176">
        <f>IF(OR(F176="",G176=""),"",IF(F176=G176,1,0))</f>
        <v/>
      </c>
      <c r="I176">
        <f>IF(OR(F176="",G176=""),"",IF(ABS(F176-G176)&lt;=1,1,0))</f>
        <v/>
      </c>
      <c r="AC176">
        <f>IF(A176="","",IF(AND(AB176="Yes",T176&lt;&gt;"",U176&lt;&gt;""),"Yes","No"))</f>
        <v/>
      </c>
    </row>
    <row r="177">
      <c r="H177">
        <f>IF(OR(F177="",G177=""),"",IF(F177=G177,1,0))</f>
        <v/>
      </c>
      <c r="I177">
        <f>IF(OR(F177="",G177=""),"",IF(ABS(F177-G177)&lt;=1,1,0))</f>
        <v/>
      </c>
      <c r="AC177">
        <f>IF(A177="","",IF(AND(AB177="Yes",T177&lt;&gt;"",U177&lt;&gt;""),"Yes","No"))</f>
        <v/>
      </c>
    </row>
    <row r="178">
      <c r="H178">
        <f>IF(OR(F178="",G178=""),"",IF(F178=G178,1,0))</f>
        <v/>
      </c>
      <c r="I178">
        <f>IF(OR(F178="",G178=""),"",IF(ABS(F178-G178)&lt;=1,1,0))</f>
        <v/>
      </c>
      <c r="AC178">
        <f>IF(A178="","",IF(AND(AB178="Yes",T178&lt;&gt;"",U178&lt;&gt;""),"Yes","No"))</f>
        <v/>
      </c>
    </row>
    <row r="179">
      <c r="H179">
        <f>IF(OR(F179="",G179=""),"",IF(F179=G179,1,0))</f>
        <v/>
      </c>
      <c r="I179">
        <f>IF(OR(F179="",G179=""),"",IF(ABS(F179-G179)&lt;=1,1,0))</f>
        <v/>
      </c>
      <c r="AC179">
        <f>IF(A179="","",IF(AND(AB179="Yes",T179&lt;&gt;"",U179&lt;&gt;""),"Yes","No"))</f>
        <v/>
      </c>
    </row>
    <row r="180">
      <c r="H180">
        <f>IF(OR(F180="",G180=""),"",IF(F180=G180,1,0))</f>
        <v/>
      </c>
      <c r="I180">
        <f>IF(OR(F180="",G180=""),"",IF(ABS(F180-G180)&lt;=1,1,0))</f>
        <v/>
      </c>
      <c r="AC180">
        <f>IF(A180="","",IF(AND(AB180="Yes",T180&lt;&gt;"",U180&lt;&gt;""),"Yes","No"))</f>
        <v/>
      </c>
    </row>
    <row r="181">
      <c r="H181">
        <f>IF(OR(F181="",G181=""),"",IF(F181=G181,1,0))</f>
        <v/>
      </c>
      <c r="I181">
        <f>IF(OR(F181="",G181=""),"",IF(ABS(F181-G181)&lt;=1,1,0))</f>
        <v/>
      </c>
      <c r="AC181">
        <f>IF(A181="","",IF(AND(AB181="Yes",T181&lt;&gt;"",U181&lt;&gt;""),"Yes","No"))</f>
        <v/>
      </c>
    </row>
    <row r="182">
      <c r="H182">
        <f>IF(OR(F182="",G182=""),"",IF(F182=G182,1,0))</f>
        <v/>
      </c>
      <c r="I182">
        <f>IF(OR(F182="",G182=""),"",IF(ABS(F182-G182)&lt;=1,1,0))</f>
        <v/>
      </c>
      <c r="AC182">
        <f>IF(A182="","",IF(AND(AB182="Yes",T182&lt;&gt;"",U182&lt;&gt;""),"Yes","No"))</f>
        <v/>
      </c>
    </row>
    <row r="183">
      <c r="H183">
        <f>IF(OR(F183="",G183=""),"",IF(F183=G183,1,0))</f>
        <v/>
      </c>
      <c r="I183">
        <f>IF(OR(F183="",G183=""),"",IF(ABS(F183-G183)&lt;=1,1,0))</f>
        <v/>
      </c>
      <c r="AC183">
        <f>IF(A183="","",IF(AND(AB183="Yes",T183&lt;&gt;"",U183&lt;&gt;""),"Yes","No"))</f>
        <v/>
      </c>
    </row>
    <row r="184">
      <c r="H184">
        <f>IF(OR(F184="",G184=""),"",IF(F184=G184,1,0))</f>
        <v/>
      </c>
      <c r="I184">
        <f>IF(OR(F184="",G184=""),"",IF(ABS(F184-G184)&lt;=1,1,0))</f>
        <v/>
      </c>
      <c r="AC184">
        <f>IF(A184="","",IF(AND(AB184="Yes",T184&lt;&gt;"",U184&lt;&gt;""),"Yes","No"))</f>
        <v/>
      </c>
    </row>
    <row r="185">
      <c r="H185">
        <f>IF(OR(F185="",G185=""),"",IF(F185=G185,1,0))</f>
        <v/>
      </c>
      <c r="I185">
        <f>IF(OR(F185="",G185=""),"",IF(ABS(F185-G185)&lt;=1,1,0))</f>
        <v/>
      </c>
      <c r="AC185">
        <f>IF(A185="","",IF(AND(AB185="Yes",T185&lt;&gt;"",U185&lt;&gt;""),"Yes","No"))</f>
        <v/>
      </c>
    </row>
    <row r="186">
      <c r="H186">
        <f>IF(OR(F186="",G186=""),"",IF(F186=G186,1,0))</f>
        <v/>
      </c>
      <c r="I186">
        <f>IF(OR(F186="",G186=""),"",IF(ABS(F186-G186)&lt;=1,1,0))</f>
        <v/>
      </c>
      <c r="AC186">
        <f>IF(A186="","",IF(AND(AB186="Yes",T186&lt;&gt;"",U186&lt;&gt;""),"Yes","No"))</f>
        <v/>
      </c>
    </row>
    <row r="187">
      <c r="H187">
        <f>IF(OR(F187="",G187=""),"",IF(F187=G187,1,0))</f>
        <v/>
      </c>
      <c r="I187">
        <f>IF(OR(F187="",G187=""),"",IF(ABS(F187-G187)&lt;=1,1,0))</f>
        <v/>
      </c>
      <c r="AC187">
        <f>IF(A187="","",IF(AND(AB187="Yes",T187&lt;&gt;"",U187&lt;&gt;""),"Yes","No"))</f>
        <v/>
      </c>
    </row>
    <row r="188">
      <c r="H188">
        <f>IF(OR(F188="",G188=""),"",IF(F188=G188,1,0))</f>
        <v/>
      </c>
      <c r="I188">
        <f>IF(OR(F188="",G188=""),"",IF(ABS(F188-G188)&lt;=1,1,0))</f>
        <v/>
      </c>
      <c r="AC188">
        <f>IF(A188="","",IF(AND(AB188="Yes",T188&lt;&gt;"",U188&lt;&gt;""),"Yes","No"))</f>
        <v/>
      </c>
    </row>
    <row r="189">
      <c r="H189">
        <f>IF(OR(F189="",G189=""),"",IF(F189=G189,1,0))</f>
        <v/>
      </c>
      <c r="I189">
        <f>IF(OR(F189="",G189=""),"",IF(ABS(F189-G189)&lt;=1,1,0))</f>
        <v/>
      </c>
      <c r="AC189">
        <f>IF(A189="","",IF(AND(AB189="Yes",T189&lt;&gt;"",U189&lt;&gt;""),"Yes","No"))</f>
        <v/>
      </c>
    </row>
    <row r="190">
      <c r="H190">
        <f>IF(OR(F190="",G190=""),"",IF(F190=G190,1,0))</f>
        <v/>
      </c>
      <c r="I190">
        <f>IF(OR(F190="",G190=""),"",IF(ABS(F190-G190)&lt;=1,1,0))</f>
        <v/>
      </c>
      <c r="AC190">
        <f>IF(A190="","",IF(AND(AB190="Yes",T190&lt;&gt;"",U190&lt;&gt;""),"Yes","No"))</f>
        <v/>
      </c>
    </row>
    <row r="191">
      <c r="H191">
        <f>IF(OR(F191="",G191=""),"",IF(F191=G191,1,0))</f>
        <v/>
      </c>
      <c r="I191">
        <f>IF(OR(F191="",G191=""),"",IF(ABS(F191-G191)&lt;=1,1,0))</f>
        <v/>
      </c>
      <c r="AC191">
        <f>IF(A191="","",IF(AND(AB191="Yes",T191&lt;&gt;"",U191&lt;&gt;""),"Yes","No"))</f>
        <v/>
      </c>
    </row>
    <row r="192">
      <c r="H192">
        <f>IF(OR(F192="",G192=""),"",IF(F192=G192,1,0))</f>
        <v/>
      </c>
      <c r="I192">
        <f>IF(OR(F192="",G192=""),"",IF(ABS(F192-G192)&lt;=1,1,0))</f>
        <v/>
      </c>
      <c r="AC192">
        <f>IF(A192="","",IF(AND(AB192="Yes",T192&lt;&gt;"",U192&lt;&gt;""),"Yes","No"))</f>
        <v/>
      </c>
    </row>
    <row r="193">
      <c r="H193">
        <f>IF(OR(F193="",G193=""),"",IF(F193=G193,1,0))</f>
        <v/>
      </c>
      <c r="I193">
        <f>IF(OR(F193="",G193=""),"",IF(ABS(F193-G193)&lt;=1,1,0))</f>
        <v/>
      </c>
      <c r="AC193">
        <f>IF(A193="","",IF(AND(AB193="Yes",T193&lt;&gt;"",U193&lt;&gt;""),"Yes","No"))</f>
        <v/>
      </c>
    </row>
    <row r="194">
      <c r="H194">
        <f>IF(OR(F194="",G194=""),"",IF(F194=G194,1,0))</f>
        <v/>
      </c>
      <c r="I194">
        <f>IF(OR(F194="",G194=""),"",IF(ABS(F194-G194)&lt;=1,1,0))</f>
        <v/>
      </c>
      <c r="AC194">
        <f>IF(A194="","",IF(AND(AB194="Yes",T194&lt;&gt;"",U194&lt;&gt;""),"Yes","No"))</f>
        <v/>
      </c>
    </row>
    <row r="195">
      <c r="H195">
        <f>IF(OR(F195="",G195=""),"",IF(F195=G195,1,0))</f>
        <v/>
      </c>
      <c r="I195">
        <f>IF(OR(F195="",G195=""),"",IF(ABS(F195-G195)&lt;=1,1,0))</f>
        <v/>
      </c>
      <c r="AC195">
        <f>IF(A195="","",IF(AND(AB195="Yes",T195&lt;&gt;"",U195&lt;&gt;""),"Yes","No"))</f>
        <v/>
      </c>
    </row>
    <row r="196">
      <c r="H196">
        <f>IF(OR(F196="",G196=""),"",IF(F196=G196,1,0))</f>
        <v/>
      </c>
      <c r="I196">
        <f>IF(OR(F196="",G196=""),"",IF(ABS(F196-G196)&lt;=1,1,0))</f>
        <v/>
      </c>
      <c r="AC196">
        <f>IF(A196="","",IF(AND(AB196="Yes",T196&lt;&gt;"",U196&lt;&gt;""),"Yes","No"))</f>
        <v/>
      </c>
    </row>
    <row r="197">
      <c r="H197">
        <f>IF(OR(F197="",G197=""),"",IF(F197=G197,1,0))</f>
        <v/>
      </c>
      <c r="I197">
        <f>IF(OR(F197="",G197=""),"",IF(ABS(F197-G197)&lt;=1,1,0))</f>
        <v/>
      </c>
      <c r="AC197">
        <f>IF(A197="","",IF(AND(AB197="Yes",T197&lt;&gt;"",U197&lt;&gt;""),"Yes","No"))</f>
        <v/>
      </c>
    </row>
    <row r="198">
      <c r="H198">
        <f>IF(OR(F198="",G198=""),"",IF(F198=G198,1,0))</f>
        <v/>
      </c>
      <c r="I198">
        <f>IF(OR(F198="",G198=""),"",IF(ABS(F198-G198)&lt;=1,1,0))</f>
        <v/>
      </c>
      <c r="AC198">
        <f>IF(A198="","",IF(AND(AB198="Yes",T198&lt;&gt;"",U198&lt;&gt;""),"Yes","No"))</f>
        <v/>
      </c>
    </row>
    <row r="199">
      <c r="H199">
        <f>IF(OR(F199="",G199=""),"",IF(F199=G199,1,0))</f>
        <v/>
      </c>
      <c r="I199">
        <f>IF(OR(F199="",G199=""),"",IF(ABS(F199-G199)&lt;=1,1,0))</f>
        <v/>
      </c>
      <c r="AC199">
        <f>IF(A199="","",IF(AND(AB199="Yes",T199&lt;&gt;"",U199&lt;&gt;""),"Yes","No"))</f>
        <v/>
      </c>
    </row>
    <row r="200">
      <c r="H200">
        <f>IF(OR(F200="",G200=""),"",IF(F200=G200,1,0))</f>
        <v/>
      </c>
      <c r="I200">
        <f>IF(OR(F200="",G200=""),"",IF(ABS(F200-G200)&lt;=1,1,0))</f>
        <v/>
      </c>
      <c r="AC200">
        <f>IF(A200="","",IF(AND(AB200="Yes",T200&lt;&gt;"",U200&lt;&gt;""),"Yes","No"))</f>
        <v/>
      </c>
    </row>
    <row r="201">
      <c r="H201">
        <f>IF(OR(F201="",G201=""),"",IF(F201=G201,1,0))</f>
        <v/>
      </c>
      <c r="I201">
        <f>IF(OR(F201="",G201=""),"",IF(ABS(F201-G201)&lt;=1,1,0))</f>
        <v/>
      </c>
      <c r="AC201">
        <f>IF(A201="","",IF(AND(AB201="Yes",T201&lt;&gt;"",U201&lt;&gt;""),"Yes","No"))</f>
        <v/>
      </c>
    </row>
    <row r="202">
      <c r="H202">
        <f>IF(OR(F202="",G202=""),"",IF(F202=G202,1,0))</f>
        <v/>
      </c>
      <c r="I202">
        <f>IF(OR(F202="",G202=""),"",IF(ABS(F202-G202)&lt;=1,1,0))</f>
        <v/>
      </c>
      <c r="AC202">
        <f>IF(A202="","",IF(AND(AB202="Yes",T202&lt;&gt;"",U202&lt;&gt;""),"Yes","No"))</f>
        <v/>
      </c>
    </row>
    <row r="203">
      <c r="H203">
        <f>IF(OR(F203="",G203=""),"",IF(F203=G203,1,0))</f>
        <v/>
      </c>
      <c r="I203">
        <f>IF(OR(F203="",G203=""),"",IF(ABS(F203-G203)&lt;=1,1,0))</f>
        <v/>
      </c>
      <c r="AC203">
        <f>IF(A203="","",IF(AND(AB203="Yes",T203&lt;&gt;"",U203&lt;&gt;""),"Yes","No"))</f>
        <v/>
      </c>
    </row>
    <row r="204">
      <c r="H204">
        <f>IF(OR(F204="",G204=""),"",IF(F204=G204,1,0))</f>
        <v/>
      </c>
      <c r="I204">
        <f>IF(OR(F204="",G204=""),"",IF(ABS(F204-G204)&lt;=1,1,0))</f>
        <v/>
      </c>
      <c r="AC204">
        <f>IF(A204="","",IF(AND(AB204="Yes",T204&lt;&gt;"",U204&lt;&gt;""),"Yes","No"))</f>
        <v/>
      </c>
    </row>
    <row r="205">
      <c r="H205">
        <f>IF(OR(F205="",G205=""),"",IF(F205=G205,1,0))</f>
        <v/>
      </c>
      <c r="I205">
        <f>IF(OR(F205="",G205=""),"",IF(ABS(F205-G205)&lt;=1,1,0))</f>
        <v/>
      </c>
      <c r="AC205">
        <f>IF(A205="","",IF(AND(AB205="Yes",T205&lt;&gt;"",U205&lt;&gt;""),"Yes","No"))</f>
        <v/>
      </c>
    </row>
    <row r="206">
      <c r="H206">
        <f>IF(OR(F206="",G206=""),"",IF(F206=G206,1,0))</f>
        <v/>
      </c>
      <c r="I206">
        <f>IF(OR(F206="",G206=""),"",IF(ABS(F206-G206)&lt;=1,1,0))</f>
        <v/>
      </c>
      <c r="AC206">
        <f>IF(A206="","",IF(AND(AB206="Yes",T206&lt;&gt;"",U206&lt;&gt;""),"Yes","No"))</f>
        <v/>
      </c>
    </row>
    <row r="207">
      <c r="H207">
        <f>IF(OR(F207="",G207=""),"",IF(F207=G207,1,0))</f>
        <v/>
      </c>
      <c r="I207">
        <f>IF(OR(F207="",G207=""),"",IF(ABS(F207-G207)&lt;=1,1,0))</f>
        <v/>
      </c>
      <c r="AC207">
        <f>IF(A207="","",IF(AND(AB207="Yes",T207&lt;&gt;"",U207&lt;&gt;""),"Yes","No"))</f>
        <v/>
      </c>
    </row>
    <row r="208">
      <c r="H208">
        <f>IF(OR(F208="",G208=""),"",IF(F208=G208,1,0))</f>
        <v/>
      </c>
      <c r="I208">
        <f>IF(OR(F208="",G208=""),"",IF(ABS(F208-G208)&lt;=1,1,0))</f>
        <v/>
      </c>
      <c r="AC208">
        <f>IF(A208="","",IF(AND(AB208="Yes",T208&lt;&gt;"",U208&lt;&gt;""),"Yes","No"))</f>
        <v/>
      </c>
    </row>
    <row r="209">
      <c r="H209">
        <f>IF(OR(F209="",G209=""),"",IF(F209=G209,1,0))</f>
        <v/>
      </c>
      <c r="I209">
        <f>IF(OR(F209="",G209=""),"",IF(ABS(F209-G209)&lt;=1,1,0))</f>
        <v/>
      </c>
      <c r="AC209">
        <f>IF(A209="","",IF(AND(AB209="Yes",T209&lt;&gt;"",U209&lt;&gt;""),"Yes","No"))</f>
        <v/>
      </c>
    </row>
    <row r="210">
      <c r="H210">
        <f>IF(OR(F210="",G210=""),"",IF(F210=G210,1,0))</f>
        <v/>
      </c>
      <c r="I210">
        <f>IF(OR(F210="",G210=""),"",IF(ABS(F210-G210)&lt;=1,1,0))</f>
        <v/>
      </c>
      <c r="AC210">
        <f>IF(A210="","",IF(AND(AB210="Yes",T210&lt;&gt;"",U210&lt;&gt;""),"Yes","No"))</f>
        <v/>
      </c>
    </row>
    <row r="211">
      <c r="H211">
        <f>IF(OR(F211="",G211=""),"",IF(F211=G211,1,0))</f>
        <v/>
      </c>
      <c r="I211">
        <f>IF(OR(F211="",G211=""),"",IF(ABS(F211-G211)&lt;=1,1,0))</f>
        <v/>
      </c>
      <c r="AC211">
        <f>IF(A211="","",IF(AND(AB211="Yes",T211&lt;&gt;"",U211&lt;&gt;""),"Yes","No"))</f>
        <v/>
      </c>
    </row>
    <row r="212">
      <c r="H212">
        <f>IF(OR(F212="",G212=""),"",IF(F212=G212,1,0))</f>
        <v/>
      </c>
      <c r="I212">
        <f>IF(OR(F212="",G212=""),"",IF(ABS(F212-G212)&lt;=1,1,0))</f>
        <v/>
      </c>
      <c r="AC212">
        <f>IF(A212="","",IF(AND(AB212="Yes",T212&lt;&gt;"",U212&lt;&gt;""),"Yes","No"))</f>
        <v/>
      </c>
    </row>
    <row r="213">
      <c r="H213">
        <f>IF(OR(F213="",G213=""),"",IF(F213=G213,1,0))</f>
        <v/>
      </c>
      <c r="I213">
        <f>IF(OR(F213="",G213=""),"",IF(ABS(F213-G213)&lt;=1,1,0))</f>
        <v/>
      </c>
      <c r="AC213">
        <f>IF(A213="","",IF(AND(AB213="Yes",T213&lt;&gt;"",U213&lt;&gt;""),"Yes","No"))</f>
        <v/>
      </c>
    </row>
    <row r="214">
      <c r="H214">
        <f>IF(OR(F214="",G214=""),"",IF(F214=G214,1,0))</f>
        <v/>
      </c>
      <c r="I214">
        <f>IF(OR(F214="",G214=""),"",IF(ABS(F214-G214)&lt;=1,1,0))</f>
        <v/>
      </c>
      <c r="AC214">
        <f>IF(A214="","",IF(AND(AB214="Yes",T214&lt;&gt;"",U214&lt;&gt;""),"Yes","No"))</f>
        <v/>
      </c>
    </row>
    <row r="215">
      <c r="H215">
        <f>IF(OR(F215="",G215=""),"",IF(F215=G215,1,0))</f>
        <v/>
      </c>
      <c r="I215">
        <f>IF(OR(F215="",G215=""),"",IF(ABS(F215-G215)&lt;=1,1,0))</f>
        <v/>
      </c>
      <c r="AC215">
        <f>IF(A215="","",IF(AND(AB215="Yes",T215&lt;&gt;"",U215&lt;&gt;""),"Yes","No"))</f>
        <v/>
      </c>
    </row>
    <row r="216">
      <c r="H216">
        <f>IF(OR(F216="",G216=""),"",IF(F216=G216,1,0))</f>
        <v/>
      </c>
      <c r="I216">
        <f>IF(OR(F216="",G216=""),"",IF(ABS(F216-G216)&lt;=1,1,0))</f>
        <v/>
      </c>
      <c r="AC216">
        <f>IF(A216="","",IF(AND(AB216="Yes",T216&lt;&gt;"",U216&lt;&gt;""),"Yes","No"))</f>
        <v/>
      </c>
    </row>
    <row r="217">
      <c r="H217">
        <f>IF(OR(F217="",G217=""),"",IF(F217=G217,1,0))</f>
        <v/>
      </c>
      <c r="I217">
        <f>IF(OR(F217="",G217=""),"",IF(ABS(F217-G217)&lt;=1,1,0))</f>
        <v/>
      </c>
      <c r="AC217">
        <f>IF(A217="","",IF(AND(AB217="Yes",T217&lt;&gt;"",U217&lt;&gt;""),"Yes","No"))</f>
        <v/>
      </c>
    </row>
    <row r="218">
      <c r="H218">
        <f>IF(OR(F218="",G218=""),"",IF(F218=G218,1,0))</f>
        <v/>
      </c>
      <c r="I218">
        <f>IF(OR(F218="",G218=""),"",IF(ABS(F218-G218)&lt;=1,1,0))</f>
        <v/>
      </c>
      <c r="AC218">
        <f>IF(A218="","",IF(AND(AB218="Yes",T218&lt;&gt;"",U218&lt;&gt;""),"Yes","No"))</f>
        <v/>
      </c>
    </row>
    <row r="219">
      <c r="H219">
        <f>IF(OR(F219="",G219=""),"",IF(F219=G219,1,0))</f>
        <v/>
      </c>
      <c r="I219">
        <f>IF(OR(F219="",G219=""),"",IF(ABS(F219-G219)&lt;=1,1,0))</f>
        <v/>
      </c>
      <c r="AC219">
        <f>IF(A219="","",IF(AND(AB219="Yes",T219&lt;&gt;"",U219&lt;&gt;""),"Yes","No"))</f>
        <v/>
      </c>
    </row>
    <row r="220">
      <c r="H220">
        <f>IF(OR(F220="",G220=""),"",IF(F220=G220,1,0))</f>
        <v/>
      </c>
      <c r="I220">
        <f>IF(OR(F220="",G220=""),"",IF(ABS(F220-G220)&lt;=1,1,0))</f>
        <v/>
      </c>
      <c r="AC220">
        <f>IF(A220="","",IF(AND(AB220="Yes",T220&lt;&gt;"",U220&lt;&gt;""),"Yes","No"))</f>
        <v/>
      </c>
    </row>
    <row r="221">
      <c r="H221">
        <f>IF(OR(F221="",G221=""),"",IF(F221=G221,1,0))</f>
        <v/>
      </c>
      <c r="I221">
        <f>IF(OR(F221="",G221=""),"",IF(ABS(F221-G221)&lt;=1,1,0))</f>
        <v/>
      </c>
      <c r="AC221">
        <f>IF(A221="","",IF(AND(AB221="Yes",T221&lt;&gt;"",U221&lt;&gt;""),"Yes","No"))</f>
        <v/>
      </c>
    </row>
    <row r="222">
      <c r="H222">
        <f>IF(OR(F222="",G222=""),"",IF(F222=G222,1,0))</f>
        <v/>
      </c>
      <c r="I222">
        <f>IF(OR(F222="",G222=""),"",IF(ABS(F222-G222)&lt;=1,1,0))</f>
        <v/>
      </c>
      <c r="AC222">
        <f>IF(A222="","",IF(AND(AB222="Yes",T222&lt;&gt;"",U222&lt;&gt;""),"Yes","No"))</f>
        <v/>
      </c>
    </row>
    <row r="223">
      <c r="H223">
        <f>IF(OR(F223="",G223=""),"",IF(F223=G223,1,0))</f>
        <v/>
      </c>
      <c r="I223">
        <f>IF(OR(F223="",G223=""),"",IF(ABS(F223-G223)&lt;=1,1,0))</f>
        <v/>
      </c>
      <c r="AC223">
        <f>IF(A223="","",IF(AND(AB223="Yes",T223&lt;&gt;"",U223&lt;&gt;""),"Yes","No"))</f>
        <v/>
      </c>
    </row>
    <row r="224">
      <c r="H224">
        <f>IF(OR(F224="",G224=""),"",IF(F224=G224,1,0))</f>
        <v/>
      </c>
      <c r="I224">
        <f>IF(OR(F224="",G224=""),"",IF(ABS(F224-G224)&lt;=1,1,0))</f>
        <v/>
      </c>
      <c r="AC224">
        <f>IF(A224="","",IF(AND(AB224="Yes",T224&lt;&gt;"",U224&lt;&gt;""),"Yes","No"))</f>
        <v/>
      </c>
    </row>
    <row r="225">
      <c r="H225">
        <f>IF(OR(F225="",G225=""),"",IF(F225=G225,1,0))</f>
        <v/>
      </c>
      <c r="I225">
        <f>IF(OR(F225="",G225=""),"",IF(ABS(F225-G225)&lt;=1,1,0))</f>
        <v/>
      </c>
      <c r="AC225">
        <f>IF(A225="","",IF(AND(AB225="Yes",T225&lt;&gt;"",U225&lt;&gt;""),"Yes","No"))</f>
        <v/>
      </c>
    </row>
    <row r="226">
      <c r="H226">
        <f>IF(OR(F226="",G226=""),"",IF(F226=G226,1,0))</f>
        <v/>
      </c>
      <c r="I226">
        <f>IF(OR(F226="",G226=""),"",IF(ABS(F226-G226)&lt;=1,1,0))</f>
        <v/>
      </c>
      <c r="AC226">
        <f>IF(A226="","",IF(AND(AB226="Yes",T226&lt;&gt;"",U226&lt;&gt;""),"Yes","No"))</f>
        <v/>
      </c>
    </row>
    <row r="227">
      <c r="H227">
        <f>IF(OR(F227="",G227=""),"",IF(F227=G227,1,0))</f>
        <v/>
      </c>
      <c r="I227">
        <f>IF(OR(F227="",G227=""),"",IF(ABS(F227-G227)&lt;=1,1,0))</f>
        <v/>
      </c>
      <c r="AC227">
        <f>IF(A227="","",IF(AND(AB227="Yes",T227&lt;&gt;"",U227&lt;&gt;""),"Yes","No"))</f>
        <v/>
      </c>
    </row>
    <row r="228">
      <c r="H228">
        <f>IF(OR(F228="",G228=""),"",IF(F228=G228,1,0))</f>
        <v/>
      </c>
      <c r="I228">
        <f>IF(OR(F228="",G228=""),"",IF(ABS(F228-G228)&lt;=1,1,0))</f>
        <v/>
      </c>
      <c r="AC228">
        <f>IF(A228="","",IF(AND(AB228="Yes",T228&lt;&gt;"",U228&lt;&gt;""),"Yes","No"))</f>
        <v/>
      </c>
    </row>
    <row r="229">
      <c r="H229">
        <f>IF(OR(F229="",G229=""),"",IF(F229=G229,1,0))</f>
        <v/>
      </c>
      <c r="I229">
        <f>IF(OR(F229="",G229=""),"",IF(ABS(F229-G229)&lt;=1,1,0))</f>
        <v/>
      </c>
      <c r="AC229">
        <f>IF(A229="","",IF(AND(AB229="Yes",T229&lt;&gt;"",U229&lt;&gt;""),"Yes","No"))</f>
        <v/>
      </c>
    </row>
    <row r="230">
      <c r="H230">
        <f>IF(OR(F230="",G230=""),"",IF(F230=G230,1,0))</f>
        <v/>
      </c>
      <c r="I230">
        <f>IF(OR(F230="",G230=""),"",IF(ABS(F230-G230)&lt;=1,1,0))</f>
        <v/>
      </c>
      <c r="AC230">
        <f>IF(A230="","",IF(AND(AB230="Yes",T230&lt;&gt;"",U230&lt;&gt;""),"Yes","No"))</f>
        <v/>
      </c>
    </row>
    <row r="231">
      <c r="H231">
        <f>IF(OR(F231="",G231=""),"",IF(F231=G231,1,0))</f>
        <v/>
      </c>
      <c r="I231">
        <f>IF(OR(F231="",G231=""),"",IF(ABS(F231-G231)&lt;=1,1,0))</f>
        <v/>
      </c>
      <c r="AC231">
        <f>IF(A231="","",IF(AND(AB231="Yes",T231&lt;&gt;"",U231&lt;&gt;""),"Yes","No"))</f>
        <v/>
      </c>
    </row>
    <row r="232">
      <c r="H232">
        <f>IF(OR(F232="",G232=""),"",IF(F232=G232,1,0))</f>
        <v/>
      </c>
      <c r="I232">
        <f>IF(OR(F232="",G232=""),"",IF(ABS(F232-G232)&lt;=1,1,0))</f>
        <v/>
      </c>
      <c r="AC232">
        <f>IF(A232="","",IF(AND(AB232="Yes",T232&lt;&gt;"",U232&lt;&gt;""),"Yes","No"))</f>
        <v/>
      </c>
    </row>
    <row r="233">
      <c r="H233">
        <f>IF(OR(F233="",G233=""),"",IF(F233=G233,1,0))</f>
        <v/>
      </c>
      <c r="I233">
        <f>IF(OR(F233="",G233=""),"",IF(ABS(F233-G233)&lt;=1,1,0))</f>
        <v/>
      </c>
      <c r="AC233">
        <f>IF(A233="","",IF(AND(AB233="Yes",T233&lt;&gt;"",U233&lt;&gt;""),"Yes","No"))</f>
        <v/>
      </c>
    </row>
    <row r="234">
      <c r="H234">
        <f>IF(OR(F234="",G234=""),"",IF(F234=G234,1,0))</f>
        <v/>
      </c>
      <c r="I234">
        <f>IF(OR(F234="",G234=""),"",IF(ABS(F234-G234)&lt;=1,1,0))</f>
        <v/>
      </c>
      <c r="AC234">
        <f>IF(A234="","",IF(AND(AB234="Yes",T234&lt;&gt;"",U234&lt;&gt;""),"Yes","No"))</f>
        <v/>
      </c>
    </row>
    <row r="235">
      <c r="H235">
        <f>IF(OR(F235="",G235=""),"",IF(F235=G235,1,0))</f>
        <v/>
      </c>
      <c r="I235">
        <f>IF(OR(F235="",G235=""),"",IF(ABS(F235-G235)&lt;=1,1,0))</f>
        <v/>
      </c>
      <c r="AC235">
        <f>IF(A235="","",IF(AND(AB235="Yes",T235&lt;&gt;"",U235&lt;&gt;""),"Yes","No"))</f>
        <v/>
      </c>
    </row>
    <row r="236">
      <c r="H236">
        <f>IF(OR(F236="",G236=""),"",IF(F236=G236,1,0))</f>
        <v/>
      </c>
      <c r="I236">
        <f>IF(OR(F236="",G236=""),"",IF(ABS(F236-G236)&lt;=1,1,0))</f>
        <v/>
      </c>
      <c r="AC236">
        <f>IF(A236="","",IF(AND(AB236="Yes",T236&lt;&gt;"",U236&lt;&gt;""),"Yes","No"))</f>
        <v/>
      </c>
    </row>
    <row r="237">
      <c r="H237">
        <f>IF(OR(F237="",G237=""),"",IF(F237=G237,1,0))</f>
        <v/>
      </c>
      <c r="I237">
        <f>IF(OR(F237="",G237=""),"",IF(ABS(F237-G237)&lt;=1,1,0))</f>
        <v/>
      </c>
      <c r="AC237">
        <f>IF(A237="","",IF(AND(AB237="Yes",T237&lt;&gt;"",U237&lt;&gt;""),"Yes","No"))</f>
        <v/>
      </c>
    </row>
    <row r="238">
      <c r="H238">
        <f>IF(OR(F238="",G238=""),"",IF(F238=G238,1,0))</f>
        <v/>
      </c>
      <c r="I238">
        <f>IF(OR(F238="",G238=""),"",IF(ABS(F238-G238)&lt;=1,1,0))</f>
        <v/>
      </c>
      <c r="AC238">
        <f>IF(A238="","",IF(AND(AB238="Yes",T238&lt;&gt;"",U238&lt;&gt;""),"Yes","No"))</f>
        <v/>
      </c>
    </row>
    <row r="239">
      <c r="H239">
        <f>IF(OR(F239="",G239=""),"",IF(F239=G239,1,0))</f>
        <v/>
      </c>
      <c r="I239">
        <f>IF(OR(F239="",G239=""),"",IF(ABS(F239-G239)&lt;=1,1,0))</f>
        <v/>
      </c>
      <c r="AC239">
        <f>IF(A239="","",IF(AND(AB239="Yes",T239&lt;&gt;"",U239&lt;&gt;""),"Yes","No"))</f>
        <v/>
      </c>
    </row>
    <row r="240">
      <c r="H240">
        <f>IF(OR(F240="",G240=""),"",IF(F240=G240,1,0))</f>
        <v/>
      </c>
      <c r="I240">
        <f>IF(OR(F240="",G240=""),"",IF(ABS(F240-G240)&lt;=1,1,0))</f>
        <v/>
      </c>
      <c r="AC240">
        <f>IF(A240="","",IF(AND(AB240="Yes",T240&lt;&gt;"",U240&lt;&gt;""),"Yes","No"))</f>
        <v/>
      </c>
    </row>
    <row r="241">
      <c r="H241">
        <f>IF(OR(F241="",G241=""),"",IF(F241=G241,1,0))</f>
        <v/>
      </c>
      <c r="I241">
        <f>IF(OR(F241="",G241=""),"",IF(ABS(F241-G241)&lt;=1,1,0))</f>
        <v/>
      </c>
      <c r="AC241">
        <f>IF(A241="","",IF(AND(AB241="Yes",T241&lt;&gt;"",U241&lt;&gt;""),"Yes","No"))</f>
        <v/>
      </c>
    </row>
    <row r="242">
      <c r="H242">
        <f>IF(OR(F242="",G242=""),"",IF(F242=G242,1,0))</f>
        <v/>
      </c>
      <c r="I242">
        <f>IF(OR(F242="",G242=""),"",IF(ABS(F242-G242)&lt;=1,1,0))</f>
        <v/>
      </c>
      <c r="AC242">
        <f>IF(A242="","",IF(AND(AB242="Yes",T242&lt;&gt;"",U242&lt;&gt;""),"Yes","No"))</f>
        <v/>
      </c>
    </row>
    <row r="243">
      <c r="H243">
        <f>IF(OR(F243="",G243=""),"",IF(F243=G243,1,0))</f>
        <v/>
      </c>
      <c r="I243">
        <f>IF(OR(F243="",G243=""),"",IF(ABS(F243-G243)&lt;=1,1,0))</f>
        <v/>
      </c>
      <c r="AC243">
        <f>IF(A243="","",IF(AND(AB243="Yes",T243&lt;&gt;"",U243&lt;&gt;""),"Yes","No"))</f>
        <v/>
      </c>
    </row>
    <row r="244">
      <c r="H244">
        <f>IF(OR(F244="",G244=""),"",IF(F244=G244,1,0))</f>
        <v/>
      </c>
      <c r="I244">
        <f>IF(OR(F244="",G244=""),"",IF(ABS(F244-G244)&lt;=1,1,0))</f>
        <v/>
      </c>
      <c r="AC244">
        <f>IF(A244="","",IF(AND(AB244="Yes",T244&lt;&gt;"",U244&lt;&gt;""),"Yes","No"))</f>
        <v/>
      </c>
    </row>
    <row r="245">
      <c r="H245">
        <f>IF(OR(F245="",G245=""),"",IF(F245=G245,1,0))</f>
        <v/>
      </c>
      <c r="I245">
        <f>IF(OR(F245="",G245=""),"",IF(ABS(F245-G245)&lt;=1,1,0))</f>
        <v/>
      </c>
      <c r="AC245">
        <f>IF(A245="","",IF(AND(AB245="Yes",T245&lt;&gt;"",U245&lt;&gt;""),"Yes","No"))</f>
        <v/>
      </c>
    </row>
    <row r="246">
      <c r="H246">
        <f>IF(OR(F246="",G246=""),"",IF(F246=G246,1,0))</f>
        <v/>
      </c>
      <c r="I246">
        <f>IF(OR(F246="",G246=""),"",IF(ABS(F246-G246)&lt;=1,1,0))</f>
        <v/>
      </c>
      <c r="AC246">
        <f>IF(A246="","",IF(AND(AB246="Yes",T246&lt;&gt;"",U246&lt;&gt;""),"Yes","No"))</f>
        <v/>
      </c>
    </row>
    <row r="247">
      <c r="H247">
        <f>IF(OR(F247="",G247=""),"",IF(F247=G247,1,0))</f>
        <v/>
      </c>
      <c r="I247">
        <f>IF(OR(F247="",G247=""),"",IF(ABS(F247-G247)&lt;=1,1,0))</f>
        <v/>
      </c>
      <c r="AC247">
        <f>IF(A247="","",IF(AND(AB247="Yes",T247&lt;&gt;"",U247&lt;&gt;""),"Yes","No"))</f>
        <v/>
      </c>
    </row>
    <row r="248">
      <c r="H248">
        <f>IF(OR(F248="",G248=""),"",IF(F248=G248,1,0))</f>
        <v/>
      </c>
      <c r="I248">
        <f>IF(OR(F248="",G248=""),"",IF(ABS(F248-G248)&lt;=1,1,0))</f>
        <v/>
      </c>
      <c r="AC248">
        <f>IF(A248="","",IF(AND(AB248="Yes",T248&lt;&gt;"",U248&lt;&gt;""),"Yes","No"))</f>
        <v/>
      </c>
    </row>
    <row r="249">
      <c r="H249">
        <f>IF(OR(F249="",G249=""),"",IF(F249=G249,1,0))</f>
        <v/>
      </c>
      <c r="I249">
        <f>IF(OR(F249="",G249=""),"",IF(ABS(F249-G249)&lt;=1,1,0))</f>
        <v/>
      </c>
      <c r="AC249">
        <f>IF(A249="","",IF(AND(AB249="Yes",T249&lt;&gt;"",U249&lt;&gt;""),"Yes","No"))</f>
        <v/>
      </c>
    </row>
    <row r="250">
      <c r="H250">
        <f>IF(OR(F250="",G250=""),"",IF(F250=G250,1,0))</f>
        <v/>
      </c>
      <c r="I250">
        <f>IF(OR(F250="",G250=""),"",IF(ABS(F250-G250)&lt;=1,1,0))</f>
        <v/>
      </c>
      <c r="AC250">
        <f>IF(A250="","",IF(AND(AB250="Yes",T250&lt;&gt;"",U250&lt;&gt;""),"Yes","No"))</f>
        <v/>
      </c>
    </row>
  </sheetData>
  <mergeCells count="1">
    <mergeCell ref="A1:AC1"/>
  </mergeCells>
  <conditionalFormatting sqref="AC4:AC60">
    <cfRule type="expression" priority="1" dxfId="0">
      <formula>AC4="No"</formula>
    </cfRule>
    <cfRule type="expression" priority="2" dxfId="1">
      <formula>AC4="Yes"</formula>
    </cfRule>
  </conditionalFormatting>
  <dataValidations count="24">
    <dataValidation sqref="J4:J60" showDropDown="0" showInputMessage="0" showErrorMessage="1" allowBlank="0" errorTitle="Invalid confidence value" error="Select an exact controlled value from the Vocabulary sheet." type="list" errorStyle="stop">
      <formula1>INDIRECT("Vocabulary!$AI$5:$AI$8")</formula1>
    </dataValidation>
    <dataValidation sqref="K4:K60" showDropDown="0" showInputMessage="0" showErrorMessage="1" allowBlank="0" errorTitle="Invalid confidence value" error="Select an exact controlled value from the Vocabulary sheet." type="list" errorStyle="stop">
      <formula1>INDIRECT("Vocabulary!$AI$5:$AI$8")</formula1>
    </dataValidation>
    <dataValidation sqref="L4:L60" showDropDown="0" showInputMessage="0" showErrorMessage="1" allowBlank="0" errorTitle="Invalid discussion-change value" error="Select an exact controlled value from the Vocabulary sheet." type="list" errorStyle="stop">
      <formula1>INDIRECT("Vocabulary!$J$5:$J$6")</formula1>
    </dataValidation>
    <dataValidation sqref="M4:M60" showDropDown="0" showInputMessage="0" showErrorMessage="1" allowBlank="0" errorTitle="Invalid discussion-change value" error="Select an exact controlled value from the Vocabulary sheet." type="list" errorStyle="stop">
      <formula1>INDIRECT("Vocabulary!$J$5:$J$6")</formula1>
    </dataValidation>
    <dataValidation sqref="S4:S60" showDropDown="0" showInputMessage="0" showErrorMessage="1" allowBlank="0" errorTitle="Invalid decision layer" error="Select an exact controlled value from the Vocabulary sheet." type="list" errorStyle="stop">
      <formula1>INDIRECT("Vocabulary!$AH$5:$AH$9")</formula1>
    </dataValidation>
    <dataValidation sqref="AB4:AB60" showDropDown="0" showInputMessage="0" showErrorMessage="1" allowBlank="0" errorTitle="Invalid independence-for-reliability value" error="Select an exact controlled value from the Vocabulary sheet." type="list" errorStyle="stop">
      <formula1>INDIRECT("Vocabulary!$AP$5:$AP$7")</formula1>
    </dataValidation>
    <dataValidation sqref="F4:F6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G4:G6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N4:N6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X4:X6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Y4:Y6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Z4:AA60" showDropDown="0" showInputMessage="0" showErrorMessage="1" allowBlank="0" errorTitle="Invalid AI-assistance disclosure" error="Select an exact controlled value from the Vocabulary sheet." type="list" errorStyle="stop">
      <formula1>INDIRECT("Vocabulary!$AQ$5:$AQ$9")</formula1>
    </dataValidation>
    <dataValidation sqref="F4:F25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G4:G25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N4:N25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X4:X25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Y4:Y250" showDropDown="0" showInputMessage="0" showErrorMessage="1" allowBlank="0" errorTitle="Rating out of range" error="Enter a preregistered category code from 0 to 4." type="whole" errorStyle="stop" operator="between">
      <formula1>0</formula1>
      <formula2>4</formula2>
    </dataValidation>
    <dataValidation sqref="J4:J250" showDropDown="0" showInputMessage="0" showErrorMessage="1" allowBlank="0" errorTitle="Invalid confidence value" error="Select an exact controlled value from the Vocabulary sheet." type="list" errorStyle="stop">
      <formula1>INDIRECT("Vocabulary!$AI$5:$AI$8")</formula1>
    </dataValidation>
    <dataValidation sqref="K4:K250" showDropDown="0" showInputMessage="0" showErrorMessage="1" allowBlank="0" errorTitle="Invalid confidence value" error="Select an exact controlled value from the Vocabulary sheet." type="list" errorStyle="stop">
      <formula1>INDIRECT("Vocabulary!$AI$5:$AI$8")</formula1>
    </dataValidation>
    <dataValidation sqref="L4:L250" showDropDown="0" showInputMessage="0" showErrorMessage="1" allowBlank="0" errorTitle="Invalid discussion-change value" error="Select an exact controlled value from the Vocabulary sheet." type="list" errorStyle="stop">
      <formula1>INDIRECT("Vocabulary!$J$5:$J$6")</formula1>
    </dataValidation>
    <dataValidation sqref="M4:M250" showDropDown="0" showInputMessage="0" showErrorMessage="1" allowBlank="0" errorTitle="Invalid discussion-change value" error="Select an exact controlled value from the Vocabulary sheet." type="list" errorStyle="stop">
      <formula1>INDIRECT("Vocabulary!$J$5:$J$6")</formula1>
    </dataValidation>
    <dataValidation sqref="S4:S250" showDropDown="0" showInputMessage="0" showErrorMessage="1" allowBlank="0" errorTitle="Invalid decision layer" error="Select an exact controlled value from the Vocabulary sheet." type="list" errorStyle="stop">
      <formula1>INDIRECT("Vocabulary!$AH$5:$AH$9")</formula1>
    </dataValidation>
    <dataValidation sqref="Z4:AA250" showDropDown="0" showInputMessage="0" showErrorMessage="1" allowBlank="0" errorTitle="Invalid AI-assistance disclosure" error="Select an exact controlled value from the Vocabulary sheet." type="list" errorStyle="stop">
      <formula1>INDIRECT("Vocabulary!$AQ$5:$AQ$9")</formula1>
    </dataValidation>
    <dataValidation sqref="AB4:AB250" showDropDown="0" showInputMessage="0" showErrorMessage="1" allowBlank="0" errorTitle="Invalid independence-for-reliability value" error="Select an exact controlled value from the Vocabulary sheet." type="list" errorStyle="stop">
      <formula1>INDIRECT("Vocabulary!$AP$5:$AP$7")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42" customWidth="1" style="215" min="1" max="1"/>
    <col width="18" customWidth="1" style="215" min="2" max="2"/>
    <col width="48" customWidth="1" style="215" min="3" max="3"/>
    <col width="52" customWidth="1" style="215" min="4" max="4"/>
    <col width="28" customWidth="1" style="215" min="6" max="6"/>
    <col width="12" customWidth="1" style="215" min="7" max="7"/>
  </cols>
  <sheetData>
    <row r="1" ht="28" customHeight="1" s="215">
      <c r="A1" s="536" t="inlineStr">
        <is>
          <t>AF v6.2 Pilot Dashboard - Descriptive Aggregation Only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</row>
    <row r="2"/>
    <row r="3" ht="34" customHeight="1" s="215">
      <c r="A3" s="425" t="inlineStr">
        <is>
          <t>KPI</t>
        </is>
      </c>
      <c r="B3" s="443" t="inlineStr">
        <is>
          <t>Formula / value</t>
        </is>
      </c>
      <c r="C3" s="443" t="inlineStr">
        <is>
          <t>Interpretation</t>
        </is>
      </c>
      <c r="D3" s="426" t="inlineStr">
        <is>
          <t>Boundary</t>
        </is>
      </c>
      <c r="F3" s="425" t="inlineStr">
        <is>
          <t>Exception class</t>
        </is>
      </c>
      <c r="G3" s="426" t="inlineStr">
        <is>
          <t>Count</t>
        </is>
      </c>
    </row>
    <row r="4">
      <c r="A4" s="455" t="inlineStr">
        <is>
          <t>Candidate records</t>
        </is>
      </c>
      <c r="B4" s="538">
        <f>COUNTIF(Candidate_Register!A4:A250,"&lt;&gt;")</f>
        <v/>
      </c>
      <c r="C4" s="303" t="inlineStr">
        <is>
          <t>Count of registered candidate records</t>
        </is>
      </c>
      <c r="D4" s="435" t="inlineStr">
        <is>
          <t>Not a validation sample-size claim</t>
        </is>
      </c>
      <c r="F4" s="427" t="inlineStr">
        <is>
          <t>Stage A integrity</t>
        </is>
      </c>
      <c r="G4" s="428">
        <f>B7</f>
        <v/>
      </c>
    </row>
    <row r="5">
      <c r="A5" s="455" t="inlineStr">
        <is>
          <t>Incomplete or unrecognized profile routings</t>
        </is>
      </c>
      <c r="B5" s="538">
        <f>COUNTIF(Profile_Routing!M4:M250,"Undetermined - incomplete routing")+COUNTIF(Profile_Routing!M4:M250,"Undetermined - unrecognized routing value")</f>
        <v/>
      </c>
      <c r="C5" s="303" t="inlineStr">
        <is>
          <t>Routing records requiring repair</t>
        </is>
      </c>
      <c r="D5" s="435" t="inlineStr">
        <is>
          <t>Cannot default downward to AF-Lite</t>
        </is>
      </c>
      <c r="F5" s="427" t="inlineStr">
        <is>
          <t>Invalid public strings</t>
        </is>
      </c>
      <c r="G5" s="428">
        <f>B14</f>
        <v/>
      </c>
    </row>
    <row r="6">
      <c r="A6" s="455" t="inlineStr">
        <is>
          <t>Stage A review records</t>
        </is>
      </c>
      <c r="B6" s="538">
        <f>COUNTIF(Stage_A!A4:A250,"&lt;&gt;")</f>
        <v/>
      </c>
      <c r="C6" s="303" t="inlineStr">
        <is>
          <t>Count of review identifiers</t>
        </is>
      </c>
      <c r="D6" s="435" t="inlineStr">
        <is>
          <t>Does not establish reliability or validity</t>
        </is>
      </c>
      <c r="F6" s="427" t="inlineStr">
        <is>
          <t>Independence integrity</t>
        </is>
      </c>
      <c r="G6" s="428">
        <f>B15</f>
        <v/>
      </c>
    </row>
    <row r="7">
      <c r="A7" s="455" t="inlineStr">
        <is>
          <t>Stage A status-integrity exceptions</t>
        </is>
      </c>
      <c r="B7" s="538">
        <f>COUNTIF(Stage_A!S4:S250,"MISMATCH")+COUNTIF(Stage_A!S4:S250,"UNRECORDED")+COUNTIF(Stage_A!S4:S250,"ORPHAN_RECORDED")</f>
        <v/>
      </c>
      <c r="C7" s="303" t="inlineStr">
        <is>
          <t>Derived/recorded reconciliation failures</t>
        </is>
      </c>
      <c r="D7" s="435" t="inlineStr">
        <is>
          <t>Resolve before reporting</t>
        </is>
      </c>
      <c r="F7" s="427" t="inlineStr">
        <is>
          <t>Unknown independence controls</t>
        </is>
      </c>
      <c r="G7" s="428">
        <f>B16</f>
        <v/>
      </c>
    </row>
    <row r="8">
      <c r="A8" s="455" t="inlineStr">
        <is>
          <t>Derived Stage-A admissible</t>
        </is>
      </c>
      <c r="B8" s="538">
        <f>COUNTIF(Stage_A!Q4:Q250,"Stage-A admissible - scoped")+COUNTIF(Stage_A!Q4:Q250,"Stage-A admissible - scoped, control-dependent")</f>
        <v/>
      </c>
      <c r="C8" s="303" t="inlineStr">
        <is>
          <t>Both bounded admissibility outcomes</t>
        </is>
      </c>
      <c r="D8" s="435" t="inlineStr">
        <is>
          <t>Not certification or authorization</t>
        </is>
      </c>
      <c r="F8" s="427" t="inlineStr">
        <is>
          <t>Burden infeasible</t>
        </is>
      </c>
      <c r="G8" s="428">
        <f>B18</f>
        <v/>
      </c>
    </row>
    <row r="9">
      <c r="A9" s="455" t="inlineStr">
        <is>
          <t>Control-dependent admissible</t>
        </is>
      </c>
      <c r="B9" s="538">
        <f>COUNTIF(Stage_A!Q4:Q250,"Stage-A admissible - scoped, control-dependent")</f>
        <v/>
      </c>
      <c r="C9" s="303" t="inlineStr">
        <is>
          <t>Admissible only while named controls hold</t>
        </is>
      </c>
      <c r="D9" s="435" t="inlineStr">
        <is>
          <t>Must preserve conditions, expiry and requalification</t>
        </is>
      </c>
      <c r="F9" s="427" t="inlineStr">
        <is>
          <t>Invalid reliability records</t>
        </is>
      </c>
      <c r="G9" s="428">
        <f>B26</f>
        <v/>
      </c>
    </row>
    <row r="10">
      <c r="A10" s="455" t="inlineStr">
        <is>
          <t>Non-admissible - patchable</t>
        </is>
      </c>
      <c r="B10" s="538">
        <f>COUNTIF(Stage_A!Q4:Q250,"Stage-A non-admissible - patchable")</f>
        <v/>
      </c>
      <c r="C10" s="303" t="inlineStr">
        <is>
          <t>Material patchable defects</t>
        </is>
      </c>
      <c r="D10" s="435" t="inlineStr">
        <is>
          <t>Not global invalidity</t>
        </is>
      </c>
      <c r="F10" s="429" t="inlineStr">
        <is>
          <t>Capacity overflow</t>
        </is>
      </c>
      <c r="G10" s="430">
        <f>B35</f>
        <v/>
      </c>
    </row>
    <row r="11">
      <c r="A11" s="455" t="inlineStr">
        <is>
          <t>Non-admissible - unpatchable</t>
        </is>
      </c>
      <c r="B11" s="538">
        <f>COUNTIF(Stage_A!Q4:Q250,"Stage-A non-admissible - unpatchable for stated claim")</f>
        <v/>
      </c>
      <c r="C11" s="303" t="inlineStr">
        <is>
          <t>Claim/scope cannot survive established defect</t>
        </is>
      </c>
      <c r="D11" s="435" t="inlineStr">
        <is>
          <t>Requires a new review object</t>
        </is>
      </c>
    </row>
    <row r="12">
      <c r="A12" s="455" t="inlineStr">
        <is>
          <t>Indeterminate or protocol refusal</t>
        </is>
      </c>
      <c r="B12" s="538">
        <f>COUNTIF(Stage_A!Q4:Q250,"Indeterminate - insufficient evidence")+COUNTIF(Stage_A!Q4:Q250,"Protocol refusal to evaluate")</f>
        <v/>
      </c>
      <c r="C12" s="303" t="inlineStr">
        <is>
          <t>Evidence or administration limitation</t>
        </is>
      </c>
      <c r="D12" s="435" t="inlineStr">
        <is>
          <t>Must not be converted to pass or failure</t>
        </is>
      </c>
    </row>
    <row r="13">
      <c r="A13" s="455" t="inlineStr">
        <is>
          <t>Administrative Stage A dispositions</t>
        </is>
      </c>
      <c r="B13" s="538">
        <f>COUNTIF(Stage_A!Q4:Q250,"Out of scope")+COUNTIF(Stage_A!Q4:Q250,"Withdrawn")+COUNTIF(Stage_A!Q4:Q250,"Not reviewed")</f>
        <v/>
      </c>
      <c r="C13" s="303" t="inlineStr">
        <is>
          <t>Non-substantive dispositions</t>
        </is>
      </c>
      <c r="D13" s="435" t="inlineStr">
        <is>
          <t>No conformity inference</t>
        </is>
      </c>
    </row>
    <row r="14">
      <c r="A14" s="455" t="inlineStr">
        <is>
          <t>Invalid public status strings</t>
        </is>
      </c>
      <c r="B14" s="539">
        <f>COUNTIF(Stage_A!AG4:AG250,"INVALID_OR_INCOMPLETE")</f>
        <v/>
      </c>
      <c r="C14" s="303" t="inlineStr">
        <is>
          <t>Token/version/CL-basis boundary failed</t>
        </is>
      </c>
      <c r="D14" s="435" t="inlineStr">
        <is>
          <t>Public export prohibited</t>
        </is>
      </c>
    </row>
    <row r="15" ht="34" customHeight="1" s="215">
      <c r="A15" s="445" t="inlineStr">
        <is>
          <t>Independence reconciliation exceptions</t>
        </is>
      </c>
      <c r="B15" s="540">
        <f>COUNTIF(Independence!P4:P250,"MISMATCH")+COUNTIF(Independence!P4:P250,"UNRECORDED")+COUNTIF(Independence!P4:P250,"ORPHAN_RECORDED")</f>
        <v/>
      </c>
      <c r="C15" s="303" t="inlineStr">
        <is>
          <t>Derived/recorded independence drift</t>
        </is>
      </c>
      <c r="D15" s="435" t="inlineStr">
        <is>
          <t>Resolve before any independence claim</t>
        </is>
      </c>
    </row>
    <row r="16">
      <c r="A16" s="456" t="inlineStr">
        <is>
          <t>Unrecognized independence controls</t>
        </is>
      </c>
      <c r="B16" s="538">
        <f>COUNTIF(Independence!X4:X250,"UNRECOGNISED_CONTROL_VALUE")</f>
        <v/>
      </c>
      <c r="C16" s="303" t="inlineStr">
        <is>
          <t>Vocabulary violation in control fields</t>
        </is>
      </c>
      <c r="D16" s="435" t="inlineStr">
        <is>
          <t>Routes to Indeterminate</t>
        </is>
      </c>
    </row>
    <row r="17">
      <c r="A17" s="456" t="inlineStr">
        <is>
          <t>Independence inadequate or indeterminate</t>
        </is>
      </c>
      <c r="B17" s="538">
        <f>COUNTIF(Independence!O4:O250,"Inadequate")+COUNTIF(Independence!O4:O250,"Indeterminate")</f>
        <v/>
      </c>
      <c r="C17" s="303" t="inlineStr">
        <is>
          <t>Capture, protection or evidence limitation</t>
        </is>
      </c>
      <c r="D17" s="435" t="inlineStr">
        <is>
          <t>Cannot support an independence claim</t>
        </is>
      </c>
    </row>
    <row r="18">
      <c r="A18" s="456" t="inlineStr">
        <is>
          <t>Burden not feasible</t>
        </is>
      </c>
      <c r="B18" s="538">
        <f>COUNTIF(Burden_Log!P4:P250,"Not feasible")</f>
        <v/>
      </c>
      <c r="C18" s="303" t="inlineStr">
        <is>
          <t>Conjunctive capacity/access/translation/custody/governance gate failed</t>
        </is>
      </c>
      <c r="D18" s="435" t="inlineStr">
        <is>
          <t>No false-green override</t>
        </is>
      </c>
    </row>
    <row r="19">
      <c r="A19" s="455" t="inlineStr">
        <is>
          <t>Mean burden - completed feasible</t>
        </is>
      </c>
      <c r="B19" s="541">
        <f>IFERROR(SUMIF(Burden_Log!X4:X250,"Completed feasible",Burden_Log!V4:V250)/COUNTIF(Burden_Log!X4:X250,"Completed feasible"),"")</f>
        <v/>
      </c>
      <c r="C19" s="303" t="inlineStr">
        <is>
          <t>Average 0-10 among completed-feasible cases</t>
        </is>
      </c>
      <c r="D19" s="435" t="inlineStr">
        <is>
          <t>Do not blend with stopped or infeasible cases</t>
        </is>
      </c>
    </row>
    <row r="20">
      <c r="A20" s="455" t="inlineStr">
        <is>
          <t>Mean burden - infeasible or aborted</t>
        </is>
      </c>
      <c r="B20" s="541">
        <f>IFERROR(SUMIF(Burden_Log!X4:X250,"Infeasible or aborted",Burden_Log!V4:V250)/COUNTIF(Burden_Log!X4:X250,"Infeasible or aborted"),"")</f>
        <v/>
      </c>
      <c r="C20" s="303" t="inlineStr">
        <is>
          <t>Average 0-10 among infeasible/aborted attempts</t>
        </is>
      </c>
      <c r="D20" s="435" t="inlineStr">
        <is>
          <t>May reveal protocol burden harm</t>
        </is>
      </c>
    </row>
    <row r="21">
      <c r="A21" s="455" t="inlineStr">
        <is>
          <t>Stage A criterion exact agreement - raw</t>
        </is>
      </c>
      <c r="B21" s="541">
        <f>IFERROR(SUMIFS(Reliability!H4:H250,Reliability!S4:S250,"Stage A criterion",Reliability!AC4:AC250,"Yes")/COUNTIFS(Reliability!S4:S250,"Stage A criterion",Reliability!AC4:AC250,"Yes"),"")</f>
        <v/>
      </c>
      <c r="C21" s="303" t="inlineStr">
        <is>
          <t>Descriptive raw agreement only</t>
        </is>
      </c>
      <c r="D21" s="435" t="inlineStr">
        <is>
          <t>Never blend with final or Stage B layers</t>
        </is>
      </c>
    </row>
    <row r="22" ht="30" customHeight="1" s="215">
      <c r="A22" s="457" t="inlineStr">
        <is>
          <t>Stage A final exact agreement - raw</t>
        </is>
      </c>
      <c r="B22" s="542">
        <f>IFERROR(SUMIFS(Reliability!H4:H250,Reliability!S4:S250,"Stage A final",Reliability!AC4:AC250,"Yes")/COUNTIFS(Reliability!S4:S250,"Stage A final",Reliability!AC4:AC250,"Yes"),"")</f>
        <v/>
      </c>
      <c r="C22" s="303" t="inlineStr">
        <is>
          <t>Descriptive raw agreement only</t>
        </is>
      </c>
      <c r="D22" s="435" t="inlineStr">
        <is>
          <t>Not a reliability coefficient</t>
        </is>
      </c>
    </row>
    <row r="23">
      <c r="A23" s="452" t="inlineStr">
        <is>
          <t>Stage B dimension exact agreement - raw</t>
        </is>
      </c>
      <c r="B23" s="543">
        <f>IFERROR(SUMIFS(Reliability!H4:H250,Reliability!S4:S250,"Stage B dimension",Reliability!AC4:AC250,"Yes")/COUNTIFS(Reliability!S4:S250,"Stage B dimension",Reliability!AC4:AC250,"Yes"),"")</f>
        <v/>
      </c>
      <c r="C23" s="303" t="inlineStr">
        <is>
          <t>Report by dimension in analysis</t>
        </is>
      </c>
      <c r="D23" s="435" t="inlineStr">
        <is>
          <t>No mixed-layer average</t>
        </is>
      </c>
    </row>
    <row r="24">
      <c r="A24" s="457" t="inlineStr">
        <is>
          <t>Stage B final exact agreement - raw</t>
        </is>
      </c>
      <c r="B24" s="542">
        <f>IFERROR(SUMIFS(Reliability!H4:H250,Reliability!S4:S250,"Stage B final",Reliability!AC4:AC250,"Yes")/COUNTIFS(Reliability!S4:S250,"Stage B final",Reliability!AC4:AC250,"Yes"),"")</f>
        <v/>
      </c>
      <c r="C24" s="303" t="inlineStr">
        <is>
          <t>Final relation only</t>
        </is>
      </c>
      <c r="D24" s="435" t="inlineStr">
        <is>
          <t>No mixing with ordinal dimensions</t>
        </is>
      </c>
    </row>
    <row r="25">
      <c r="A25" s="457" t="inlineStr">
        <is>
          <t>Imported external reliability results</t>
        </is>
      </c>
      <c r="B25" s="544">
        <f>COUNTIF(Reliability_Results!A5:A250,"&lt;&gt;")-COUNTIF(Reliability_Results!A5:A250,"RESULT-TEMPLATE")</f>
        <v/>
      </c>
      <c r="C25" s="303" t="inlineStr">
        <is>
          <t>Versioned coefficient/interval records</t>
        </is>
      </c>
      <c r="D25" s="435" t="inlineStr">
        <is>
          <t>Count is not evidence of adequacy</t>
        </is>
      </c>
    </row>
    <row r="26">
      <c r="A26" s="457" t="inlineStr">
        <is>
          <t>Invalid external reliability records</t>
        </is>
      </c>
      <c r="B26" s="544">
        <f>COUNTIF(Reliability_Results!R5:R250,"INVALID_OR_INCOMPLETE")</f>
        <v/>
      </c>
      <c r="C26" s="303" t="inlineStr">
        <is>
          <t>Invalid interval or incomplete provenance</t>
        </is>
      </c>
      <c r="D26" s="435" t="inlineStr">
        <is>
          <t>Adverse coefficients remain recordable</t>
        </is>
      </c>
    </row>
    <row r="27">
      <c r="A27" s="457" t="inlineStr">
        <is>
          <t>Positive decision-value assessments</t>
        </is>
      </c>
      <c r="B27" s="544">
        <f>COUNTIF(Decision_Value!Q4:Q250,"Positive")</f>
        <v/>
      </c>
      <c r="C27" s="303" t="inlineStr">
        <is>
          <t>Positive net assessment count</t>
        </is>
      </c>
      <c r="D27" s="435" t="inlineStr">
        <is>
          <t>Must be accompanied by null and adverse counts</t>
        </is>
      </c>
    </row>
    <row r="28">
      <c r="A28" s="457" t="inlineStr">
        <is>
          <t>Neutral or negative decision-value assessments</t>
        </is>
      </c>
      <c r="B28" s="544">
        <f>COUNTIF(Decision_Value!Q4:Q250,"Neutral")+COUNTIF(Decision_Value!Q4:Q250,"Negative")</f>
        <v/>
      </c>
      <c r="C28" s="303" t="inlineStr">
        <is>
          <t>Null/adverse assessments</t>
        </is>
      </c>
      <c r="D28" s="435" t="inlineStr">
        <is>
          <t>First-class results</t>
        </is>
      </c>
    </row>
    <row r="29">
      <c r="A29" s="457" t="inlineStr">
        <is>
          <t>Rejected or non-immutable deposits</t>
        </is>
      </c>
      <c r="B29" s="544">
        <f>COUNTIF(Rating_Deposits!M5:M250,"No")+COUNTIF(Rating_Deposits!P5:P250,"Rejected")</f>
        <v/>
      </c>
      <c r="C29" s="303" t="inlineStr">
        <is>
          <t>Deposit-integrity exceptions</t>
        </is>
      </c>
      <c r="D29" s="435" t="inlineStr">
        <is>
          <t>Excluded from independence-based reliability</t>
        </is>
      </c>
    </row>
    <row r="30">
      <c r="A30" s="501" t="inlineStr">
        <is>
          <t>Perturbations proposed</t>
        </is>
      </c>
      <c r="B30" s="545">
        <f>COUNTIF(Perturbation_Register!A5:A250,"&lt;&gt;")</f>
        <v/>
      </c>
      <c r="C30" s="503" t="inlineStr">
        <is>
          <t>All populated proposals</t>
        </is>
      </c>
      <c r="D30" s="495" t="inlineStr">
        <is>
          <t>Proposals do not enter replay automatically</t>
        </is>
      </c>
    </row>
    <row r="31">
      <c r="A31" s="453" t="inlineStr">
        <is>
          <t>Perturbations admitted</t>
        </is>
      </c>
      <c r="B31" s="544">
        <f>COUNTIF(Perturbation_Register!O5:O250,"Admitted")</f>
        <v/>
      </c>
      <c r="C31" s="303" t="inlineStr">
        <is>
          <t>Evidence-supported admitted alternatives</t>
        </is>
      </c>
      <c r="D31" s="435" t="inlineStr">
        <is>
          <t>Admission tests supportability, not correctness</t>
        </is>
      </c>
    </row>
    <row r="32">
      <c r="A32" s="457" t="inlineStr">
        <is>
          <t>Perturbations rejected</t>
        </is>
      </c>
      <c r="B32" s="544">
        <f>COUNTIF(Perturbation_Register!O5:O250,"Rejected")</f>
        <v/>
      </c>
      <c r="C32" s="303" t="inlineStr">
        <is>
          <t>Rejected with reasons and appeal status</t>
        </is>
      </c>
      <c r="D32" s="435" t="inlineStr">
        <is>
          <t>Cannot suppress supported dissent</t>
        </is>
      </c>
    </row>
    <row r="33">
      <c r="A33" s="457" t="inlineStr">
        <is>
          <t>Reversal-capable admissions</t>
        </is>
      </c>
      <c r="B33" s="544">
        <f>COUNTIFS(Perturbation_Register!O5:O250,"Admitted",Perturbation_Register!R5:R250,"Yes")</f>
        <v/>
      </c>
      <c r="C33" s="303" t="inlineStr">
        <is>
          <t>Admitted alternatives capable of changing relation</t>
        </is>
      </c>
      <c r="D33" s="435" t="inlineStr">
        <is>
          <t>Report with base and perturbed relation</t>
        </is>
      </c>
    </row>
    <row r="34">
      <c r="A34" s="457" t="inlineStr">
        <is>
          <t>Study-readiness mismatches</t>
        </is>
      </c>
      <c r="B34" s="544">
        <f>COUNTIF(Study_Readiness!G4:G250,"MISMATCH")</f>
        <v/>
      </c>
      <c r="C34" s="303" t="inlineStr">
        <is>
          <t>Derived and recorded readiness differ</t>
        </is>
      </c>
      <c r="D34" s="435" t="inlineStr">
        <is>
          <t>Resolve before readiness claim</t>
        </is>
      </c>
    </row>
    <row r="35">
      <c r="A35" s="458" t="inlineStr">
        <is>
          <t>Rows beyond configured capacity</t>
        </is>
      </c>
      <c r="B35" s="546">
        <f>COUNTIF(Profile_Routing!A251:A1000,"&lt;&gt;")+COUNTIF(Candidate_Register!A251:A1000,"&lt;&gt;")+COUNTIF(Stage_A!A251:A1000,"&lt;&gt;")+COUNTIF(Independence!A251:A1000,"&lt;&gt;")+COUNTIF(Burden_Log!A251:A1000,"&lt;&gt;")+COUNTIF(Decision_Value!A251:A1000,"&lt;&gt;")+COUNTIF(Reliability!A251:A1000,"&lt;&gt;")+COUNTIF(Perturbation_Register!A251:A1000,"&lt;&gt;")</f>
        <v/>
      </c>
      <c r="C35" s="468" t="inlineStr">
        <is>
          <t>Records entered outside configured tables</t>
        </is>
      </c>
      <c r="D35" s="469" t="inlineStr">
        <is>
          <t>Move into configured rows before analysis</t>
        </is>
      </c>
    </row>
    <row r="36"/>
    <row r="37">
      <c r="A37" s="547" t="inlineStr">
        <is>
          <t>Dashboard boundary: descriptive aggregates do not establish immutable deposits, inter-reviewer reliability, construct validity, constitutional legitimacy, legal conformity, community legitimacy, due diligence, foreseeability, certification, procurement defensibility or deployment authorization.</t>
        </is>
      </c>
      <c r="B37" s="442" t="n"/>
      <c r="C37" s="442" t="n"/>
      <c r="D37" s="442" t="n"/>
      <c r="E37" s="442" t="n"/>
      <c r="F37" s="442" t="n"/>
      <c r="G37" s="442" t="n"/>
      <c r="H37" s="442" t="n"/>
      <c r="I37" s="442" t="n"/>
      <c r="J37" s="442" t="n"/>
      <c r="K37" s="442" t="n"/>
      <c r="L37" s="442" t="n"/>
      <c r="M37" s="442" t="n"/>
      <c r="N37" s="442" t="n"/>
    </row>
    <row r="38">
      <c r="A38" s="442" t="n"/>
      <c r="N38" s="442" t="n"/>
    </row>
    <row r="39">
      <c r="A39" s="442" t="n"/>
      <c r="B39" s="442" t="n"/>
      <c r="C39" s="442" t="n"/>
      <c r="D39" s="442" t="n"/>
      <c r="E39" s="442" t="n"/>
      <c r="F39" s="442" t="n"/>
      <c r="G39" s="442" t="n"/>
      <c r="H39" s="442" t="n"/>
      <c r="I39" s="442" t="n"/>
      <c r="J39" s="442" t="n"/>
      <c r="K39" s="442" t="n"/>
      <c r="L39" s="442" t="n"/>
      <c r="M39" s="442" t="n"/>
      <c r="N39" s="442" t="n"/>
    </row>
  </sheetData>
  <mergeCells count="2">
    <mergeCell ref="A1:N1"/>
    <mergeCell ref="A37:N39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0" customWidth="1" style="215" min="1" max="1"/>
    <col width="14" customWidth="1" style="215" min="2" max="2"/>
    <col width="18" customWidth="1" style="215" min="3" max="3"/>
    <col width="20" customWidth="1" style="215" min="4" max="4"/>
    <col width="34" customWidth="1" style="215" min="5" max="5"/>
    <col width="18" customWidth="1" style="215" min="6" max="6"/>
    <col width="44" customWidth="1" style="215" min="7" max="7"/>
    <col width="24" customWidth="1" style="215" min="8" max="8"/>
    <col width="24" customWidth="1" style="215" min="9" max="9"/>
    <col width="34" customWidth="1" style="215" min="10" max="10"/>
    <col width="12" customWidth="1" style="215" min="11" max="11"/>
    <col width="34" customWidth="1" style="215" min="12" max="12"/>
    <col width="24" customWidth="1" style="215" min="13" max="13"/>
  </cols>
  <sheetData>
    <row r="1" ht="28" customHeight="1" s="215">
      <c r="A1" s="536" t="inlineStr">
        <is>
          <t>Frozen Scenario-Set Register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</row>
    <row r="2"/>
    <row r="3" ht="34" customHeight="1" s="215">
      <c r="A3" s="421" t="inlineStr">
        <is>
          <t>Scenario_Set_ID</t>
        </is>
      </c>
      <c r="B3" s="421" t="inlineStr">
        <is>
          <t>Set_Version</t>
        </is>
      </c>
      <c r="C3" s="421" t="inlineStr">
        <is>
          <t>Scenario_ID</t>
        </is>
      </c>
      <c r="D3" s="421" t="inlineStr">
        <is>
          <t>Domain</t>
        </is>
      </c>
      <c r="E3" s="421" t="inlineStr">
        <is>
          <t>Declared_Function</t>
        </is>
      </c>
      <c r="F3" s="421" t="inlineStr">
        <is>
          <t>Intended_Difficulty</t>
        </is>
      </c>
      <c r="G3" s="421" t="inlineStr">
        <is>
          <t>Architecture_Equivalence_Criteria</t>
        </is>
      </c>
      <c r="H3" s="421" t="inlineStr">
        <is>
          <t>Calibration_Status</t>
        </is>
      </c>
      <c r="I3" s="421" t="inlineStr">
        <is>
          <t>Calibration_Evidence_Refs</t>
        </is>
      </c>
      <c r="J3" s="421" t="inlineStr">
        <is>
          <t>Content_SHA256</t>
        </is>
      </c>
      <c r="K3" s="421" t="inlineStr">
        <is>
          <t>Retired</t>
        </is>
      </c>
      <c r="L3" s="421" t="inlineStr">
        <is>
          <t>Retirement_Reason</t>
        </is>
      </c>
      <c r="M3" s="421" t="inlineStr">
        <is>
          <t>Frozen_At_UTC</t>
        </is>
      </c>
    </row>
    <row r="4">
      <c r="A4" s="253" t="inlineStr">
        <is>
          <t>SCENSET-ILL-001</t>
        </is>
      </c>
      <c r="B4" s="254" t="inlineStr">
        <is>
          <t>1.0.0</t>
        </is>
      </c>
      <c r="C4" s="254" t="inlineStr">
        <is>
          <t>SCEN-ILL-001</t>
        </is>
      </c>
      <c r="D4" s="254" t="inlineStr">
        <is>
          <t>Public benefits</t>
        </is>
      </c>
      <c r="E4" s="254" t="inlineStr">
        <is>
          <t>Test missing-evidence refusal and appeal</t>
        </is>
      </c>
      <c r="F4" s="254" t="inlineStr">
        <is>
          <t>Moderate</t>
        </is>
      </c>
      <c r="G4" s="254" t="inlineStr">
        <is>
          <t>Same decision stakes, evidence maturity, time budget, and available remedy routes across architecture families</t>
        </is>
      </c>
      <c r="H4" s="254" t="inlineStr">
        <is>
          <t>Synthetic calibration only</t>
        </is>
      </c>
      <c r="I4" s="254" t="inlineStr">
        <is>
          <t>CAL-ILL-001</t>
        </is>
      </c>
      <c r="J4" s="254" t="inlineStr">
        <is>
          <t>illustrative-sha256-not-for-production</t>
        </is>
      </c>
      <c r="K4" s="254" t="inlineStr">
        <is>
          <t>No</t>
        </is>
      </c>
      <c r="L4" s="254" t="str"/>
      <c r="M4" s="255" t="n">
        <v>46245</v>
      </c>
    </row>
    <row r="5">
      <c r="A5" s="253" t="inlineStr">
        <is>
          <t>SCENSET-ILL-001</t>
        </is>
      </c>
      <c r="B5" s="254" t="inlineStr">
        <is>
          <t>1.0.0</t>
        </is>
      </c>
      <c r="C5" s="254" t="inlineStr">
        <is>
          <t>SCEN-ILL-002</t>
        </is>
      </c>
      <c r="D5" s="254" t="inlineStr">
        <is>
          <t>Procurement</t>
        </is>
      </c>
      <c r="E5" s="254" t="inlineStr">
        <is>
          <t>Test audit-theatre susceptibility</t>
        </is>
      </c>
      <c r="F5" s="254" t="inlineStr">
        <is>
          <t>High</t>
        </is>
      </c>
      <c r="G5" s="254" t="inlineStr">
        <is>
          <t>Equivalent documentary volume but different causal control quality</t>
        </is>
      </c>
      <c r="H5" s="254" t="inlineStr">
        <is>
          <t>Synthetic calibration only</t>
        </is>
      </c>
      <c r="I5" s="254" t="inlineStr">
        <is>
          <t>CAL-ILL-002</t>
        </is>
      </c>
      <c r="J5" s="254" t="inlineStr">
        <is>
          <t>illustrative-sha256-not-for-production</t>
        </is>
      </c>
      <c r="K5" s="254" t="inlineStr">
        <is>
          <t>No</t>
        </is>
      </c>
      <c r="L5" s="254" t="str"/>
      <c r="M5" s="255" t="n">
        <v>46245</v>
      </c>
    </row>
    <row r="6">
      <c r="A6" s="253" t="n"/>
      <c r="B6" s="254" t="n"/>
      <c r="C6" s="254" t="n"/>
      <c r="D6" s="254" t="n"/>
      <c r="E6" s="254" t="n"/>
      <c r="F6" s="254" t="n"/>
      <c r="G6" s="254" t="n"/>
      <c r="H6" s="254" t="n"/>
      <c r="I6" s="254" t="n"/>
      <c r="J6" s="254" t="n"/>
      <c r="K6" s="254" t="n"/>
      <c r="L6" s="254" t="n"/>
      <c r="M6" s="255" t="n"/>
    </row>
    <row r="7">
      <c r="A7" s="253" t="n"/>
      <c r="B7" s="254" t="n"/>
      <c r="C7" s="254" t="n"/>
      <c r="D7" s="254" t="n"/>
      <c r="E7" s="254" t="n"/>
      <c r="F7" s="254" t="n"/>
      <c r="G7" s="254" t="n"/>
      <c r="H7" s="254" t="n"/>
      <c r="I7" s="254" t="n"/>
      <c r="J7" s="254" t="n"/>
      <c r="K7" s="254" t="n"/>
      <c r="L7" s="254" t="n"/>
      <c r="M7" s="255" t="n"/>
    </row>
    <row r="8">
      <c r="A8" s="253" t="n"/>
      <c r="B8" s="254" t="n"/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4" t="n"/>
      <c r="M8" s="255" t="n"/>
    </row>
    <row r="9">
      <c r="A9" s="253" t="n"/>
      <c r="B9" s="254" t="n"/>
      <c r="C9" s="254" t="n"/>
      <c r="D9" s="254" t="n"/>
      <c r="E9" s="254" t="n"/>
      <c r="F9" s="254" t="n"/>
      <c r="G9" s="254" t="n"/>
      <c r="H9" s="254" t="n"/>
      <c r="I9" s="254" t="n"/>
      <c r="J9" s="254" t="n"/>
      <c r="K9" s="254" t="n"/>
      <c r="L9" s="254" t="n"/>
      <c r="M9" s="255" t="n"/>
    </row>
    <row r="10">
      <c r="A10" s="253" t="n"/>
      <c r="B10" s="254" t="n"/>
      <c r="C10" s="254" t="n"/>
      <c r="D10" s="254" t="n"/>
      <c r="E10" s="254" t="n"/>
      <c r="F10" s="254" t="n"/>
      <c r="G10" s="254" t="n"/>
      <c r="H10" s="254" t="n"/>
      <c r="I10" s="254" t="n"/>
      <c r="J10" s="254" t="n"/>
      <c r="K10" s="254" t="n"/>
      <c r="L10" s="254" t="n"/>
      <c r="M10" s="255" t="n"/>
    </row>
    <row r="11">
      <c r="A11" s="253" t="n"/>
      <c r="B11" s="254" t="n"/>
      <c r="C11" s="254" t="n"/>
      <c r="D11" s="254" t="n"/>
      <c r="E11" s="254" t="n"/>
      <c r="F11" s="254" t="n"/>
      <c r="G11" s="254" t="n"/>
      <c r="H11" s="254" t="n"/>
      <c r="I11" s="254" t="n"/>
      <c r="J11" s="254" t="n"/>
      <c r="K11" s="254" t="n"/>
      <c r="L11" s="254" t="n"/>
      <c r="M11" s="255" t="n"/>
    </row>
    <row r="12">
      <c r="A12" s="253" t="n"/>
      <c r="B12" s="254" t="n"/>
      <c r="C12" s="254" t="n"/>
      <c r="D12" s="254" t="n"/>
      <c r="E12" s="254" t="n"/>
      <c r="F12" s="254" t="n"/>
      <c r="G12" s="254" t="n"/>
      <c r="H12" s="254" t="n"/>
      <c r="I12" s="254" t="n"/>
      <c r="J12" s="254" t="n"/>
      <c r="K12" s="254" t="n"/>
      <c r="L12" s="254" t="n"/>
      <c r="M12" s="255" t="n"/>
    </row>
    <row r="13">
      <c r="A13" s="253" t="n"/>
      <c r="B13" s="254" t="n"/>
      <c r="C13" s="254" t="n"/>
      <c r="D13" s="254" t="n"/>
      <c r="E13" s="254" t="n"/>
      <c r="F13" s="254" t="n"/>
      <c r="G13" s="254" t="n"/>
      <c r="H13" s="254" t="n"/>
      <c r="I13" s="254" t="n"/>
      <c r="J13" s="254" t="n"/>
      <c r="K13" s="254" t="n"/>
      <c r="L13" s="254" t="n"/>
      <c r="M13" s="255" t="n"/>
    </row>
    <row r="14">
      <c r="A14" s="253" t="n"/>
      <c r="B14" s="254" t="n"/>
      <c r="C14" s="254" t="n"/>
      <c r="D14" s="254" t="n"/>
      <c r="E14" s="254" t="n"/>
      <c r="F14" s="254" t="n"/>
      <c r="G14" s="254" t="n"/>
      <c r="H14" s="254" t="n"/>
      <c r="I14" s="254" t="n"/>
      <c r="J14" s="254" t="n"/>
      <c r="K14" s="254" t="n"/>
      <c r="L14" s="254" t="n"/>
      <c r="M14" s="255" t="n"/>
    </row>
    <row r="15">
      <c r="A15" s="253" t="n"/>
      <c r="B15" s="254" t="n"/>
      <c r="C15" s="254" t="n"/>
      <c r="D15" s="254" t="n"/>
      <c r="E15" s="254" t="n"/>
      <c r="F15" s="254" t="n"/>
      <c r="G15" s="254" t="n"/>
      <c r="H15" s="254" t="n"/>
      <c r="I15" s="254" t="n"/>
      <c r="J15" s="254" t="n"/>
      <c r="K15" s="254" t="n"/>
      <c r="L15" s="254" t="n"/>
      <c r="M15" s="255" t="n"/>
    </row>
    <row r="16">
      <c r="A16" s="253" t="n"/>
      <c r="B16" s="254" t="n"/>
      <c r="C16" s="254" t="n"/>
      <c r="D16" s="254" t="n"/>
      <c r="E16" s="254" t="n"/>
      <c r="F16" s="254" t="n"/>
      <c r="G16" s="254" t="n"/>
      <c r="H16" s="254" t="n"/>
      <c r="I16" s="254" t="n"/>
      <c r="J16" s="254" t="n"/>
      <c r="K16" s="254" t="n"/>
      <c r="L16" s="254" t="n"/>
      <c r="M16" s="255" t="n"/>
    </row>
    <row r="17">
      <c r="A17" s="253" t="n"/>
      <c r="B17" s="254" t="n"/>
      <c r="C17" s="254" t="n"/>
      <c r="D17" s="254" t="n"/>
      <c r="E17" s="254" t="n"/>
      <c r="F17" s="254" t="n"/>
      <c r="G17" s="254" t="n"/>
      <c r="H17" s="254" t="n"/>
      <c r="I17" s="254" t="n"/>
      <c r="J17" s="254" t="n"/>
      <c r="K17" s="254" t="n"/>
      <c r="L17" s="254" t="n"/>
      <c r="M17" s="255" t="n"/>
    </row>
    <row r="18">
      <c r="A18" s="253" t="n"/>
      <c r="B18" s="254" t="n"/>
      <c r="C18" s="254" t="n"/>
      <c r="D18" s="254" t="n"/>
      <c r="E18" s="254" t="n"/>
      <c r="F18" s="254" t="n"/>
      <c r="G18" s="254" t="n"/>
      <c r="H18" s="254" t="n"/>
      <c r="I18" s="254" t="n"/>
      <c r="J18" s="254" t="n"/>
      <c r="K18" s="254" t="n"/>
      <c r="L18" s="254" t="n"/>
      <c r="M18" s="255" t="n"/>
    </row>
    <row r="19">
      <c r="A19" s="253" t="n"/>
      <c r="B19" s="254" t="n"/>
      <c r="C19" s="254" t="n"/>
      <c r="D19" s="254" t="n"/>
      <c r="E19" s="254" t="n"/>
      <c r="F19" s="254" t="n"/>
      <c r="G19" s="254" t="n"/>
      <c r="H19" s="254" t="n"/>
      <c r="I19" s="254" t="n"/>
      <c r="J19" s="254" t="n"/>
      <c r="K19" s="254" t="n"/>
      <c r="L19" s="254" t="n"/>
      <c r="M19" s="255" t="n"/>
    </row>
    <row r="20">
      <c r="A20" s="253" t="n"/>
      <c r="B20" s="254" t="n"/>
      <c r="C20" s="254" t="n"/>
      <c r="D20" s="254" t="n"/>
      <c r="E20" s="254" t="n"/>
      <c r="F20" s="254" t="n"/>
      <c r="G20" s="254" t="n"/>
      <c r="H20" s="254" t="n"/>
      <c r="I20" s="254" t="n"/>
      <c r="J20" s="254" t="n"/>
      <c r="K20" s="254" t="n"/>
      <c r="L20" s="254" t="n"/>
      <c r="M20" s="255" t="n"/>
    </row>
    <row r="21">
      <c r="A21" s="253" t="n"/>
      <c r="B21" s="254" t="n"/>
      <c r="C21" s="254" t="n"/>
      <c r="D21" s="254" t="n"/>
      <c r="E21" s="254" t="n"/>
      <c r="F21" s="254" t="n"/>
      <c r="G21" s="254" t="n"/>
      <c r="H21" s="254" t="n"/>
      <c r="I21" s="254" t="n"/>
      <c r="J21" s="254" t="n"/>
      <c r="K21" s="254" t="n"/>
      <c r="L21" s="254" t="n"/>
      <c r="M21" s="255" t="n"/>
    </row>
    <row r="22">
      <c r="A22" s="253" t="n"/>
      <c r="B22" s="254" t="n"/>
      <c r="C22" s="254" t="n"/>
      <c r="D22" s="254" t="n"/>
      <c r="E22" s="254" t="n"/>
      <c r="F22" s="254" t="n"/>
      <c r="G22" s="254" t="n"/>
      <c r="H22" s="254" t="n"/>
      <c r="I22" s="254" t="n"/>
      <c r="J22" s="254" t="n"/>
      <c r="K22" s="254" t="n"/>
      <c r="L22" s="254" t="n"/>
      <c r="M22" s="255" t="n"/>
    </row>
    <row r="23">
      <c r="A23" s="253" t="n"/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5" t="n"/>
    </row>
    <row r="24">
      <c r="A24" s="253" t="n"/>
      <c r="B24" s="254" t="n"/>
      <c r="C24" s="254" t="n"/>
      <c r="D24" s="254" t="n"/>
      <c r="E24" s="254" t="n"/>
      <c r="F24" s="254" t="n"/>
      <c r="G24" s="254" t="n"/>
      <c r="H24" s="254" t="n"/>
      <c r="I24" s="254" t="n"/>
      <c r="J24" s="254" t="n"/>
      <c r="K24" s="254" t="n"/>
      <c r="L24" s="254" t="n"/>
      <c r="M24" s="255" t="n"/>
    </row>
    <row r="25">
      <c r="A25" s="253" t="n"/>
      <c r="B25" s="254" t="n"/>
      <c r="C25" s="254" t="n"/>
      <c r="D25" s="254" t="n"/>
      <c r="E25" s="254" t="n"/>
      <c r="F25" s="254" t="n"/>
      <c r="G25" s="254" t="n"/>
      <c r="H25" s="254" t="n"/>
      <c r="I25" s="254" t="n"/>
      <c r="J25" s="254" t="n"/>
      <c r="K25" s="254" t="n"/>
      <c r="L25" s="254" t="n"/>
      <c r="M25" s="255" t="n"/>
    </row>
    <row r="26">
      <c r="A26" s="253" t="n"/>
      <c r="B26" s="254" t="n"/>
      <c r="C26" s="254" t="n"/>
      <c r="D26" s="254" t="n"/>
      <c r="E26" s="254" t="n"/>
      <c r="F26" s="254" t="n"/>
      <c r="G26" s="254" t="n"/>
      <c r="H26" s="254" t="n"/>
      <c r="I26" s="254" t="n"/>
      <c r="J26" s="254" t="n"/>
      <c r="K26" s="254" t="n"/>
      <c r="L26" s="254" t="n"/>
      <c r="M26" s="255" t="n"/>
    </row>
    <row r="27">
      <c r="A27" s="253" t="n"/>
      <c r="B27" s="254" t="n"/>
      <c r="C27" s="254" t="n"/>
      <c r="D27" s="254" t="n"/>
      <c r="E27" s="254" t="n"/>
      <c r="F27" s="254" t="n"/>
      <c r="G27" s="254" t="n"/>
      <c r="H27" s="254" t="n"/>
      <c r="I27" s="254" t="n"/>
      <c r="J27" s="254" t="n"/>
      <c r="K27" s="254" t="n"/>
      <c r="L27" s="254" t="n"/>
      <c r="M27" s="255" t="n"/>
    </row>
    <row r="28">
      <c r="A28" s="253" t="n"/>
      <c r="B28" s="254" t="n"/>
      <c r="C28" s="254" t="n"/>
      <c r="D28" s="254" t="n"/>
      <c r="E28" s="254" t="n"/>
      <c r="F28" s="254" t="n"/>
      <c r="G28" s="254" t="n"/>
      <c r="H28" s="254" t="n"/>
      <c r="I28" s="254" t="n"/>
      <c r="J28" s="254" t="n"/>
      <c r="K28" s="254" t="n"/>
      <c r="L28" s="254" t="n"/>
      <c r="M28" s="255" t="n"/>
    </row>
    <row r="29">
      <c r="A29" s="253" t="n"/>
      <c r="B29" s="254" t="n"/>
      <c r="C29" s="254" t="n"/>
      <c r="D29" s="254" t="n"/>
      <c r="E29" s="254" t="n"/>
      <c r="F29" s="254" t="n"/>
      <c r="G29" s="254" t="n"/>
      <c r="H29" s="254" t="n"/>
      <c r="I29" s="254" t="n"/>
      <c r="J29" s="254" t="n"/>
      <c r="K29" s="254" t="n"/>
      <c r="L29" s="254" t="n"/>
      <c r="M29" s="255" t="n"/>
    </row>
    <row r="30">
      <c r="A30" s="253" t="n"/>
      <c r="B30" s="254" t="n"/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5" t="n"/>
    </row>
    <row r="31">
      <c r="A31" s="253" t="n"/>
      <c r="B31" s="254" t="n"/>
      <c r="C31" s="254" t="n"/>
      <c r="D31" s="254" t="n"/>
      <c r="E31" s="254" t="n"/>
      <c r="F31" s="254" t="n"/>
      <c r="G31" s="254" t="n"/>
      <c r="H31" s="254" t="n"/>
      <c r="I31" s="254" t="n"/>
      <c r="J31" s="254" t="n"/>
      <c r="K31" s="254" t="n"/>
      <c r="L31" s="254" t="n"/>
      <c r="M31" s="255" t="n"/>
    </row>
    <row r="32">
      <c r="A32" s="253" t="n"/>
      <c r="B32" s="254" t="n"/>
      <c r="C32" s="254" t="n"/>
      <c r="D32" s="254" t="n"/>
      <c r="E32" s="254" t="n"/>
      <c r="F32" s="254" t="n"/>
      <c r="G32" s="254" t="n"/>
      <c r="H32" s="254" t="n"/>
      <c r="I32" s="254" t="n"/>
      <c r="J32" s="254" t="n"/>
      <c r="K32" s="254" t="n"/>
      <c r="L32" s="254" t="n"/>
      <c r="M32" s="255" t="n"/>
    </row>
    <row r="33">
      <c r="A33" s="253" t="n"/>
      <c r="B33" s="254" t="n"/>
      <c r="C33" s="254" t="n"/>
      <c r="D33" s="254" t="n"/>
      <c r="E33" s="254" t="n"/>
      <c r="F33" s="254" t="n"/>
      <c r="G33" s="254" t="n"/>
      <c r="H33" s="254" t="n"/>
      <c r="I33" s="254" t="n"/>
      <c r="J33" s="254" t="n"/>
      <c r="K33" s="254" t="n"/>
      <c r="L33" s="254" t="n"/>
      <c r="M33" s="255" t="n"/>
    </row>
    <row r="34">
      <c r="A34" s="253" t="n"/>
      <c r="B34" s="254" t="n"/>
      <c r="C34" s="254" t="n"/>
      <c r="D34" s="254" t="n"/>
      <c r="E34" s="254" t="n"/>
      <c r="F34" s="254" t="n"/>
      <c r="G34" s="254" t="n"/>
      <c r="H34" s="254" t="n"/>
      <c r="I34" s="254" t="n"/>
      <c r="J34" s="254" t="n"/>
      <c r="K34" s="254" t="n"/>
      <c r="L34" s="254" t="n"/>
      <c r="M34" s="255" t="n"/>
    </row>
    <row r="35">
      <c r="A35" s="253" t="n"/>
      <c r="B35" s="254" t="n"/>
      <c r="C35" s="254" t="n"/>
      <c r="D35" s="254" t="n"/>
      <c r="E35" s="254" t="n"/>
      <c r="F35" s="254" t="n"/>
      <c r="G35" s="254" t="n"/>
      <c r="H35" s="254" t="n"/>
      <c r="I35" s="254" t="n"/>
      <c r="J35" s="254" t="n"/>
      <c r="K35" s="254" t="n"/>
      <c r="L35" s="254" t="n"/>
      <c r="M35" s="255" t="n"/>
    </row>
    <row r="36">
      <c r="A36" s="253" t="n"/>
      <c r="B36" s="254" t="n"/>
      <c r="C36" s="254" t="n"/>
      <c r="D36" s="254" t="n"/>
      <c r="E36" s="254" t="n"/>
      <c r="F36" s="254" t="n"/>
      <c r="G36" s="254" t="n"/>
      <c r="H36" s="254" t="n"/>
      <c r="I36" s="254" t="n"/>
      <c r="J36" s="254" t="n"/>
      <c r="K36" s="254" t="n"/>
      <c r="L36" s="254" t="n"/>
      <c r="M36" s="255" t="n"/>
    </row>
    <row r="37">
      <c r="A37" s="253" t="n"/>
      <c r="B37" s="254" t="n"/>
      <c r="C37" s="254" t="n"/>
      <c r="D37" s="254" t="n"/>
      <c r="E37" s="254" t="n"/>
      <c r="F37" s="254" t="n"/>
      <c r="G37" s="254" t="n"/>
      <c r="H37" s="254" t="n"/>
      <c r="I37" s="254" t="n"/>
      <c r="J37" s="254" t="n"/>
      <c r="K37" s="254" t="n"/>
      <c r="L37" s="254" t="n"/>
      <c r="M37" s="255" t="n"/>
    </row>
    <row r="38">
      <c r="A38" s="253" t="n"/>
      <c r="B38" s="254" t="n"/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5" t="n"/>
    </row>
    <row r="39">
      <c r="A39" s="253" t="n"/>
      <c r="B39" s="254" t="n"/>
      <c r="C39" s="254" t="n"/>
      <c r="D39" s="254" t="n"/>
      <c r="E39" s="254" t="n"/>
      <c r="F39" s="254" t="n"/>
      <c r="G39" s="254" t="n"/>
      <c r="H39" s="254" t="n"/>
      <c r="I39" s="254" t="n"/>
      <c r="J39" s="254" t="n"/>
      <c r="K39" s="254" t="n"/>
      <c r="L39" s="254" t="n"/>
      <c r="M39" s="255" t="n"/>
    </row>
    <row r="40">
      <c r="A40" s="253" t="n"/>
      <c r="B40" s="254" t="n"/>
      <c r="C40" s="254" t="n"/>
      <c r="D40" s="254" t="n"/>
      <c r="E40" s="254" t="n"/>
      <c r="F40" s="254" t="n"/>
      <c r="G40" s="254" t="n"/>
      <c r="H40" s="254" t="n"/>
      <c r="I40" s="254" t="n"/>
      <c r="J40" s="254" t="n"/>
      <c r="K40" s="254" t="n"/>
      <c r="L40" s="254" t="n"/>
      <c r="M40" s="255" t="n"/>
    </row>
    <row r="41">
      <c r="A41" s="253" t="n"/>
      <c r="B41" s="254" t="n"/>
      <c r="C41" s="254" t="n"/>
      <c r="D41" s="254" t="n"/>
      <c r="E41" s="254" t="n"/>
      <c r="F41" s="254" t="n"/>
      <c r="G41" s="254" t="n"/>
      <c r="H41" s="254" t="n"/>
      <c r="I41" s="254" t="n"/>
      <c r="J41" s="254" t="n"/>
      <c r="K41" s="254" t="n"/>
      <c r="L41" s="254" t="n"/>
      <c r="M41" s="255" t="n"/>
    </row>
    <row r="42">
      <c r="A42" s="253" t="n"/>
      <c r="B42" s="254" t="n"/>
      <c r="C42" s="254" t="n"/>
      <c r="D42" s="254" t="n"/>
      <c r="E42" s="254" t="n"/>
      <c r="F42" s="254" t="n"/>
      <c r="G42" s="254" t="n"/>
      <c r="H42" s="254" t="n"/>
      <c r="I42" s="254" t="n"/>
      <c r="J42" s="254" t="n"/>
      <c r="K42" s="254" t="n"/>
      <c r="L42" s="254" t="n"/>
      <c r="M42" s="255" t="n"/>
    </row>
    <row r="43">
      <c r="A43" s="253" t="n"/>
      <c r="B43" s="254" t="n"/>
      <c r="C43" s="254" t="n"/>
      <c r="D43" s="254" t="n"/>
      <c r="E43" s="254" t="n"/>
      <c r="F43" s="254" t="n"/>
      <c r="G43" s="254" t="n"/>
      <c r="H43" s="254" t="n"/>
      <c r="I43" s="254" t="n"/>
      <c r="J43" s="254" t="n"/>
      <c r="K43" s="254" t="n"/>
      <c r="L43" s="254" t="n"/>
      <c r="M43" s="255" t="n"/>
    </row>
    <row r="44">
      <c r="A44" s="253" t="n"/>
      <c r="B44" s="254" t="n"/>
      <c r="C44" s="254" t="n"/>
      <c r="D44" s="254" t="n"/>
      <c r="E44" s="254" t="n"/>
      <c r="F44" s="254" t="n"/>
      <c r="G44" s="254" t="n"/>
      <c r="H44" s="254" t="n"/>
      <c r="I44" s="254" t="n"/>
      <c r="J44" s="254" t="n"/>
      <c r="K44" s="254" t="n"/>
      <c r="L44" s="254" t="n"/>
      <c r="M44" s="255" t="n"/>
    </row>
    <row r="45">
      <c r="A45" s="253" t="n"/>
      <c r="B45" s="254" t="n"/>
      <c r="C45" s="254" t="n"/>
      <c r="D45" s="254" t="n"/>
      <c r="E45" s="254" t="n"/>
      <c r="F45" s="254" t="n"/>
      <c r="G45" s="254" t="n"/>
      <c r="H45" s="254" t="n"/>
      <c r="I45" s="254" t="n"/>
      <c r="J45" s="254" t="n"/>
      <c r="K45" s="254" t="n"/>
      <c r="L45" s="254" t="n"/>
      <c r="M45" s="255" t="n"/>
    </row>
    <row r="46">
      <c r="A46" s="253" t="n"/>
      <c r="B46" s="254" t="n"/>
      <c r="C46" s="254" t="n"/>
      <c r="D46" s="254" t="n"/>
      <c r="E46" s="254" t="n"/>
      <c r="F46" s="254" t="n"/>
      <c r="G46" s="254" t="n"/>
      <c r="H46" s="254" t="n"/>
      <c r="I46" s="254" t="n"/>
      <c r="J46" s="254" t="n"/>
      <c r="K46" s="254" t="n"/>
      <c r="L46" s="254" t="n"/>
      <c r="M46" s="255" t="n"/>
    </row>
    <row r="47">
      <c r="A47" s="253" t="n"/>
      <c r="B47" s="254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4" t="n"/>
      <c r="L47" s="254" t="n"/>
      <c r="M47" s="255" t="n"/>
    </row>
    <row r="48">
      <c r="A48" s="253" t="n"/>
      <c r="B48" s="254" t="n"/>
      <c r="C48" s="254" t="n"/>
      <c r="D48" s="254" t="n"/>
      <c r="E48" s="254" t="n"/>
      <c r="F48" s="254" t="n"/>
      <c r="G48" s="254" t="n"/>
      <c r="H48" s="254" t="n"/>
      <c r="I48" s="254" t="n"/>
      <c r="J48" s="254" t="n"/>
      <c r="K48" s="254" t="n"/>
      <c r="L48" s="254" t="n"/>
      <c r="M48" s="255" t="n"/>
    </row>
    <row r="49">
      <c r="A49" s="253" t="n"/>
      <c r="B49" s="254" t="n"/>
      <c r="C49" s="254" t="n"/>
      <c r="D49" s="254" t="n"/>
      <c r="E49" s="254" t="n"/>
      <c r="F49" s="254" t="n"/>
      <c r="G49" s="254" t="n"/>
      <c r="H49" s="254" t="n"/>
      <c r="I49" s="254" t="n"/>
      <c r="J49" s="254" t="n"/>
      <c r="K49" s="254" t="n"/>
      <c r="L49" s="254" t="n"/>
      <c r="M49" s="255" t="n"/>
    </row>
    <row r="50">
      <c r="A50" s="253" t="n"/>
      <c r="B50" s="254" t="n"/>
      <c r="C50" s="254" t="n"/>
      <c r="D50" s="254" t="n"/>
      <c r="E50" s="254" t="n"/>
      <c r="F50" s="254" t="n"/>
      <c r="G50" s="254" t="n"/>
      <c r="H50" s="254" t="n"/>
      <c r="I50" s="254" t="n"/>
      <c r="J50" s="254" t="n"/>
      <c r="K50" s="254" t="n"/>
      <c r="L50" s="254" t="n"/>
      <c r="M50" s="255" t="n"/>
    </row>
    <row r="51">
      <c r="A51" s="253" t="n"/>
      <c r="B51" s="254" t="n"/>
      <c r="C51" s="254" t="n"/>
      <c r="D51" s="254" t="n"/>
      <c r="E51" s="254" t="n"/>
      <c r="F51" s="254" t="n"/>
      <c r="G51" s="254" t="n"/>
      <c r="H51" s="254" t="n"/>
      <c r="I51" s="254" t="n"/>
      <c r="J51" s="254" t="n"/>
      <c r="K51" s="254" t="n"/>
      <c r="L51" s="254" t="n"/>
      <c r="M51" s="255" t="n"/>
    </row>
    <row r="52">
      <c r="A52" s="253" t="n"/>
      <c r="B52" s="254" t="n"/>
      <c r="C52" s="254" t="n"/>
      <c r="D52" s="254" t="n"/>
      <c r="E52" s="254" t="n"/>
      <c r="F52" s="254" t="n"/>
      <c r="G52" s="254" t="n"/>
      <c r="H52" s="254" t="n"/>
      <c r="I52" s="254" t="n"/>
      <c r="J52" s="254" t="n"/>
      <c r="K52" s="254" t="n"/>
      <c r="L52" s="254" t="n"/>
      <c r="M52" s="255" t="n"/>
    </row>
    <row r="53">
      <c r="A53" s="253" t="n"/>
      <c r="B53" s="254" t="n"/>
      <c r="C53" s="254" t="n"/>
      <c r="D53" s="254" t="n"/>
      <c r="E53" s="254" t="n"/>
      <c r="F53" s="254" t="n"/>
      <c r="G53" s="254" t="n"/>
      <c r="H53" s="254" t="n"/>
      <c r="I53" s="254" t="n"/>
      <c r="J53" s="254" t="n"/>
      <c r="K53" s="254" t="n"/>
      <c r="L53" s="254" t="n"/>
      <c r="M53" s="255" t="n"/>
    </row>
    <row r="54">
      <c r="A54" s="253" t="n"/>
      <c r="B54" s="254" t="n"/>
      <c r="C54" s="254" t="n"/>
      <c r="D54" s="254" t="n"/>
      <c r="E54" s="254" t="n"/>
      <c r="F54" s="254" t="n"/>
      <c r="G54" s="254" t="n"/>
      <c r="H54" s="254" t="n"/>
      <c r="I54" s="254" t="n"/>
      <c r="J54" s="254" t="n"/>
      <c r="K54" s="254" t="n"/>
      <c r="L54" s="254" t="n"/>
      <c r="M54" s="255" t="n"/>
    </row>
    <row r="55">
      <c r="A55" s="253" t="n"/>
      <c r="B55" s="254" t="n"/>
      <c r="C55" s="254" t="n"/>
      <c r="D55" s="254" t="n"/>
      <c r="E55" s="254" t="n"/>
      <c r="F55" s="254" t="n"/>
      <c r="G55" s="254" t="n"/>
      <c r="H55" s="254" t="n"/>
      <c r="I55" s="254" t="n"/>
      <c r="J55" s="254" t="n"/>
      <c r="K55" s="254" t="n"/>
      <c r="L55" s="254" t="n"/>
      <c r="M55" s="255" t="n"/>
    </row>
    <row r="56">
      <c r="A56" s="253" t="n"/>
      <c r="B56" s="254" t="n"/>
      <c r="C56" s="254" t="n"/>
      <c r="D56" s="254" t="n"/>
      <c r="E56" s="254" t="n"/>
      <c r="F56" s="254" t="n"/>
      <c r="G56" s="254" t="n"/>
      <c r="H56" s="254" t="n"/>
      <c r="I56" s="254" t="n"/>
      <c r="J56" s="254" t="n"/>
      <c r="K56" s="254" t="n"/>
      <c r="L56" s="254" t="n"/>
      <c r="M56" s="255" t="n"/>
    </row>
    <row r="57">
      <c r="A57" s="253" t="n"/>
      <c r="B57" s="254" t="n"/>
      <c r="C57" s="254" t="n"/>
      <c r="D57" s="254" t="n"/>
      <c r="E57" s="254" t="n"/>
      <c r="F57" s="254" t="n"/>
      <c r="G57" s="254" t="n"/>
      <c r="H57" s="254" t="n"/>
      <c r="I57" s="254" t="n"/>
      <c r="J57" s="254" t="n"/>
      <c r="K57" s="254" t="n"/>
      <c r="L57" s="254" t="n"/>
      <c r="M57" s="255" t="n"/>
    </row>
    <row r="58">
      <c r="A58" s="253" t="n"/>
      <c r="B58" s="254" t="n"/>
      <c r="C58" s="254" t="n"/>
      <c r="D58" s="254" t="n"/>
      <c r="E58" s="254" t="n"/>
      <c r="F58" s="254" t="n"/>
      <c r="G58" s="254" t="n"/>
      <c r="H58" s="254" t="n"/>
      <c r="I58" s="254" t="n"/>
      <c r="J58" s="254" t="n"/>
      <c r="K58" s="254" t="n"/>
      <c r="L58" s="254" t="n"/>
      <c r="M58" s="255" t="n"/>
    </row>
    <row r="59">
      <c r="A59" s="253" t="n"/>
      <c r="B59" s="254" t="n"/>
      <c r="C59" s="254" t="n"/>
      <c r="D59" s="254" t="n"/>
      <c r="E59" s="254" t="n"/>
      <c r="F59" s="254" t="n"/>
      <c r="G59" s="254" t="n"/>
      <c r="H59" s="254" t="n"/>
      <c r="I59" s="254" t="n"/>
      <c r="J59" s="254" t="n"/>
      <c r="K59" s="254" t="n"/>
      <c r="L59" s="254" t="n"/>
      <c r="M59" s="255" t="n"/>
    </row>
    <row r="60">
      <c r="A60" s="256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8" t="n"/>
    </row>
  </sheetData>
  <mergeCells count="1">
    <mergeCell ref="A1:M1"/>
  </mergeCells>
  <dataValidations count="4">
    <dataValidation sqref="H4:H60" showDropDown="0" showInputMessage="0" showErrorMessage="1" allowBlank="0" errorTitle="Invalid calibration status" error="Select an exact controlled value from the Vocabulary sheet." type="list" errorStyle="stop">
      <formula1>INDIRECT("Vocabulary!$AK$5:$AK$9")</formula1>
    </dataValidation>
    <dataValidation sqref="K4:K60" showDropDown="0" showInputMessage="0" showErrorMessage="1" allowBlank="0" errorTitle="Invalid retirement value" error="Select an exact controlled value from the Vocabulary sheet." type="list" errorStyle="stop">
      <formula1>INDIRECT("Vocabulary!$J$5:$J$6")</formula1>
    </dataValidation>
    <dataValidation sqref="H4:H250" showDropDown="0" showInputMessage="0" showErrorMessage="1" allowBlank="0" errorTitle="Invalid calibration status" error="Select an exact controlled value from the Vocabulary sheet." type="list" errorStyle="stop">
      <formula1>INDIRECT("Vocabulary!$AK$5:$AK$9")</formula1>
    </dataValidation>
    <dataValidation sqref="K4:K250" showDropDown="0" showInputMessage="0" showErrorMessage="1" allowBlank="0" errorTitle="Invalid retirement value" error="Select an exact controlled value from the Vocabulary sheet." type="list" errorStyle="stop">
      <formula1>INDIRECT("Vocabulary!$J$5:$J$6")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selection activeCell="A1" sqref="A1"/>
    </sheetView>
  </sheetViews>
  <sheetFormatPr baseColWidth="8" defaultRowHeight="15"/>
  <cols>
    <col width="18" customWidth="1" style="215" min="1" max="1"/>
    <col width="18" customWidth="1" style="215" min="2" max="2"/>
    <col width="18" customWidth="1" style="215" min="3" max="3"/>
    <col width="16" customWidth="1" style="215" min="4" max="4"/>
    <col width="22" customWidth="1" style="215" min="5" max="5"/>
    <col width="20" customWidth="1" style="215" min="6" max="6"/>
    <col width="16" customWidth="1" style="215" min="7" max="7"/>
    <col width="16" customWidth="1" style="215" min="8" max="8"/>
    <col width="24" customWidth="1" style="215" min="9" max="9"/>
    <col width="34" customWidth="1" style="215" min="10" max="10"/>
    <col width="34" customWidth="1" style="215" min="11" max="11"/>
    <col width="28" customWidth="1" style="215" min="12" max="12"/>
    <col width="28" customWidth="1" style="215" min="13" max="13"/>
    <col width="22" customWidth="1" style="215" min="14" max="14"/>
    <col width="36" customWidth="1" style="215" min="15" max="15"/>
    <col width="20" customWidth="1" style="215" min="16" max="16"/>
  </cols>
  <sheetData>
    <row r="1" ht="28" customHeight="1" s="215">
      <c r="A1" s="536" t="inlineStr">
        <is>
          <t>Immutable Pre-Discussion Rating Deposit Import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</row>
    <row r="2">
      <c r="A2" s="548" t="inlineStr">
        <is>
          <t>Boundary: this sheet imports metadata from an independently controlled system with an audit trail. Entry into this workbook alone does not establish immutability, timestamp priority, reviewer independence, or absence of post-discussion editing.</t>
        </is>
      </c>
      <c r="B2" s="442" t="n"/>
      <c r="C2" s="442" t="n"/>
      <c r="D2" s="442" t="n"/>
      <c r="E2" s="442" t="n"/>
      <c r="F2" s="442" t="n"/>
      <c r="G2" s="442" t="n"/>
      <c r="H2" s="442" t="n"/>
      <c r="I2" s="442" t="n"/>
      <c r="J2" s="442" t="n"/>
      <c r="K2" s="442" t="n"/>
      <c r="L2" s="442" t="n"/>
      <c r="M2" s="442" t="n"/>
      <c r="N2" s="442" t="n"/>
      <c r="O2" s="442" t="n"/>
      <c r="P2" s="442" t="n"/>
    </row>
    <row r="3"/>
    <row r="4" ht="34" customHeight="1" s="215">
      <c r="A4" s="421" t="inlineStr">
        <is>
          <t>Deposit_ID</t>
        </is>
      </c>
      <c r="B4" s="421" t="inlineStr">
        <is>
          <t>Study_ID</t>
        </is>
      </c>
      <c r="C4" s="421" t="inlineStr">
        <is>
          <t>Case_ID</t>
        </is>
      </c>
      <c r="D4" s="421" t="inlineStr">
        <is>
          <t>Reviewer_ID</t>
        </is>
      </c>
      <c r="E4" s="421" t="inlineStr">
        <is>
          <t>Decision_Layer</t>
        </is>
      </c>
      <c r="F4" s="421" t="inlineStr">
        <is>
          <t>Target_ID</t>
        </is>
      </c>
      <c r="G4" s="421" t="inlineStr">
        <is>
          <t>Rating_Value</t>
        </is>
      </c>
      <c r="H4" s="421" t="inlineStr">
        <is>
          <t>Confidence</t>
        </is>
      </c>
      <c r="I4" s="421" t="inlineStr">
        <is>
          <t>Submitted_At_UTC</t>
        </is>
      </c>
      <c r="J4" s="421" t="inlineStr">
        <is>
          <t>Content_SHA256</t>
        </is>
      </c>
      <c r="K4" s="421" t="inlineStr">
        <is>
          <t>Signature_or_Audit_Proof</t>
        </is>
      </c>
      <c r="L4" s="421" t="inlineStr">
        <is>
          <t>Repository_or_System</t>
        </is>
      </c>
      <c r="M4" s="421" t="inlineStr">
        <is>
          <t>Immutable_Before_Discussion</t>
        </is>
      </c>
      <c r="N4" s="421" t="inlineStr">
        <is>
          <t>Supersedes_Deposit_ID</t>
        </is>
      </c>
      <c r="O4" s="421" t="inlineStr">
        <is>
          <t>AI_Assistance_Disclosure</t>
        </is>
      </c>
      <c r="P4" s="421" t="inlineStr">
        <is>
          <t>Deposit_Status</t>
        </is>
      </c>
    </row>
    <row r="5">
      <c r="A5" s="253" t="inlineStr">
        <is>
          <t>DEP-ILL-001</t>
        </is>
      </c>
      <c r="B5" s="254" t="inlineStr">
        <is>
          <t>AF-EXT-ILL</t>
        </is>
      </c>
      <c r="C5" s="254" t="inlineStr">
        <is>
          <t>CASE-ILL-001</t>
        </is>
      </c>
      <c r="D5" s="254" t="inlineStr">
        <is>
          <t>R-01</t>
        </is>
      </c>
      <c r="E5" s="254" t="inlineStr">
        <is>
          <t>Stage A criterion</t>
        </is>
      </c>
      <c r="F5" s="254" t="inlineStr">
        <is>
          <t>C0</t>
        </is>
      </c>
      <c r="G5" s="254" t="inlineStr">
        <is>
          <t>3</t>
        </is>
      </c>
      <c r="H5" s="254" t="inlineStr">
        <is>
          <t>High</t>
        </is>
      </c>
      <c r="I5" s="549" t="inlineStr">
        <is>
          <t>'2026-08-11T08:00:00Z</t>
        </is>
      </c>
      <c r="J5" s="254" t="inlineStr">
        <is>
          <t>illustrative-sha256-001</t>
        </is>
      </c>
      <c r="K5" s="254" t="inlineStr">
        <is>
          <t>illustrative signed commit</t>
        </is>
      </c>
      <c r="L5" s="254" t="inlineStr">
        <is>
          <t>Independent host repository</t>
        </is>
      </c>
      <c r="M5" s="254" t="inlineStr">
        <is>
          <t>Yes</t>
        </is>
      </c>
      <c r="N5" s="254" t="str"/>
      <c r="O5" s="254" t="inlineStr">
        <is>
          <t>None</t>
        </is>
      </c>
      <c r="P5" s="255" t="inlineStr">
        <is>
          <t>Illustrative</t>
        </is>
      </c>
    </row>
    <row r="6">
      <c r="A6" s="253" t="inlineStr">
        <is>
          <t>DEP-ILL-002</t>
        </is>
      </c>
      <c r="B6" s="254" t="inlineStr">
        <is>
          <t>AF-EXT-ILL</t>
        </is>
      </c>
      <c r="C6" s="254" t="inlineStr">
        <is>
          <t>CASE-ILL-001</t>
        </is>
      </c>
      <c r="D6" s="254" t="inlineStr">
        <is>
          <t>R-02</t>
        </is>
      </c>
      <c r="E6" s="254" t="inlineStr">
        <is>
          <t>Stage A criterion</t>
        </is>
      </c>
      <c r="F6" s="254" t="inlineStr">
        <is>
          <t>C0</t>
        </is>
      </c>
      <c r="G6" s="254" t="inlineStr">
        <is>
          <t>3</t>
        </is>
      </c>
      <c r="H6" s="254" t="inlineStr">
        <is>
          <t>Moderate</t>
        </is>
      </c>
      <c r="I6" s="549" t="inlineStr">
        <is>
          <t>'2026-08-11T08:01:00Z</t>
        </is>
      </c>
      <c r="J6" s="254" t="inlineStr">
        <is>
          <t>illustrative-sha256-002</t>
        </is>
      </c>
      <c r="K6" s="254" t="inlineStr">
        <is>
          <t>illustrative REDCap audit event</t>
        </is>
      </c>
      <c r="L6" s="254" t="inlineStr">
        <is>
          <t>Independent REDCap project</t>
        </is>
      </c>
      <c r="M6" s="254" t="inlineStr">
        <is>
          <t>Yes</t>
        </is>
      </c>
      <c r="N6" s="254" t="str"/>
      <c r="O6" s="254" t="inlineStr">
        <is>
          <t>Retrieval/formatting only</t>
        </is>
      </c>
      <c r="P6" s="255" t="inlineStr">
        <is>
          <t>Illustrative</t>
        </is>
      </c>
    </row>
    <row r="7">
      <c r="A7" s="253" t="inlineStr">
        <is>
          <t>DEP-ILL-003</t>
        </is>
      </c>
      <c r="B7" s="254" t="inlineStr">
        <is>
          <t>AF-EXT-ILL</t>
        </is>
      </c>
      <c r="C7" s="254" t="inlineStr">
        <is>
          <t>CASE-ILL-001</t>
        </is>
      </c>
      <c r="D7" s="254" t="inlineStr">
        <is>
          <t>R-03</t>
        </is>
      </c>
      <c r="E7" s="254" t="inlineStr">
        <is>
          <t>Stage A final</t>
        </is>
      </c>
      <c r="F7" s="254" t="inlineStr">
        <is>
          <t>final_stage_a</t>
        </is>
      </c>
      <c r="G7" s="254" t="inlineStr">
        <is>
          <t>1</t>
        </is>
      </c>
      <c r="H7" s="254" t="inlineStr">
        <is>
          <t>High</t>
        </is>
      </c>
      <c r="I7" s="549" t="inlineStr">
        <is>
          <t>'2026-08-11T08:02:00Z</t>
        </is>
      </c>
      <c r="J7" s="254" t="inlineStr">
        <is>
          <t>illustrative-sha256-003</t>
        </is>
      </c>
      <c r="K7" s="254" t="inlineStr">
        <is>
          <t>missing production proof</t>
        </is>
      </c>
      <c r="L7" s="254" t="inlineStr">
        <is>
          <t>Shared spreadsheet only</t>
        </is>
      </c>
      <c r="M7" s="254" t="inlineStr">
        <is>
          <t>No</t>
        </is>
      </c>
      <c r="N7" s="254" t="str"/>
      <c r="O7" s="254" t="inlineStr">
        <is>
          <t>Material assistance generated draft rating - excluded from human reliability</t>
        </is>
      </c>
      <c r="P7" s="255" t="inlineStr">
        <is>
          <t>Rejected example</t>
        </is>
      </c>
    </row>
    <row r="8">
      <c r="A8" s="253" t="n"/>
      <c r="B8" s="254" t="n"/>
      <c r="C8" s="254" t="n"/>
      <c r="D8" s="254" t="n"/>
      <c r="E8" s="254" t="n"/>
      <c r="F8" s="254" t="n"/>
      <c r="G8" s="254" t="n"/>
      <c r="H8" s="254" t="n"/>
      <c r="I8" s="550" t="n"/>
      <c r="J8" s="254" t="n"/>
      <c r="K8" s="254" t="n"/>
      <c r="L8" s="254" t="n"/>
      <c r="M8" s="254" t="n"/>
      <c r="N8" s="254" t="n"/>
      <c r="O8" s="254" t="n"/>
      <c r="P8" s="255" t="n"/>
    </row>
    <row r="9">
      <c r="A9" s="253" t="n"/>
      <c r="B9" s="254" t="n"/>
      <c r="C9" s="254" t="n"/>
      <c r="D9" s="254" t="n"/>
      <c r="E9" s="254" t="n"/>
      <c r="F9" s="254" t="n"/>
      <c r="G9" s="254" t="n"/>
      <c r="H9" s="254" t="n"/>
      <c r="I9" s="550" t="n"/>
      <c r="J9" s="254" t="n"/>
      <c r="K9" s="254" t="n"/>
      <c r="L9" s="254" t="n"/>
      <c r="M9" s="254" t="n"/>
      <c r="N9" s="254" t="n"/>
      <c r="O9" s="254" t="n"/>
      <c r="P9" s="255" t="n"/>
    </row>
    <row r="10">
      <c r="A10" s="253" t="n"/>
      <c r="B10" s="254" t="n"/>
      <c r="C10" s="254" t="n"/>
      <c r="D10" s="254" t="n"/>
      <c r="E10" s="254" t="n"/>
      <c r="F10" s="254" t="n"/>
      <c r="G10" s="254" t="n"/>
      <c r="H10" s="254" t="n"/>
      <c r="I10" s="550" t="n"/>
      <c r="J10" s="254" t="n"/>
      <c r="K10" s="254" t="n"/>
      <c r="L10" s="254" t="n"/>
      <c r="M10" s="254" t="n"/>
      <c r="N10" s="254" t="n"/>
      <c r="O10" s="254" t="n"/>
      <c r="P10" s="255" t="n"/>
    </row>
    <row r="11">
      <c r="A11" s="253" t="n"/>
      <c r="B11" s="254" t="n"/>
      <c r="C11" s="254" t="n"/>
      <c r="D11" s="254" t="n"/>
      <c r="E11" s="254" t="n"/>
      <c r="F11" s="254" t="n"/>
      <c r="G11" s="254" t="n"/>
      <c r="H11" s="254" t="n"/>
      <c r="I11" s="550" t="n"/>
      <c r="J11" s="254" t="n"/>
      <c r="K11" s="254" t="n"/>
      <c r="L11" s="254" t="n"/>
      <c r="M11" s="254" t="n"/>
      <c r="N11" s="254" t="n"/>
      <c r="O11" s="254" t="n"/>
      <c r="P11" s="255" t="n"/>
    </row>
    <row r="12">
      <c r="A12" s="253" t="n"/>
      <c r="B12" s="254" t="n"/>
      <c r="C12" s="254" t="n"/>
      <c r="D12" s="254" t="n"/>
      <c r="E12" s="254" t="n"/>
      <c r="F12" s="254" t="n"/>
      <c r="G12" s="254" t="n"/>
      <c r="H12" s="254" t="n"/>
      <c r="I12" s="550" t="n"/>
      <c r="J12" s="254" t="n"/>
      <c r="K12" s="254" t="n"/>
      <c r="L12" s="254" t="n"/>
      <c r="M12" s="254" t="n"/>
      <c r="N12" s="254" t="n"/>
      <c r="O12" s="254" t="n"/>
      <c r="P12" s="255" t="n"/>
    </row>
    <row r="13">
      <c r="A13" s="253" t="n"/>
      <c r="B13" s="254" t="n"/>
      <c r="C13" s="254" t="n"/>
      <c r="D13" s="254" t="n"/>
      <c r="E13" s="254" t="n"/>
      <c r="F13" s="254" t="n"/>
      <c r="G13" s="254" t="n"/>
      <c r="H13" s="254" t="n"/>
      <c r="I13" s="550" t="n"/>
      <c r="J13" s="254" t="n"/>
      <c r="K13" s="254" t="n"/>
      <c r="L13" s="254" t="n"/>
      <c r="M13" s="254" t="n"/>
      <c r="N13" s="254" t="n"/>
      <c r="O13" s="254" t="n"/>
      <c r="P13" s="255" t="n"/>
    </row>
    <row r="14">
      <c r="A14" s="253" t="n"/>
      <c r="B14" s="254" t="n"/>
      <c r="C14" s="254" t="n"/>
      <c r="D14" s="254" t="n"/>
      <c r="E14" s="254" t="n"/>
      <c r="F14" s="254" t="n"/>
      <c r="G14" s="254" t="n"/>
      <c r="H14" s="254" t="n"/>
      <c r="I14" s="550" t="n"/>
      <c r="J14" s="254" t="n"/>
      <c r="K14" s="254" t="n"/>
      <c r="L14" s="254" t="n"/>
      <c r="M14" s="254" t="n"/>
      <c r="N14" s="254" t="n"/>
      <c r="O14" s="254" t="n"/>
      <c r="P14" s="255" t="n"/>
    </row>
    <row r="15">
      <c r="A15" s="253" t="n"/>
      <c r="B15" s="254" t="n"/>
      <c r="C15" s="254" t="n"/>
      <c r="D15" s="254" t="n"/>
      <c r="E15" s="254" t="n"/>
      <c r="F15" s="254" t="n"/>
      <c r="G15" s="254" t="n"/>
      <c r="H15" s="254" t="n"/>
      <c r="I15" s="550" t="n"/>
      <c r="J15" s="254" t="n"/>
      <c r="K15" s="254" t="n"/>
      <c r="L15" s="254" t="n"/>
      <c r="M15" s="254" t="n"/>
      <c r="N15" s="254" t="n"/>
      <c r="O15" s="254" t="n"/>
      <c r="P15" s="255" t="n"/>
    </row>
    <row r="16">
      <c r="A16" s="253" t="n"/>
      <c r="B16" s="254" t="n"/>
      <c r="C16" s="254" t="n"/>
      <c r="D16" s="254" t="n"/>
      <c r="E16" s="254" t="n"/>
      <c r="F16" s="254" t="n"/>
      <c r="G16" s="254" t="n"/>
      <c r="H16" s="254" t="n"/>
      <c r="I16" s="550" t="n"/>
      <c r="J16" s="254" t="n"/>
      <c r="K16" s="254" t="n"/>
      <c r="L16" s="254" t="n"/>
      <c r="M16" s="254" t="n"/>
      <c r="N16" s="254" t="n"/>
      <c r="O16" s="254" t="n"/>
      <c r="P16" s="255" t="n"/>
    </row>
    <row r="17">
      <c r="A17" s="253" t="n"/>
      <c r="B17" s="254" t="n"/>
      <c r="C17" s="254" t="n"/>
      <c r="D17" s="254" t="n"/>
      <c r="E17" s="254" t="n"/>
      <c r="F17" s="254" t="n"/>
      <c r="G17" s="254" t="n"/>
      <c r="H17" s="254" t="n"/>
      <c r="I17" s="550" t="n"/>
      <c r="J17" s="254" t="n"/>
      <c r="K17" s="254" t="n"/>
      <c r="L17" s="254" t="n"/>
      <c r="M17" s="254" t="n"/>
      <c r="N17" s="254" t="n"/>
      <c r="O17" s="254" t="n"/>
      <c r="P17" s="255" t="n"/>
    </row>
    <row r="18">
      <c r="A18" s="253" t="n"/>
      <c r="B18" s="254" t="n"/>
      <c r="C18" s="254" t="n"/>
      <c r="D18" s="254" t="n"/>
      <c r="E18" s="254" t="n"/>
      <c r="F18" s="254" t="n"/>
      <c r="G18" s="254" t="n"/>
      <c r="H18" s="254" t="n"/>
      <c r="I18" s="550" t="n"/>
      <c r="J18" s="254" t="n"/>
      <c r="K18" s="254" t="n"/>
      <c r="L18" s="254" t="n"/>
      <c r="M18" s="254" t="n"/>
      <c r="N18" s="254" t="n"/>
      <c r="O18" s="254" t="n"/>
      <c r="P18" s="255" t="n"/>
    </row>
    <row r="19">
      <c r="A19" s="253" t="n"/>
      <c r="B19" s="254" t="n"/>
      <c r="C19" s="254" t="n"/>
      <c r="D19" s="254" t="n"/>
      <c r="E19" s="254" t="n"/>
      <c r="F19" s="254" t="n"/>
      <c r="G19" s="254" t="n"/>
      <c r="H19" s="254" t="n"/>
      <c r="I19" s="550" t="n"/>
      <c r="J19" s="254" t="n"/>
      <c r="K19" s="254" t="n"/>
      <c r="L19" s="254" t="n"/>
      <c r="M19" s="254" t="n"/>
      <c r="N19" s="254" t="n"/>
      <c r="O19" s="254" t="n"/>
      <c r="P19" s="255" t="n"/>
    </row>
    <row r="20">
      <c r="A20" s="253" t="n"/>
      <c r="B20" s="254" t="n"/>
      <c r="C20" s="254" t="n"/>
      <c r="D20" s="254" t="n"/>
      <c r="E20" s="254" t="n"/>
      <c r="F20" s="254" t="n"/>
      <c r="G20" s="254" t="n"/>
      <c r="H20" s="254" t="n"/>
      <c r="I20" s="550" t="n"/>
      <c r="J20" s="254" t="n"/>
      <c r="K20" s="254" t="n"/>
      <c r="L20" s="254" t="n"/>
      <c r="M20" s="254" t="n"/>
      <c r="N20" s="254" t="n"/>
      <c r="O20" s="254" t="n"/>
      <c r="P20" s="255" t="n"/>
    </row>
    <row r="21">
      <c r="A21" s="253" t="n"/>
      <c r="B21" s="254" t="n"/>
      <c r="C21" s="254" t="n"/>
      <c r="D21" s="254" t="n"/>
      <c r="E21" s="254" t="n"/>
      <c r="F21" s="254" t="n"/>
      <c r="G21" s="254" t="n"/>
      <c r="H21" s="254" t="n"/>
      <c r="I21" s="550" t="n"/>
      <c r="J21" s="254" t="n"/>
      <c r="K21" s="254" t="n"/>
      <c r="L21" s="254" t="n"/>
      <c r="M21" s="254" t="n"/>
      <c r="N21" s="254" t="n"/>
      <c r="O21" s="254" t="n"/>
      <c r="P21" s="255" t="n"/>
    </row>
    <row r="22">
      <c r="A22" s="253" t="n"/>
      <c r="B22" s="254" t="n"/>
      <c r="C22" s="254" t="n"/>
      <c r="D22" s="254" t="n"/>
      <c r="E22" s="254" t="n"/>
      <c r="F22" s="254" t="n"/>
      <c r="G22" s="254" t="n"/>
      <c r="H22" s="254" t="n"/>
      <c r="I22" s="550" t="n"/>
      <c r="J22" s="254" t="n"/>
      <c r="K22" s="254" t="n"/>
      <c r="L22" s="254" t="n"/>
      <c r="M22" s="254" t="n"/>
      <c r="N22" s="254" t="n"/>
      <c r="O22" s="254" t="n"/>
      <c r="P22" s="255" t="n"/>
    </row>
    <row r="23">
      <c r="A23" s="253" t="n"/>
      <c r="B23" s="254" t="n"/>
      <c r="C23" s="254" t="n"/>
      <c r="D23" s="254" t="n"/>
      <c r="E23" s="254" t="n"/>
      <c r="F23" s="254" t="n"/>
      <c r="G23" s="254" t="n"/>
      <c r="H23" s="254" t="n"/>
      <c r="I23" s="550" t="n"/>
      <c r="J23" s="254" t="n"/>
      <c r="K23" s="254" t="n"/>
      <c r="L23" s="254" t="n"/>
      <c r="M23" s="254" t="n"/>
      <c r="N23" s="254" t="n"/>
      <c r="O23" s="254" t="n"/>
      <c r="P23" s="255" t="n"/>
    </row>
    <row r="24">
      <c r="A24" s="253" t="n"/>
      <c r="B24" s="254" t="n"/>
      <c r="C24" s="254" t="n"/>
      <c r="D24" s="254" t="n"/>
      <c r="E24" s="254" t="n"/>
      <c r="F24" s="254" t="n"/>
      <c r="G24" s="254" t="n"/>
      <c r="H24" s="254" t="n"/>
      <c r="I24" s="550" t="n"/>
      <c r="J24" s="254" t="n"/>
      <c r="K24" s="254" t="n"/>
      <c r="L24" s="254" t="n"/>
      <c r="M24" s="254" t="n"/>
      <c r="N24" s="254" t="n"/>
      <c r="O24" s="254" t="n"/>
      <c r="P24" s="255" t="n"/>
    </row>
    <row r="25">
      <c r="A25" s="253" t="n"/>
      <c r="B25" s="254" t="n"/>
      <c r="C25" s="254" t="n"/>
      <c r="D25" s="254" t="n"/>
      <c r="E25" s="254" t="n"/>
      <c r="F25" s="254" t="n"/>
      <c r="G25" s="254" t="n"/>
      <c r="H25" s="254" t="n"/>
      <c r="I25" s="550" t="n"/>
      <c r="J25" s="254" t="n"/>
      <c r="K25" s="254" t="n"/>
      <c r="L25" s="254" t="n"/>
      <c r="M25" s="254" t="n"/>
      <c r="N25" s="254" t="n"/>
      <c r="O25" s="254" t="n"/>
      <c r="P25" s="255" t="n"/>
    </row>
    <row r="26">
      <c r="A26" s="253" t="n"/>
      <c r="B26" s="254" t="n"/>
      <c r="C26" s="254" t="n"/>
      <c r="D26" s="254" t="n"/>
      <c r="E26" s="254" t="n"/>
      <c r="F26" s="254" t="n"/>
      <c r="G26" s="254" t="n"/>
      <c r="H26" s="254" t="n"/>
      <c r="I26" s="550" t="n"/>
      <c r="J26" s="254" t="n"/>
      <c r="K26" s="254" t="n"/>
      <c r="L26" s="254" t="n"/>
      <c r="M26" s="254" t="n"/>
      <c r="N26" s="254" t="n"/>
      <c r="O26" s="254" t="n"/>
      <c r="P26" s="255" t="n"/>
    </row>
    <row r="27">
      <c r="A27" s="253" t="n"/>
      <c r="B27" s="254" t="n"/>
      <c r="C27" s="254" t="n"/>
      <c r="D27" s="254" t="n"/>
      <c r="E27" s="254" t="n"/>
      <c r="F27" s="254" t="n"/>
      <c r="G27" s="254" t="n"/>
      <c r="H27" s="254" t="n"/>
      <c r="I27" s="550" t="n"/>
      <c r="J27" s="254" t="n"/>
      <c r="K27" s="254" t="n"/>
      <c r="L27" s="254" t="n"/>
      <c r="M27" s="254" t="n"/>
      <c r="N27" s="254" t="n"/>
      <c r="O27" s="254" t="n"/>
      <c r="P27" s="255" t="n"/>
    </row>
    <row r="28">
      <c r="A28" s="253" t="n"/>
      <c r="B28" s="254" t="n"/>
      <c r="C28" s="254" t="n"/>
      <c r="D28" s="254" t="n"/>
      <c r="E28" s="254" t="n"/>
      <c r="F28" s="254" t="n"/>
      <c r="G28" s="254" t="n"/>
      <c r="H28" s="254" t="n"/>
      <c r="I28" s="550" t="n"/>
      <c r="J28" s="254" t="n"/>
      <c r="K28" s="254" t="n"/>
      <c r="L28" s="254" t="n"/>
      <c r="M28" s="254" t="n"/>
      <c r="N28" s="254" t="n"/>
      <c r="O28" s="254" t="n"/>
      <c r="P28" s="255" t="n"/>
    </row>
    <row r="29">
      <c r="A29" s="253" t="n"/>
      <c r="B29" s="254" t="n"/>
      <c r="C29" s="254" t="n"/>
      <c r="D29" s="254" t="n"/>
      <c r="E29" s="254" t="n"/>
      <c r="F29" s="254" t="n"/>
      <c r="G29" s="254" t="n"/>
      <c r="H29" s="254" t="n"/>
      <c r="I29" s="550" t="n"/>
      <c r="J29" s="254" t="n"/>
      <c r="K29" s="254" t="n"/>
      <c r="L29" s="254" t="n"/>
      <c r="M29" s="254" t="n"/>
      <c r="N29" s="254" t="n"/>
      <c r="O29" s="254" t="n"/>
      <c r="P29" s="255" t="n"/>
    </row>
    <row r="30">
      <c r="A30" s="253" t="n"/>
      <c r="B30" s="254" t="n"/>
      <c r="C30" s="254" t="n"/>
      <c r="D30" s="254" t="n"/>
      <c r="E30" s="254" t="n"/>
      <c r="F30" s="254" t="n"/>
      <c r="G30" s="254" t="n"/>
      <c r="H30" s="254" t="n"/>
      <c r="I30" s="550" t="n"/>
      <c r="J30" s="254" t="n"/>
      <c r="K30" s="254" t="n"/>
      <c r="L30" s="254" t="n"/>
      <c r="M30" s="254" t="n"/>
      <c r="N30" s="254" t="n"/>
      <c r="O30" s="254" t="n"/>
      <c r="P30" s="255" t="n"/>
    </row>
    <row r="31">
      <c r="A31" s="253" t="n"/>
      <c r="B31" s="254" t="n"/>
      <c r="C31" s="254" t="n"/>
      <c r="D31" s="254" t="n"/>
      <c r="E31" s="254" t="n"/>
      <c r="F31" s="254" t="n"/>
      <c r="G31" s="254" t="n"/>
      <c r="H31" s="254" t="n"/>
      <c r="I31" s="550" t="n"/>
      <c r="J31" s="254" t="n"/>
      <c r="K31" s="254" t="n"/>
      <c r="L31" s="254" t="n"/>
      <c r="M31" s="254" t="n"/>
      <c r="N31" s="254" t="n"/>
      <c r="O31" s="254" t="n"/>
      <c r="P31" s="255" t="n"/>
    </row>
    <row r="32">
      <c r="A32" s="253" t="n"/>
      <c r="B32" s="254" t="n"/>
      <c r="C32" s="254" t="n"/>
      <c r="D32" s="254" t="n"/>
      <c r="E32" s="254" t="n"/>
      <c r="F32" s="254" t="n"/>
      <c r="G32" s="254" t="n"/>
      <c r="H32" s="254" t="n"/>
      <c r="I32" s="550" t="n"/>
      <c r="J32" s="254" t="n"/>
      <c r="K32" s="254" t="n"/>
      <c r="L32" s="254" t="n"/>
      <c r="M32" s="254" t="n"/>
      <c r="N32" s="254" t="n"/>
      <c r="O32" s="254" t="n"/>
      <c r="P32" s="255" t="n"/>
    </row>
    <row r="33">
      <c r="A33" s="253" t="n"/>
      <c r="B33" s="254" t="n"/>
      <c r="C33" s="254" t="n"/>
      <c r="D33" s="254" t="n"/>
      <c r="E33" s="254" t="n"/>
      <c r="F33" s="254" t="n"/>
      <c r="G33" s="254" t="n"/>
      <c r="H33" s="254" t="n"/>
      <c r="I33" s="550" t="n"/>
      <c r="J33" s="254" t="n"/>
      <c r="K33" s="254" t="n"/>
      <c r="L33" s="254" t="n"/>
      <c r="M33" s="254" t="n"/>
      <c r="N33" s="254" t="n"/>
      <c r="O33" s="254" t="n"/>
      <c r="P33" s="255" t="n"/>
    </row>
    <row r="34">
      <c r="A34" s="253" t="n"/>
      <c r="B34" s="254" t="n"/>
      <c r="C34" s="254" t="n"/>
      <c r="D34" s="254" t="n"/>
      <c r="E34" s="254" t="n"/>
      <c r="F34" s="254" t="n"/>
      <c r="G34" s="254" t="n"/>
      <c r="H34" s="254" t="n"/>
      <c r="I34" s="550" t="n"/>
      <c r="J34" s="254" t="n"/>
      <c r="K34" s="254" t="n"/>
      <c r="L34" s="254" t="n"/>
      <c r="M34" s="254" t="n"/>
      <c r="N34" s="254" t="n"/>
      <c r="O34" s="254" t="n"/>
      <c r="P34" s="255" t="n"/>
    </row>
    <row r="35">
      <c r="A35" s="253" t="n"/>
      <c r="B35" s="254" t="n"/>
      <c r="C35" s="254" t="n"/>
      <c r="D35" s="254" t="n"/>
      <c r="E35" s="254" t="n"/>
      <c r="F35" s="254" t="n"/>
      <c r="G35" s="254" t="n"/>
      <c r="H35" s="254" t="n"/>
      <c r="I35" s="550" t="n"/>
      <c r="J35" s="254" t="n"/>
      <c r="K35" s="254" t="n"/>
      <c r="L35" s="254" t="n"/>
      <c r="M35" s="254" t="n"/>
      <c r="N35" s="254" t="n"/>
      <c r="O35" s="254" t="n"/>
      <c r="P35" s="255" t="n"/>
    </row>
    <row r="36">
      <c r="A36" s="253" t="n"/>
      <c r="B36" s="254" t="n"/>
      <c r="C36" s="254" t="n"/>
      <c r="D36" s="254" t="n"/>
      <c r="E36" s="254" t="n"/>
      <c r="F36" s="254" t="n"/>
      <c r="G36" s="254" t="n"/>
      <c r="H36" s="254" t="n"/>
      <c r="I36" s="550" t="n"/>
      <c r="J36" s="254" t="n"/>
      <c r="K36" s="254" t="n"/>
      <c r="L36" s="254" t="n"/>
      <c r="M36" s="254" t="n"/>
      <c r="N36" s="254" t="n"/>
      <c r="O36" s="254" t="n"/>
      <c r="P36" s="255" t="n"/>
    </row>
    <row r="37">
      <c r="A37" s="253" t="n"/>
      <c r="B37" s="254" t="n"/>
      <c r="C37" s="254" t="n"/>
      <c r="D37" s="254" t="n"/>
      <c r="E37" s="254" t="n"/>
      <c r="F37" s="254" t="n"/>
      <c r="G37" s="254" t="n"/>
      <c r="H37" s="254" t="n"/>
      <c r="I37" s="550" t="n"/>
      <c r="J37" s="254" t="n"/>
      <c r="K37" s="254" t="n"/>
      <c r="L37" s="254" t="n"/>
      <c r="M37" s="254" t="n"/>
      <c r="N37" s="254" t="n"/>
      <c r="O37" s="254" t="n"/>
      <c r="P37" s="255" t="n"/>
    </row>
    <row r="38">
      <c r="A38" s="253" t="n"/>
      <c r="B38" s="254" t="n"/>
      <c r="C38" s="254" t="n"/>
      <c r="D38" s="254" t="n"/>
      <c r="E38" s="254" t="n"/>
      <c r="F38" s="254" t="n"/>
      <c r="G38" s="254" t="n"/>
      <c r="H38" s="254" t="n"/>
      <c r="I38" s="550" t="n"/>
      <c r="J38" s="254" t="n"/>
      <c r="K38" s="254" t="n"/>
      <c r="L38" s="254" t="n"/>
      <c r="M38" s="254" t="n"/>
      <c r="N38" s="254" t="n"/>
      <c r="O38" s="254" t="n"/>
      <c r="P38" s="255" t="n"/>
    </row>
    <row r="39">
      <c r="A39" s="253" t="n"/>
      <c r="B39" s="254" t="n"/>
      <c r="C39" s="254" t="n"/>
      <c r="D39" s="254" t="n"/>
      <c r="E39" s="254" t="n"/>
      <c r="F39" s="254" t="n"/>
      <c r="G39" s="254" t="n"/>
      <c r="H39" s="254" t="n"/>
      <c r="I39" s="550" t="n"/>
      <c r="J39" s="254" t="n"/>
      <c r="K39" s="254" t="n"/>
      <c r="L39" s="254" t="n"/>
      <c r="M39" s="254" t="n"/>
      <c r="N39" s="254" t="n"/>
      <c r="O39" s="254" t="n"/>
      <c r="P39" s="255" t="n"/>
    </row>
    <row r="40">
      <c r="A40" s="253" t="n"/>
      <c r="B40" s="254" t="n"/>
      <c r="C40" s="254" t="n"/>
      <c r="D40" s="254" t="n"/>
      <c r="E40" s="254" t="n"/>
      <c r="F40" s="254" t="n"/>
      <c r="G40" s="254" t="n"/>
      <c r="H40" s="254" t="n"/>
      <c r="I40" s="550" t="n"/>
      <c r="J40" s="254" t="n"/>
      <c r="K40" s="254" t="n"/>
      <c r="L40" s="254" t="n"/>
      <c r="M40" s="254" t="n"/>
      <c r="N40" s="254" t="n"/>
      <c r="O40" s="254" t="n"/>
      <c r="P40" s="255" t="n"/>
    </row>
    <row r="41">
      <c r="A41" s="253" t="n"/>
      <c r="B41" s="254" t="n"/>
      <c r="C41" s="254" t="n"/>
      <c r="D41" s="254" t="n"/>
      <c r="E41" s="254" t="n"/>
      <c r="F41" s="254" t="n"/>
      <c r="G41" s="254" t="n"/>
      <c r="H41" s="254" t="n"/>
      <c r="I41" s="550" t="n"/>
      <c r="J41" s="254" t="n"/>
      <c r="K41" s="254" t="n"/>
      <c r="L41" s="254" t="n"/>
      <c r="M41" s="254" t="n"/>
      <c r="N41" s="254" t="n"/>
      <c r="O41" s="254" t="n"/>
      <c r="P41" s="255" t="n"/>
    </row>
    <row r="42">
      <c r="A42" s="253" t="n"/>
      <c r="B42" s="254" t="n"/>
      <c r="C42" s="254" t="n"/>
      <c r="D42" s="254" t="n"/>
      <c r="E42" s="254" t="n"/>
      <c r="F42" s="254" t="n"/>
      <c r="G42" s="254" t="n"/>
      <c r="H42" s="254" t="n"/>
      <c r="I42" s="550" t="n"/>
      <c r="J42" s="254" t="n"/>
      <c r="K42" s="254" t="n"/>
      <c r="L42" s="254" t="n"/>
      <c r="M42" s="254" t="n"/>
      <c r="N42" s="254" t="n"/>
      <c r="O42" s="254" t="n"/>
      <c r="P42" s="255" t="n"/>
    </row>
    <row r="43">
      <c r="A43" s="253" t="n"/>
      <c r="B43" s="254" t="n"/>
      <c r="C43" s="254" t="n"/>
      <c r="D43" s="254" t="n"/>
      <c r="E43" s="254" t="n"/>
      <c r="F43" s="254" t="n"/>
      <c r="G43" s="254" t="n"/>
      <c r="H43" s="254" t="n"/>
      <c r="I43" s="550" t="n"/>
      <c r="J43" s="254" t="n"/>
      <c r="K43" s="254" t="n"/>
      <c r="L43" s="254" t="n"/>
      <c r="M43" s="254" t="n"/>
      <c r="N43" s="254" t="n"/>
      <c r="O43" s="254" t="n"/>
      <c r="P43" s="255" t="n"/>
    </row>
    <row r="44">
      <c r="A44" s="253" t="n"/>
      <c r="B44" s="254" t="n"/>
      <c r="C44" s="254" t="n"/>
      <c r="D44" s="254" t="n"/>
      <c r="E44" s="254" t="n"/>
      <c r="F44" s="254" t="n"/>
      <c r="G44" s="254" t="n"/>
      <c r="H44" s="254" t="n"/>
      <c r="I44" s="550" t="n"/>
      <c r="J44" s="254" t="n"/>
      <c r="K44" s="254" t="n"/>
      <c r="L44" s="254" t="n"/>
      <c r="M44" s="254" t="n"/>
      <c r="N44" s="254" t="n"/>
      <c r="O44" s="254" t="n"/>
      <c r="P44" s="255" t="n"/>
    </row>
    <row r="45">
      <c r="A45" s="253" t="n"/>
      <c r="B45" s="254" t="n"/>
      <c r="C45" s="254" t="n"/>
      <c r="D45" s="254" t="n"/>
      <c r="E45" s="254" t="n"/>
      <c r="F45" s="254" t="n"/>
      <c r="G45" s="254" t="n"/>
      <c r="H45" s="254" t="n"/>
      <c r="I45" s="550" t="n"/>
      <c r="J45" s="254" t="n"/>
      <c r="K45" s="254" t="n"/>
      <c r="L45" s="254" t="n"/>
      <c r="M45" s="254" t="n"/>
      <c r="N45" s="254" t="n"/>
      <c r="O45" s="254" t="n"/>
      <c r="P45" s="255" t="n"/>
    </row>
    <row r="46">
      <c r="A46" s="253" t="n"/>
      <c r="B46" s="254" t="n"/>
      <c r="C46" s="254" t="n"/>
      <c r="D46" s="254" t="n"/>
      <c r="E46" s="254" t="n"/>
      <c r="F46" s="254" t="n"/>
      <c r="G46" s="254" t="n"/>
      <c r="H46" s="254" t="n"/>
      <c r="I46" s="550" t="n"/>
      <c r="J46" s="254" t="n"/>
      <c r="K46" s="254" t="n"/>
      <c r="L46" s="254" t="n"/>
      <c r="M46" s="254" t="n"/>
      <c r="N46" s="254" t="n"/>
      <c r="O46" s="254" t="n"/>
      <c r="P46" s="255" t="n"/>
    </row>
    <row r="47">
      <c r="A47" s="253" t="n"/>
      <c r="B47" s="254" t="n"/>
      <c r="C47" s="254" t="n"/>
      <c r="D47" s="254" t="n"/>
      <c r="E47" s="254" t="n"/>
      <c r="F47" s="254" t="n"/>
      <c r="G47" s="254" t="n"/>
      <c r="H47" s="254" t="n"/>
      <c r="I47" s="550" t="n"/>
      <c r="J47" s="254" t="n"/>
      <c r="K47" s="254" t="n"/>
      <c r="L47" s="254" t="n"/>
      <c r="M47" s="254" t="n"/>
      <c r="N47" s="254" t="n"/>
      <c r="O47" s="254" t="n"/>
      <c r="P47" s="255" t="n"/>
    </row>
    <row r="48">
      <c r="A48" s="253" t="n"/>
      <c r="B48" s="254" t="n"/>
      <c r="C48" s="254" t="n"/>
      <c r="D48" s="254" t="n"/>
      <c r="E48" s="254" t="n"/>
      <c r="F48" s="254" t="n"/>
      <c r="G48" s="254" t="n"/>
      <c r="H48" s="254" t="n"/>
      <c r="I48" s="550" t="n"/>
      <c r="J48" s="254" t="n"/>
      <c r="K48" s="254" t="n"/>
      <c r="L48" s="254" t="n"/>
      <c r="M48" s="254" t="n"/>
      <c r="N48" s="254" t="n"/>
      <c r="O48" s="254" t="n"/>
      <c r="P48" s="255" t="n"/>
    </row>
    <row r="49">
      <c r="A49" s="253" t="n"/>
      <c r="B49" s="254" t="n"/>
      <c r="C49" s="254" t="n"/>
      <c r="D49" s="254" t="n"/>
      <c r="E49" s="254" t="n"/>
      <c r="F49" s="254" t="n"/>
      <c r="G49" s="254" t="n"/>
      <c r="H49" s="254" t="n"/>
      <c r="I49" s="550" t="n"/>
      <c r="J49" s="254" t="n"/>
      <c r="K49" s="254" t="n"/>
      <c r="L49" s="254" t="n"/>
      <c r="M49" s="254" t="n"/>
      <c r="N49" s="254" t="n"/>
      <c r="O49" s="254" t="n"/>
      <c r="P49" s="255" t="n"/>
    </row>
    <row r="50">
      <c r="A50" s="253" t="n"/>
      <c r="B50" s="254" t="n"/>
      <c r="C50" s="254" t="n"/>
      <c r="D50" s="254" t="n"/>
      <c r="E50" s="254" t="n"/>
      <c r="F50" s="254" t="n"/>
      <c r="G50" s="254" t="n"/>
      <c r="H50" s="254" t="n"/>
      <c r="I50" s="550" t="n"/>
      <c r="J50" s="254" t="n"/>
      <c r="K50" s="254" t="n"/>
      <c r="L50" s="254" t="n"/>
      <c r="M50" s="254" t="n"/>
      <c r="N50" s="254" t="n"/>
      <c r="O50" s="254" t="n"/>
      <c r="P50" s="255" t="n"/>
    </row>
    <row r="51">
      <c r="A51" s="253" t="n"/>
      <c r="B51" s="254" t="n"/>
      <c r="C51" s="254" t="n"/>
      <c r="D51" s="254" t="n"/>
      <c r="E51" s="254" t="n"/>
      <c r="F51" s="254" t="n"/>
      <c r="G51" s="254" t="n"/>
      <c r="H51" s="254" t="n"/>
      <c r="I51" s="550" t="n"/>
      <c r="J51" s="254" t="n"/>
      <c r="K51" s="254" t="n"/>
      <c r="L51" s="254" t="n"/>
      <c r="M51" s="254" t="n"/>
      <c r="N51" s="254" t="n"/>
      <c r="O51" s="254" t="n"/>
      <c r="P51" s="255" t="n"/>
    </row>
    <row r="52">
      <c r="A52" s="253" t="n"/>
      <c r="B52" s="254" t="n"/>
      <c r="C52" s="254" t="n"/>
      <c r="D52" s="254" t="n"/>
      <c r="E52" s="254" t="n"/>
      <c r="F52" s="254" t="n"/>
      <c r="G52" s="254" t="n"/>
      <c r="H52" s="254" t="n"/>
      <c r="I52" s="550" t="n"/>
      <c r="J52" s="254" t="n"/>
      <c r="K52" s="254" t="n"/>
      <c r="L52" s="254" t="n"/>
      <c r="M52" s="254" t="n"/>
      <c r="N52" s="254" t="n"/>
      <c r="O52" s="254" t="n"/>
      <c r="P52" s="255" t="n"/>
    </row>
    <row r="53">
      <c r="A53" s="253" t="n"/>
      <c r="B53" s="254" t="n"/>
      <c r="C53" s="254" t="n"/>
      <c r="D53" s="254" t="n"/>
      <c r="E53" s="254" t="n"/>
      <c r="F53" s="254" t="n"/>
      <c r="G53" s="254" t="n"/>
      <c r="H53" s="254" t="n"/>
      <c r="I53" s="550" t="n"/>
      <c r="J53" s="254" t="n"/>
      <c r="K53" s="254" t="n"/>
      <c r="L53" s="254" t="n"/>
      <c r="M53" s="254" t="n"/>
      <c r="N53" s="254" t="n"/>
      <c r="O53" s="254" t="n"/>
      <c r="P53" s="255" t="n"/>
    </row>
    <row r="54">
      <c r="A54" s="253" t="n"/>
      <c r="B54" s="254" t="n"/>
      <c r="C54" s="254" t="n"/>
      <c r="D54" s="254" t="n"/>
      <c r="E54" s="254" t="n"/>
      <c r="F54" s="254" t="n"/>
      <c r="G54" s="254" t="n"/>
      <c r="H54" s="254" t="n"/>
      <c r="I54" s="550" t="n"/>
      <c r="J54" s="254" t="n"/>
      <c r="K54" s="254" t="n"/>
      <c r="L54" s="254" t="n"/>
      <c r="M54" s="254" t="n"/>
      <c r="N54" s="254" t="n"/>
      <c r="O54" s="254" t="n"/>
      <c r="P54" s="255" t="n"/>
    </row>
    <row r="55">
      <c r="A55" s="253" t="n"/>
      <c r="B55" s="254" t="n"/>
      <c r="C55" s="254" t="n"/>
      <c r="D55" s="254" t="n"/>
      <c r="E55" s="254" t="n"/>
      <c r="F55" s="254" t="n"/>
      <c r="G55" s="254" t="n"/>
      <c r="H55" s="254" t="n"/>
      <c r="I55" s="550" t="n"/>
      <c r="J55" s="254" t="n"/>
      <c r="K55" s="254" t="n"/>
      <c r="L55" s="254" t="n"/>
      <c r="M55" s="254" t="n"/>
      <c r="N55" s="254" t="n"/>
      <c r="O55" s="254" t="n"/>
      <c r="P55" s="255" t="n"/>
    </row>
    <row r="56">
      <c r="A56" s="253" t="n"/>
      <c r="B56" s="254" t="n"/>
      <c r="C56" s="254" t="n"/>
      <c r="D56" s="254" t="n"/>
      <c r="E56" s="254" t="n"/>
      <c r="F56" s="254" t="n"/>
      <c r="G56" s="254" t="n"/>
      <c r="H56" s="254" t="n"/>
      <c r="I56" s="550" t="n"/>
      <c r="J56" s="254" t="n"/>
      <c r="K56" s="254" t="n"/>
      <c r="L56" s="254" t="n"/>
      <c r="M56" s="254" t="n"/>
      <c r="N56" s="254" t="n"/>
      <c r="O56" s="254" t="n"/>
      <c r="P56" s="255" t="n"/>
    </row>
    <row r="57">
      <c r="A57" s="253" t="n"/>
      <c r="B57" s="254" t="n"/>
      <c r="C57" s="254" t="n"/>
      <c r="D57" s="254" t="n"/>
      <c r="E57" s="254" t="n"/>
      <c r="F57" s="254" t="n"/>
      <c r="G57" s="254" t="n"/>
      <c r="H57" s="254" t="n"/>
      <c r="I57" s="550" t="n"/>
      <c r="J57" s="254" t="n"/>
      <c r="K57" s="254" t="n"/>
      <c r="L57" s="254" t="n"/>
      <c r="M57" s="254" t="n"/>
      <c r="N57" s="254" t="n"/>
      <c r="O57" s="254" t="n"/>
      <c r="P57" s="255" t="n"/>
    </row>
    <row r="58">
      <c r="A58" s="253" t="n"/>
      <c r="B58" s="254" t="n"/>
      <c r="C58" s="254" t="n"/>
      <c r="D58" s="254" t="n"/>
      <c r="E58" s="254" t="n"/>
      <c r="F58" s="254" t="n"/>
      <c r="G58" s="254" t="n"/>
      <c r="H58" s="254" t="n"/>
      <c r="I58" s="550" t="n"/>
      <c r="J58" s="254" t="n"/>
      <c r="K58" s="254" t="n"/>
      <c r="L58" s="254" t="n"/>
      <c r="M58" s="254" t="n"/>
      <c r="N58" s="254" t="n"/>
      <c r="O58" s="254" t="n"/>
      <c r="P58" s="255" t="n"/>
    </row>
    <row r="59">
      <c r="A59" s="253" t="n"/>
      <c r="B59" s="254" t="n"/>
      <c r="C59" s="254" t="n"/>
      <c r="D59" s="254" t="n"/>
      <c r="E59" s="254" t="n"/>
      <c r="F59" s="254" t="n"/>
      <c r="G59" s="254" t="n"/>
      <c r="H59" s="254" t="n"/>
      <c r="I59" s="550" t="n"/>
      <c r="J59" s="254" t="n"/>
      <c r="K59" s="254" t="n"/>
      <c r="L59" s="254" t="n"/>
      <c r="M59" s="254" t="n"/>
      <c r="N59" s="254" t="n"/>
      <c r="O59" s="254" t="n"/>
      <c r="P59" s="255" t="n"/>
    </row>
    <row r="60">
      <c r="A60" s="256" t="n"/>
      <c r="B60" s="257" t="n"/>
      <c r="C60" s="257" t="n"/>
      <c r="D60" s="257" t="n"/>
      <c r="E60" s="257" t="n"/>
      <c r="F60" s="257" t="n"/>
      <c r="G60" s="257" t="n"/>
      <c r="H60" s="257" t="n"/>
      <c r="I60" s="550" t="n"/>
      <c r="J60" s="257" t="n"/>
      <c r="K60" s="257" t="n"/>
      <c r="L60" s="257" t="n"/>
      <c r="M60" s="257" t="n"/>
      <c r="N60" s="257" t="n"/>
      <c r="O60" s="257" t="n"/>
      <c r="P60" s="258" t="n"/>
    </row>
    <row r="61">
      <c r="I61" s="551" t="n"/>
    </row>
    <row r="62">
      <c r="I62" s="551" t="n"/>
    </row>
    <row r="63">
      <c r="I63" s="551" t="n"/>
    </row>
    <row r="64">
      <c r="I64" s="551" t="n"/>
    </row>
    <row r="65">
      <c r="I65" s="551" t="n"/>
    </row>
    <row r="66">
      <c r="I66" s="551" t="n"/>
    </row>
    <row r="67">
      <c r="I67" s="551" t="n"/>
    </row>
    <row r="68">
      <c r="I68" s="551" t="n"/>
    </row>
    <row r="69">
      <c r="I69" s="551" t="n"/>
    </row>
    <row r="70">
      <c r="I70" s="551" t="n"/>
    </row>
    <row r="71">
      <c r="I71" s="551" t="n"/>
    </row>
    <row r="72">
      <c r="I72" s="551" t="n"/>
    </row>
    <row r="73">
      <c r="I73" s="551" t="n"/>
    </row>
    <row r="74">
      <c r="I74" s="551" t="n"/>
    </row>
    <row r="75">
      <c r="I75" s="551" t="n"/>
    </row>
    <row r="76">
      <c r="I76" s="551" t="n"/>
    </row>
    <row r="77">
      <c r="I77" s="551" t="n"/>
    </row>
    <row r="78">
      <c r="I78" s="551" t="n"/>
    </row>
    <row r="79">
      <c r="I79" s="551" t="n"/>
    </row>
    <row r="80">
      <c r="I80" s="551" t="n"/>
    </row>
    <row r="81">
      <c r="I81" s="551" t="n"/>
    </row>
    <row r="82">
      <c r="I82" s="551" t="n"/>
    </row>
    <row r="83">
      <c r="I83" s="551" t="n"/>
    </row>
    <row r="84">
      <c r="I84" s="551" t="n"/>
    </row>
    <row r="85">
      <c r="I85" s="551" t="n"/>
    </row>
    <row r="86">
      <c r="I86" s="551" t="n"/>
    </row>
    <row r="87">
      <c r="I87" s="551" t="n"/>
    </row>
    <row r="88">
      <c r="I88" s="551" t="n"/>
    </row>
    <row r="89">
      <c r="I89" s="551" t="n"/>
    </row>
    <row r="90">
      <c r="I90" s="551" t="n"/>
    </row>
    <row r="91">
      <c r="I91" s="551" t="n"/>
    </row>
    <row r="92">
      <c r="I92" s="551" t="n"/>
    </row>
    <row r="93">
      <c r="I93" s="551" t="n"/>
    </row>
    <row r="94">
      <c r="I94" s="551" t="n"/>
    </row>
    <row r="95">
      <c r="I95" s="551" t="n"/>
    </row>
    <row r="96">
      <c r="I96" s="551" t="n"/>
    </row>
    <row r="97">
      <c r="I97" s="551" t="n"/>
    </row>
    <row r="98">
      <c r="I98" s="551" t="n"/>
    </row>
    <row r="99">
      <c r="I99" s="551" t="n"/>
    </row>
    <row r="100">
      <c r="I100" s="551" t="n"/>
    </row>
    <row r="101">
      <c r="I101" s="551" t="n"/>
    </row>
    <row r="102">
      <c r="I102" s="551" t="n"/>
    </row>
    <row r="103">
      <c r="I103" s="551" t="n"/>
    </row>
    <row r="104">
      <c r="I104" s="551" t="n"/>
    </row>
    <row r="105">
      <c r="I105" s="551" t="n"/>
    </row>
    <row r="106">
      <c r="I106" s="551" t="n"/>
    </row>
    <row r="107">
      <c r="I107" s="551" t="n"/>
    </row>
    <row r="108">
      <c r="I108" s="551" t="n"/>
    </row>
    <row r="109">
      <c r="I109" s="551" t="n"/>
    </row>
    <row r="110">
      <c r="I110" s="551" t="n"/>
    </row>
    <row r="111">
      <c r="I111" s="551" t="n"/>
    </row>
    <row r="112">
      <c r="I112" s="551" t="n"/>
    </row>
    <row r="113">
      <c r="I113" s="551" t="n"/>
    </row>
    <row r="114">
      <c r="I114" s="551" t="n"/>
    </row>
    <row r="115">
      <c r="I115" s="551" t="n"/>
    </row>
    <row r="116">
      <c r="I116" s="551" t="n"/>
    </row>
    <row r="117">
      <c r="I117" s="551" t="n"/>
    </row>
    <row r="118">
      <c r="I118" s="551" t="n"/>
    </row>
    <row r="119">
      <c r="I119" s="551" t="n"/>
    </row>
    <row r="120">
      <c r="I120" s="551" t="n"/>
    </row>
    <row r="121">
      <c r="I121" s="551" t="n"/>
    </row>
    <row r="122">
      <c r="I122" s="551" t="n"/>
    </row>
    <row r="123">
      <c r="I123" s="551" t="n"/>
    </row>
    <row r="124">
      <c r="I124" s="551" t="n"/>
    </row>
    <row r="125">
      <c r="I125" s="551" t="n"/>
    </row>
    <row r="126">
      <c r="I126" s="551" t="n"/>
    </row>
    <row r="127">
      <c r="I127" s="551" t="n"/>
    </row>
    <row r="128">
      <c r="I128" s="551" t="n"/>
    </row>
    <row r="129">
      <c r="I129" s="551" t="n"/>
    </row>
    <row r="130">
      <c r="I130" s="551" t="n"/>
    </row>
    <row r="131">
      <c r="I131" s="551" t="n"/>
    </row>
    <row r="132">
      <c r="I132" s="551" t="n"/>
    </row>
    <row r="133">
      <c r="I133" s="551" t="n"/>
    </row>
    <row r="134">
      <c r="I134" s="551" t="n"/>
    </row>
    <row r="135">
      <c r="I135" s="551" t="n"/>
    </row>
    <row r="136">
      <c r="I136" s="551" t="n"/>
    </row>
    <row r="137">
      <c r="I137" s="551" t="n"/>
    </row>
    <row r="138">
      <c r="I138" s="551" t="n"/>
    </row>
    <row r="139">
      <c r="I139" s="551" t="n"/>
    </row>
    <row r="140">
      <c r="I140" s="551" t="n"/>
    </row>
    <row r="141">
      <c r="I141" s="551" t="n"/>
    </row>
    <row r="142">
      <c r="I142" s="551" t="n"/>
    </row>
    <row r="143">
      <c r="I143" s="551" t="n"/>
    </row>
    <row r="144">
      <c r="I144" s="551" t="n"/>
    </row>
    <row r="145">
      <c r="I145" s="551" t="n"/>
    </row>
    <row r="146">
      <c r="I146" s="551" t="n"/>
    </row>
    <row r="147">
      <c r="I147" s="551" t="n"/>
    </row>
    <row r="148">
      <c r="I148" s="551" t="n"/>
    </row>
    <row r="149">
      <c r="I149" s="551" t="n"/>
    </row>
    <row r="150">
      <c r="I150" s="551" t="n"/>
    </row>
    <row r="151">
      <c r="I151" s="551" t="n"/>
    </row>
    <row r="152">
      <c r="I152" s="551" t="n"/>
    </row>
    <row r="153">
      <c r="I153" s="551" t="n"/>
    </row>
    <row r="154">
      <c r="I154" s="551" t="n"/>
    </row>
    <row r="155">
      <c r="I155" s="551" t="n"/>
    </row>
    <row r="156">
      <c r="I156" s="551" t="n"/>
    </row>
    <row r="157">
      <c r="I157" s="551" t="n"/>
    </row>
    <row r="158">
      <c r="I158" s="551" t="n"/>
    </row>
    <row r="159">
      <c r="I159" s="551" t="n"/>
    </row>
    <row r="160">
      <c r="I160" s="551" t="n"/>
    </row>
    <row r="161">
      <c r="I161" s="551" t="n"/>
    </row>
    <row r="162">
      <c r="I162" s="551" t="n"/>
    </row>
    <row r="163">
      <c r="I163" s="551" t="n"/>
    </row>
    <row r="164">
      <c r="I164" s="551" t="n"/>
    </row>
    <row r="165">
      <c r="I165" s="551" t="n"/>
    </row>
    <row r="166">
      <c r="I166" s="551" t="n"/>
    </row>
    <row r="167">
      <c r="I167" s="551" t="n"/>
    </row>
    <row r="168">
      <c r="I168" s="551" t="n"/>
    </row>
    <row r="169">
      <c r="I169" s="551" t="n"/>
    </row>
    <row r="170">
      <c r="I170" s="551" t="n"/>
    </row>
    <row r="171">
      <c r="I171" s="551" t="n"/>
    </row>
    <row r="172">
      <c r="I172" s="551" t="n"/>
    </row>
    <row r="173">
      <c r="I173" s="551" t="n"/>
    </row>
    <row r="174">
      <c r="I174" s="551" t="n"/>
    </row>
    <row r="175">
      <c r="I175" s="551" t="n"/>
    </row>
    <row r="176">
      <c r="I176" s="551" t="n"/>
    </row>
    <row r="177">
      <c r="I177" s="551" t="n"/>
    </row>
    <row r="178">
      <c r="I178" s="551" t="n"/>
    </row>
    <row r="179">
      <c r="I179" s="551" t="n"/>
    </row>
    <row r="180">
      <c r="I180" s="551" t="n"/>
    </row>
    <row r="181">
      <c r="I181" s="551" t="n"/>
    </row>
    <row r="182">
      <c r="I182" s="551" t="n"/>
    </row>
    <row r="183">
      <c r="I183" s="551" t="n"/>
    </row>
    <row r="184">
      <c r="I184" s="551" t="n"/>
    </row>
    <row r="185">
      <c r="I185" s="551" t="n"/>
    </row>
    <row r="186">
      <c r="I186" s="551" t="n"/>
    </row>
    <row r="187">
      <c r="I187" s="551" t="n"/>
    </row>
    <row r="188">
      <c r="I188" s="551" t="n"/>
    </row>
    <row r="189">
      <c r="I189" s="551" t="n"/>
    </row>
    <row r="190">
      <c r="I190" s="551" t="n"/>
    </row>
    <row r="191">
      <c r="I191" s="551" t="n"/>
    </row>
    <row r="192">
      <c r="I192" s="551" t="n"/>
    </row>
    <row r="193">
      <c r="I193" s="551" t="n"/>
    </row>
    <row r="194">
      <c r="I194" s="551" t="n"/>
    </row>
    <row r="195">
      <c r="I195" s="551" t="n"/>
    </row>
    <row r="196">
      <c r="I196" s="551" t="n"/>
    </row>
    <row r="197">
      <c r="I197" s="551" t="n"/>
    </row>
    <row r="198">
      <c r="I198" s="551" t="n"/>
    </row>
    <row r="199">
      <c r="I199" s="551" t="n"/>
    </row>
    <row r="200">
      <c r="I200" s="551" t="n"/>
    </row>
    <row r="201">
      <c r="I201" s="551" t="n"/>
    </row>
    <row r="202">
      <c r="I202" s="551" t="n"/>
    </row>
    <row r="203">
      <c r="I203" s="551" t="n"/>
    </row>
    <row r="204">
      <c r="I204" s="551" t="n"/>
    </row>
    <row r="205">
      <c r="I205" s="551" t="n"/>
    </row>
    <row r="206">
      <c r="I206" s="551" t="n"/>
    </row>
    <row r="207">
      <c r="I207" s="551" t="n"/>
    </row>
    <row r="208">
      <c r="I208" s="551" t="n"/>
    </row>
    <row r="209">
      <c r="I209" s="551" t="n"/>
    </row>
    <row r="210">
      <c r="I210" s="551" t="n"/>
    </row>
    <row r="211">
      <c r="I211" s="551" t="n"/>
    </row>
    <row r="212">
      <c r="I212" s="551" t="n"/>
    </row>
    <row r="213">
      <c r="I213" s="551" t="n"/>
    </row>
    <row r="214">
      <c r="I214" s="551" t="n"/>
    </row>
    <row r="215">
      <c r="I215" s="551" t="n"/>
    </row>
    <row r="216">
      <c r="I216" s="551" t="n"/>
    </row>
    <row r="217">
      <c r="I217" s="551" t="n"/>
    </row>
    <row r="218">
      <c r="I218" s="551" t="n"/>
    </row>
    <row r="219">
      <c r="I219" s="551" t="n"/>
    </row>
    <row r="220">
      <c r="I220" s="551" t="n"/>
    </row>
    <row r="221">
      <c r="I221" s="551" t="n"/>
    </row>
    <row r="222">
      <c r="I222" s="551" t="n"/>
    </row>
    <row r="223">
      <c r="I223" s="551" t="n"/>
    </row>
    <row r="224">
      <c r="I224" s="551" t="n"/>
    </row>
    <row r="225">
      <c r="I225" s="551" t="n"/>
    </row>
    <row r="226">
      <c r="I226" s="551" t="n"/>
    </row>
    <row r="227">
      <c r="I227" s="551" t="n"/>
    </row>
    <row r="228">
      <c r="I228" s="551" t="n"/>
    </row>
    <row r="229">
      <c r="I229" s="551" t="n"/>
    </row>
    <row r="230">
      <c r="I230" s="551" t="n"/>
    </row>
    <row r="231">
      <c r="I231" s="551" t="n"/>
    </row>
    <row r="232">
      <c r="I232" s="551" t="n"/>
    </row>
    <row r="233">
      <c r="I233" s="551" t="n"/>
    </row>
    <row r="234">
      <c r="I234" s="551" t="n"/>
    </row>
    <row r="235">
      <c r="I235" s="551" t="n"/>
    </row>
    <row r="236">
      <c r="I236" s="551" t="n"/>
    </row>
    <row r="237">
      <c r="I237" s="551" t="n"/>
    </row>
    <row r="238">
      <c r="I238" s="551" t="n"/>
    </row>
    <row r="239">
      <c r="I239" s="551" t="n"/>
    </row>
    <row r="240">
      <c r="I240" s="551" t="n"/>
    </row>
    <row r="241">
      <c r="I241" s="551" t="n"/>
    </row>
    <row r="242">
      <c r="I242" s="551" t="n"/>
    </row>
    <row r="243">
      <c r="I243" s="551" t="n"/>
    </row>
    <row r="244">
      <c r="I244" s="551" t="n"/>
    </row>
    <row r="245">
      <c r="I245" s="551" t="n"/>
    </row>
    <row r="246">
      <c r="I246" s="551" t="n"/>
    </row>
    <row r="247">
      <c r="I247" s="551" t="n"/>
    </row>
    <row r="248">
      <c r="I248" s="551" t="n"/>
    </row>
    <row r="249">
      <c r="I249" s="551" t="n"/>
    </row>
    <row r="250">
      <c r="I250" s="551" t="n"/>
    </row>
  </sheetData>
  <mergeCells count="2">
    <mergeCell ref="A1:P1"/>
    <mergeCell ref="A2:P2"/>
  </mergeCells>
  <dataValidations count="10">
    <dataValidation sqref="E5:E60" showDropDown="0" showInputMessage="0" showErrorMessage="1" allowBlank="0" errorTitle="Invalid deposit decision layer" error="Select an exact controlled value from the Vocabulary sheet." type="list" errorStyle="stop">
      <formula1>INDIRECT("Vocabulary!$AH$5:$AH$9")</formula1>
    </dataValidation>
    <dataValidation sqref="H5:H60" showDropDown="0" showInputMessage="0" showErrorMessage="1" allowBlank="0" errorTitle="Invalid deposit confidence" error="Select an exact controlled value from the Vocabulary sheet." type="list" errorStyle="stop">
      <formula1>INDIRECT("Vocabulary!$AI$5:$AI$8")</formula1>
    </dataValidation>
    <dataValidation sqref="M5:M60" showDropDown="0" showInputMessage="0" showErrorMessage="1" allowBlank="0" errorTitle="Invalid immutability status" error="Select an exact controlled value from the Vocabulary sheet." type="list" errorStyle="stop">
      <formula1>INDIRECT("Vocabulary!$AP$5:$AP$7")</formula1>
    </dataValidation>
    <dataValidation sqref="P5:P60" showDropDown="0" showInputMessage="0" showErrorMessage="1" allowBlank="0" errorTitle="Invalid deposit status" error="Select an exact controlled value from the Vocabulary sheet." type="list" errorStyle="stop">
      <formula1>INDIRECT("Vocabulary!$AJ$5:$AJ$9")</formula1>
    </dataValidation>
    <dataValidation sqref="O5:O60" showDropDown="0" showInputMessage="0" showErrorMessage="1" allowBlank="0" errorTitle="Invalid AI-assistance disclosure" error="Select an exact controlled value from the Vocabulary sheet." type="list" errorStyle="stop">
      <formula1>INDIRECT("Vocabulary!$AQ$5:$AQ$9")</formula1>
    </dataValidation>
    <dataValidation sqref="E5:E250" showDropDown="0" showInputMessage="0" showErrorMessage="1" allowBlank="0" errorTitle="Invalid deposit decision layer" error="Select an exact controlled value from the Vocabulary sheet." type="list" errorStyle="stop">
      <formula1>INDIRECT("Vocabulary!$AH$5:$AH$9")</formula1>
    </dataValidation>
    <dataValidation sqref="H5:H250" showDropDown="0" showInputMessage="0" showErrorMessage="1" allowBlank="0" errorTitle="Invalid deposit confidence" error="Select an exact controlled value from the Vocabulary sheet." type="list" errorStyle="stop">
      <formula1>INDIRECT("Vocabulary!$AI$5:$AI$8")</formula1>
    </dataValidation>
    <dataValidation sqref="M5:M250" showDropDown="0" showInputMessage="0" showErrorMessage="1" allowBlank="0" errorTitle="Invalid immutability status" error="Select an exact controlled value from the Vocabulary sheet." type="list" errorStyle="stop">
      <formula1>INDIRECT("Vocabulary!$AP$5:$AP$7")</formula1>
    </dataValidation>
    <dataValidation sqref="O5:O250" showDropDown="0" showInputMessage="0" showErrorMessage="1" allowBlank="0" errorTitle="Invalid AI-assistance disclosure" error="Select an exact controlled value from the Vocabulary sheet." type="list" errorStyle="stop">
      <formula1>INDIRECT("Vocabulary!$AQ$5:$AQ$9")</formula1>
    </dataValidation>
    <dataValidation sqref="P5:P250" showDropDown="0" showInputMessage="0" showErrorMessage="1" allowBlank="0" errorTitle="Invalid deposit status" error="Select an exact controlled value from the Vocabulary sheet." type="list" errorStyle="stop">
      <formula1>INDIRECT("Vocabulary!$AJ$5:$AJ$9")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style="215" min="1" max="1"/>
    <col width="42" customWidth="1" style="215" min="2" max="2"/>
    <col width="52" customWidth="1" style="215" min="3" max="3"/>
    <col width="32" customWidth="1" style="215" min="4" max="4"/>
    <col width="60" customWidth="1" style="215" min="5" max="5"/>
  </cols>
  <sheetData>
    <row r="1" ht="28" customHeight="1" s="215">
      <c r="A1" s="536" t="inlineStr">
        <is>
          <t>AF v6.2 Canonical Tokens and Workbook Semantics</t>
        </is>
      </c>
      <c r="B1" s="442" t="n"/>
      <c r="C1" s="442" t="n"/>
      <c r="D1" s="442" t="n"/>
      <c r="E1" s="442" t="n"/>
    </row>
    <row r="2"/>
    <row r="3" ht="34" customHeight="1" s="215">
      <c r="A3" s="421" t="inlineStr">
        <is>
          <t>Domain</t>
        </is>
      </c>
      <c r="B3" s="421" t="inlineStr">
        <is>
          <t>Human-readable value</t>
        </is>
      </c>
      <c r="C3" s="421" t="inlineStr">
        <is>
          <t>Canonical token</t>
        </is>
      </c>
      <c r="D3" s="421" t="inlineStr">
        <is>
          <t>Blank-row rule</t>
        </is>
      </c>
      <c r="E3" s="421" t="inlineStr">
        <is>
          <t>Meaning boundary</t>
        </is>
      </c>
    </row>
    <row r="4">
      <c r="A4" s="292" t="inlineStr">
        <is>
          <t>Configuration</t>
        </is>
      </c>
      <c r="B4" s="359" t="inlineStr">
        <is>
          <t>Protocol version</t>
        </is>
      </c>
      <c r="C4" s="359" t="inlineStr">
        <is>
          <t>AF v6.2</t>
        </is>
      </c>
      <c r="D4" s="359" t="inlineStr">
        <is>
          <t>Never hard-code in formulas</t>
        </is>
      </c>
      <c r="E4" s="294" t="inlineStr">
        <is>
          <t>Vocabulary!B5 controls</t>
        </is>
      </c>
    </row>
    <row r="5">
      <c r="A5" s="292" t="inlineStr">
        <is>
          <t>Configuration</t>
        </is>
      </c>
      <c r="B5" s="359" t="inlineStr">
        <is>
          <t>Constitutional legitimacy basis</t>
        </is>
      </c>
      <c r="C5" s="359" t="inlineStr">
        <is>
          <t>CL1 self-assessment; CL2 design materials only</t>
        </is>
      </c>
      <c r="D5" s="359" t="inlineStr">
        <is>
          <t>Must accompany public Stage A strings</t>
        </is>
      </c>
      <c r="E5" s="294" t="inlineStr">
        <is>
          <t>Does not establish plural constitutional legitimacy</t>
        </is>
      </c>
    </row>
    <row r="6">
      <c r="A6" s="292" t="inlineStr">
        <is>
          <t>Stage A public</t>
        </is>
      </c>
      <c r="B6" s="359" t="inlineStr">
        <is>
          <t>Stage-A admissible - scoped</t>
        </is>
      </c>
      <c r="C6" s="359" t="inlineStr">
        <is>
          <t>stage_a_admissible_scoped</t>
        </is>
      </c>
      <c r="D6" s="359" t="inlineStr">
        <is>
          <t>Blank if no review</t>
        </is>
      </c>
      <c r="E6" s="294" t="inlineStr">
        <is>
          <t>Eligibility only; not certification, due diligence or authorization</t>
        </is>
      </c>
    </row>
    <row r="7">
      <c r="A7" s="292" t="inlineStr">
        <is>
          <t>Stage A public</t>
        </is>
      </c>
      <c r="B7" s="359" t="inlineStr">
        <is>
          <t>Stage-A admissible - scoped, control-dependent</t>
        </is>
      </c>
      <c r="C7" s="359" t="inlineStr">
        <is>
          <t>stage_a_admissible_scoped_control_dependent</t>
        </is>
      </c>
      <c r="D7" s="359" t="inlineStr">
        <is>
          <t>Blank if no review</t>
        </is>
      </c>
      <c r="E7" s="294" t="inlineStr">
        <is>
          <t>Depends on named, monitored, expiring and requalified controls</t>
        </is>
      </c>
    </row>
    <row r="8">
      <c r="A8" s="292" t="inlineStr">
        <is>
          <t>Migration alias</t>
        </is>
      </c>
      <c r="B8" s="359" t="inlineStr">
        <is>
          <t>deprecated v5.8 controlled status</t>
        </is>
      </c>
      <c r="C8" s="359" t="inlineStr">
        <is>
          <t>stage_a_admissible_scoped_with_verified_controls</t>
        </is>
      </c>
      <c r="D8" s="359" t="inlineStr">
        <is>
          <t>Never generated by v6.1</t>
        </is>
      </c>
      <c r="E8" s="294" t="inlineStr">
        <is>
          <t>Preserve source record and add migration provenance</t>
        </is>
      </c>
    </row>
    <row r="9">
      <c r="A9" s="292" t="inlineStr">
        <is>
          <t>Stage A public</t>
        </is>
      </c>
      <c r="B9" s="359" t="inlineStr">
        <is>
          <t>Stage-A non-admissible - patchable</t>
        </is>
      </c>
      <c r="C9" s="359" t="inlineStr">
        <is>
          <t>stage_a_non_admissible_patchable</t>
        </is>
      </c>
      <c r="D9" s="359" t="inlineStr">
        <is>
          <t>Blank if no review</t>
        </is>
      </c>
      <c r="E9" s="294" t="inlineStr">
        <is>
          <t>Material patchable defect</t>
        </is>
      </c>
    </row>
    <row r="10">
      <c r="A10" s="292" t="inlineStr">
        <is>
          <t>Stage A public</t>
        </is>
      </c>
      <c r="B10" s="359" t="inlineStr">
        <is>
          <t>Stage-A non-admissible - unpatchable for stated claim</t>
        </is>
      </c>
      <c r="C10" s="359" t="inlineStr">
        <is>
          <t>stage_a_non_admissible_unpatchable_for_stated_claim</t>
        </is>
      </c>
      <c r="D10" s="359" t="inlineStr">
        <is>
          <t>Blank if no review</t>
        </is>
      </c>
      <c r="E10" s="294" t="inlineStr">
        <is>
          <t>Stated claim cannot survive defect</t>
        </is>
      </c>
    </row>
    <row r="11">
      <c r="A11" s="292" t="inlineStr">
        <is>
          <t>Stage A public</t>
        </is>
      </c>
      <c r="B11" s="359" t="inlineStr">
        <is>
          <t>Indeterminate - insufficient evidence</t>
        </is>
      </c>
      <c r="C11" s="359" t="inlineStr">
        <is>
          <t>indeterminate_insufficient_evidence</t>
        </is>
      </c>
      <c r="D11" s="359" t="inlineStr">
        <is>
          <t>Blank if no review</t>
        </is>
      </c>
      <c r="E11" s="294" t="inlineStr">
        <is>
          <t>No warranted positive or negative conclusion</t>
        </is>
      </c>
    </row>
    <row r="12">
      <c r="A12" s="292" t="inlineStr">
        <is>
          <t>Stage A public</t>
        </is>
      </c>
      <c r="B12" s="359" t="inlineStr">
        <is>
          <t>Protocol refusal to evaluate</t>
        </is>
      </c>
      <c r="C12" s="359" t="inlineStr">
        <is>
          <t>protocol_refusal_to_evaluate</t>
        </is>
      </c>
      <c r="D12" s="359" t="inlineStr">
        <is>
          <t>Partial or invalid rows fail closed</t>
        </is>
      </c>
      <c r="E12" s="294" t="inlineStr">
        <is>
          <t>Administration, authority, burden or vocabulary failure</t>
        </is>
      </c>
    </row>
    <row r="13">
      <c r="A13" s="292" t="inlineStr">
        <is>
          <t>Stage A public</t>
        </is>
      </c>
      <c r="B13" s="359" t="inlineStr">
        <is>
          <t>Out of scope</t>
        </is>
      </c>
      <c r="C13" s="359" t="inlineStr">
        <is>
          <t>out_of_scope</t>
        </is>
      </c>
      <c r="D13" s="359" t="inlineStr">
        <is>
          <t>Derived from administrative disposition</t>
        </is>
      </c>
      <c r="E13" s="294" t="inlineStr">
        <is>
          <t>No protocol judgment</t>
        </is>
      </c>
    </row>
    <row r="14">
      <c r="A14" s="292" t="inlineStr">
        <is>
          <t>Stage A public</t>
        </is>
      </c>
      <c r="B14" s="359" t="inlineStr">
        <is>
          <t>Withdrawn</t>
        </is>
      </c>
      <c r="C14" s="359" t="inlineStr">
        <is>
          <t>withdrawn</t>
        </is>
      </c>
      <c r="D14" s="359" t="inlineStr">
        <is>
          <t>Derived from administrative disposition</t>
        </is>
      </c>
      <c r="E14" s="294" t="inlineStr">
        <is>
          <t>No conformity inference</t>
        </is>
      </c>
    </row>
    <row r="15">
      <c r="A15" s="292" t="inlineStr">
        <is>
          <t>Stage A public</t>
        </is>
      </c>
      <c r="B15" s="359" t="inlineStr">
        <is>
          <t>Not reviewed</t>
        </is>
      </c>
      <c r="C15" s="359" t="inlineStr">
        <is>
          <t>not_reviewed</t>
        </is>
      </c>
      <c r="D15" s="359" t="inlineStr">
        <is>
          <t>Derived from administrative disposition</t>
        </is>
      </c>
      <c r="E15" s="294" t="inlineStr">
        <is>
          <t>No inference</t>
        </is>
      </c>
    </row>
    <row r="16">
      <c r="A16" s="292" t="inlineStr">
        <is>
          <t>Criterion</t>
        </is>
      </c>
      <c r="B16" s="359" t="inlineStr">
        <is>
          <t>Adequate for scope</t>
        </is>
      </c>
      <c r="C16" s="359" t="inlineStr">
        <is>
          <t>adequate_for_scope</t>
        </is>
      </c>
      <c r="D16" s="359" t="inlineStr">
        <is>
          <t>One state per criterion</t>
        </is>
      </c>
      <c r="E16" s="294" t="inlineStr">
        <is>
          <t>Established without control-dependent qualification</t>
        </is>
      </c>
    </row>
    <row r="17">
      <c r="A17" s="292" t="inlineStr">
        <is>
          <t>Criterion</t>
        </is>
      </c>
      <c r="B17" s="359" t="inlineStr">
        <is>
          <t>Adequate - control-dependent</t>
        </is>
      </c>
      <c r="C17" s="359" t="inlineStr">
        <is>
          <t>adequate_control_dependent</t>
        </is>
      </c>
      <c r="D17" s="359" t="inlineStr">
        <is>
          <t>One state per criterion</t>
        </is>
      </c>
      <c r="E17" s="294" t="inlineStr">
        <is>
          <t>Depends on named required controls</t>
        </is>
      </c>
    </row>
    <row r="18">
      <c r="A18" s="295" t="inlineStr">
        <is>
          <t>Criterion</t>
        </is>
      </c>
      <c r="B18" s="296" t="inlineStr">
        <is>
          <t>Indeterminate</t>
        </is>
      </c>
      <c r="C18" s="296" t="inlineStr">
        <is>
          <t>indeterminate</t>
        </is>
      </c>
      <c r="D18" s="296" t="inlineStr">
        <is>
          <t>One state per criterion</t>
        </is>
      </c>
      <c r="E18" s="297" t="inlineStr">
        <is>
          <t>Neither adequacy nor material defect established</t>
        </is>
      </c>
    </row>
    <row r="19">
      <c r="A19" t="inlineStr">
        <is>
          <t>Criterion</t>
        </is>
      </c>
      <c r="B19" t="inlineStr">
        <is>
          <t>Material defect - patchable</t>
        </is>
      </c>
      <c r="C19" t="inlineStr">
        <is>
          <t>material_defect_patchable</t>
        </is>
      </c>
      <c r="D19" t="inlineStr">
        <is>
          <t>One state per criterion</t>
        </is>
      </c>
      <c r="E19" t="inlineStr">
        <is>
          <t>Falsifiable repair feasible</t>
        </is>
      </c>
    </row>
    <row r="20">
      <c r="A20" t="inlineStr">
        <is>
          <t>Criterion</t>
        </is>
      </c>
      <c r="B20" t="inlineStr">
        <is>
          <t>Material defect - unpatchable for stated claim</t>
        </is>
      </c>
      <c r="C20" t="inlineStr">
        <is>
          <t>material_defect_unpatchable_for_stated_claim</t>
        </is>
      </c>
      <c r="D20" t="inlineStr">
        <is>
          <t>One state per criterion</t>
        </is>
      </c>
      <c r="E20" t="inlineStr">
        <is>
          <t>Requires a new review object</t>
        </is>
      </c>
    </row>
    <row r="21">
      <c r="A21" t="inlineStr">
        <is>
          <t>Criterion</t>
        </is>
      </c>
      <c r="B21" t="inlineStr">
        <is>
          <t>Not reviewed</t>
        </is>
      </c>
      <c r="C21" t="inlineStr">
        <is>
          <t>not_reviewed</t>
        </is>
      </c>
      <c r="D21" t="inlineStr">
        <is>
          <t>No review</t>
        </is>
      </c>
      <c r="E21" t="inlineStr">
        <is>
          <t>No inference</t>
        </is>
      </c>
    </row>
    <row r="22">
      <c r="A22" t="inlineStr">
        <is>
          <t>Stage B</t>
        </is>
      </c>
      <c r="B22" t="inlineStr">
        <is>
          <t>Dominance</t>
        </is>
      </c>
      <c r="C22" t="inlineStr">
        <is>
          <t>dominance</t>
        </is>
      </c>
      <c r="D22" t="inlineStr">
        <is>
          <t>Direction stored separately</t>
        </is>
      </c>
      <c r="E22" t="inlineStr">
        <is>
          <t>All admitted replay relations have the same dominance direction</t>
        </is>
      </c>
    </row>
    <row r="23">
      <c r="A23" t="inlineStr">
        <is>
          <t>Stage B</t>
        </is>
      </c>
      <c r="B23" t="inlineStr">
        <is>
          <t>Incomparable</t>
        </is>
      </c>
      <c r="C23" t="inlineStr">
        <is>
          <t>incomparable</t>
        </is>
      </c>
      <c r="D23" t="inlineStr">
        <is>
          <t>Subreason invariant_crossing</t>
        </is>
      </c>
      <c r="E23" t="inlineStr">
        <is>
          <t>All admitted replay relations cross</t>
        </is>
      </c>
    </row>
    <row r="24">
      <c r="A24" t="inlineStr">
        <is>
          <t>Stage B</t>
        </is>
      </c>
      <c r="B24" t="inlineStr">
        <is>
          <t>Non-decisive</t>
        </is>
      </c>
      <c r="C24" t="inlineStr">
        <is>
          <t>non_decisive</t>
        </is>
      </c>
      <c r="D24" t="inlineStr">
        <is>
          <t>Subreason required</t>
        </is>
      </c>
      <c r="E24" t="inlineStr">
        <is>
          <t>invariant_tie, unstable_relation or repairable_evidence_gap</t>
        </is>
      </c>
    </row>
    <row r="25">
      <c r="A25" t="inlineStr">
        <is>
          <t>Stage B</t>
        </is>
      </c>
      <c r="B25" t="inlineStr">
        <is>
          <t>Refusal to compare</t>
        </is>
      </c>
      <c r="C25" t="inlineStr">
        <is>
          <t>refusal_to_compare</t>
        </is>
      </c>
      <c r="D25" t="inlineStr">
        <is>
          <t>Reason required</t>
        </is>
      </c>
      <c r="E25" t="inlineStr">
        <is>
          <t>Prerequisite invalid or not repairable within current review</t>
        </is>
      </c>
    </row>
    <row r="26">
      <c r="A26" t="inlineStr">
        <is>
          <t>Floor tier</t>
        </is>
      </c>
      <c r="B26" t="inlineStr">
        <is>
          <t>Fully floor-linked</t>
        </is>
      </c>
      <c r="C26" t="inlineStr">
        <is>
          <t>F</t>
        </is>
      </c>
      <c r="D26" t="inlineStr">
        <is>
          <t>No N/P hybrid</t>
        </is>
      </c>
      <c r="E26" t="inlineStr">
        <is>
          <t>Prohibited descriptor requires Stage A re-entry</t>
        </is>
      </c>
    </row>
    <row r="27">
      <c r="A27" t="inlineStr">
        <is>
          <t>Floor tier</t>
        </is>
      </c>
      <c r="B27" t="inlineStr">
        <is>
          <t>Partly floor-linked</t>
        </is>
      </c>
      <c r="C27" t="inlineStr">
        <is>
          <t>P</t>
        </is>
      </c>
      <c r="D27" t="inlineStr">
        <is>
          <t>Case-specific routing</t>
        </is>
      </c>
      <c r="E27" t="inlineStr">
        <is>
          <t>Potential floor implication requires explicit routing</t>
        </is>
      </c>
    </row>
    <row r="28">
      <c r="A28" t="inlineStr">
        <is>
          <t>Floor tier</t>
        </is>
      </c>
      <c r="B28" t="inlineStr">
        <is>
          <t>Not ordinarily floor-linked</t>
        </is>
      </c>
      <c r="C28" t="inlineStr">
        <is>
          <t>N</t>
        </is>
      </c>
      <c r="D28" t="inlineStr">
        <is>
          <t>Comparative unless new defect emerges</t>
        </is>
      </c>
      <c r="E28" t="inlineStr">
        <is>
          <t>No automatic Stage A re-entry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cols>
    <col width="20" customWidth="1" style="215" min="1" max="1"/>
    <col width="18" customWidth="1" style="215" min="2" max="2"/>
    <col width="22" customWidth="1" style="215" min="3" max="3"/>
    <col width="20" customWidth="1" style="215" min="4" max="4"/>
    <col width="20" customWidth="1" style="215" min="5" max="5"/>
    <col width="18" customWidth="1" style="215" min="6" max="6"/>
    <col width="14" customWidth="1" style="215" min="7" max="7"/>
    <col width="14" customWidth="1" style="215" min="8" max="8"/>
    <col width="14" customWidth="1" style="215" min="9" max="9"/>
    <col width="18" customWidth="1" style="215" min="10" max="10"/>
    <col width="22" customWidth="1" style="215" min="11" max="11"/>
    <col width="20" customWidth="1" style="215" min="12" max="12"/>
    <col width="20" customWidth="1" style="215" min="13" max="13"/>
    <col width="38" customWidth="1" style="215" min="14" max="14"/>
    <col width="28" customWidth="1" style="215" min="15" max="15"/>
    <col width="24" customWidth="1" style="215" min="16" max="16"/>
    <col width="22" customWidth="1" style="215" min="17" max="17"/>
    <col width="24" customWidth="1" style="215" min="18" max="18"/>
  </cols>
  <sheetData>
    <row r="1" ht="28" customHeight="1" s="215">
      <c r="A1" s="536" t="inlineStr">
        <is>
          <t>Externally Computed Reliability Results - AF v6.2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</row>
    <row r="2">
      <c r="A2" s="552" t="inlineStr">
        <is>
          <t>Import only results produced from eligible immutable pre-discussion deposits under a versioned analysis script. Negative coefficients and confidence bounds are valid adverse results. The workbook validates the record but does not compute the coefficient.</t>
        </is>
      </c>
      <c r="B2" s="442" t="n"/>
      <c r="C2" s="442" t="n"/>
      <c r="D2" s="442" t="n"/>
      <c r="E2" s="442" t="n"/>
      <c r="F2" s="442" t="n"/>
      <c r="G2" s="442" t="n"/>
      <c r="H2" s="442" t="n"/>
      <c r="I2" s="442" t="n"/>
      <c r="J2" s="442" t="n"/>
      <c r="K2" s="442" t="n"/>
      <c r="L2" s="442" t="n"/>
      <c r="M2" s="442" t="n"/>
      <c r="N2" s="442" t="n"/>
      <c r="O2" s="442" t="n"/>
      <c r="P2" s="442" t="n"/>
      <c r="Q2" s="442" t="n"/>
      <c r="R2" s="442" t="n"/>
    </row>
    <row r="3"/>
    <row r="4" ht="34" customHeight="1" s="215">
      <c r="A4" s="421" t="inlineStr">
        <is>
          <t>Result_ID</t>
        </is>
      </c>
      <c r="B4" s="421" t="inlineStr">
        <is>
          <t>Study_ID</t>
        </is>
      </c>
      <c r="C4" s="421" t="inlineStr">
        <is>
          <t>Decision_Layer</t>
        </is>
      </c>
      <c r="D4" s="421" t="inlineStr">
        <is>
          <t>Target_ID</t>
        </is>
      </c>
      <c r="E4" s="421" t="inlineStr">
        <is>
          <t>Coefficient</t>
        </is>
      </c>
      <c r="F4" s="421" t="inlineStr">
        <is>
          <t>Weighting</t>
        </is>
      </c>
      <c r="G4" s="421" t="inlineStr">
        <is>
          <t>Estimate</t>
        </is>
      </c>
      <c r="H4" s="421" t="inlineStr">
        <is>
          <t>CI_Lower</t>
        </is>
      </c>
      <c r="I4" s="421" t="inlineStr">
        <is>
          <t>CI_Upper</t>
        </is>
      </c>
      <c r="J4" s="421" t="inlineStr">
        <is>
          <t>Confidence_Level_Proportion</t>
        </is>
      </c>
      <c r="K4" s="421" t="inlineStr">
        <is>
          <t>Bootstrap_Replicates</t>
        </is>
      </c>
      <c r="L4" s="421" t="inlineStr">
        <is>
          <t>Eligible_Deposits</t>
        </is>
      </c>
      <c r="M4" s="421" t="inlineStr">
        <is>
          <t>Excluded_Deposits</t>
        </is>
      </c>
      <c r="N4" s="421" t="inlineStr">
        <is>
          <t>Analysis_Script_SHA256</t>
        </is>
      </c>
      <c r="O4" s="421" t="inlineStr">
        <is>
          <t>Software_and_Version</t>
        </is>
      </c>
      <c r="P4" s="421" t="inlineStr">
        <is>
          <t>Generated_At_UTC</t>
        </is>
      </c>
      <c r="Q4" s="421" t="inlineStr">
        <is>
          <t>Interval_Check</t>
        </is>
      </c>
      <c r="R4" s="421" t="inlineStr">
        <is>
          <t>Result_Record_Check</t>
        </is>
      </c>
    </row>
    <row r="5">
      <c r="A5" s="303" t="inlineStr">
        <is>
          <t>RESULT-TEMPLATE</t>
        </is>
      </c>
      <c r="B5" s="303" t="str"/>
      <c r="C5" s="303" t="inlineStr">
        <is>
          <t>Stage A criterion</t>
        </is>
      </c>
      <c r="D5" s="303" t="inlineStr">
        <is>
          <t>C0</t>
        </is>
      </c>
      <c r="E5" s="303" t="inlineStr">
        <is>
          <t>Gwet AC1</t>
        </is>
      </c>
      <c r="F5" s="303" t="inlineStr">
        <is>
          <t>Unweighted</t>
        </is>
      </c>
      <c r="G5" s="303" t="n"/>
      <c r="H5" s="303" t="n"/>
      <c r="I5" s="303" t="n"/>
      <c r="J5" s="303" t="n">
        <v>0.95</v>
      </c>
      <c r="K5" s="303" t="n"/>
      <c r="L5" s="303" t="n"/>
      <c r="M5" s="303" t="n"/>
      <c r="N5" s="303" t="str"/>
      <c r="O5" s="303" t="str"/>
      <c r="P5" s="303" t="str"/>
      <c r="Q5" s="303">
        <f>IF(OR(A5="",A5="RESULT-TEMPLATE"),"",IF(AND(ISNUMBER(G5),ISNUMBER(H5),ISNUMBER(I5),H5&lt;=G5,G5&lt;=I5),"VALID","INVALID_INTERVAL"))</f>
        <v/>
      </c>
      <c r="R5" s="303">
        <f>IF(OR(A5="",A5="RESULT-TEMPLATE"),"",IF(AND(C5&lt;&gt;"",E5&lt;&gt;"",F5&lt;&gt;"",J5&lt;&gt;"",N5&lt;&gt;"",O5&lt;&gt;"",P5&lt;&gt;"",Q5="VALID"),"VALID","INVALID_OR_INCOMPLETE"))</f>
        <v/>
      </c>
    </row>
    <row r="6">
      <c r="A6" s="303" t="n"/>
      <c r="B6" s="303" t="n"/>
      <c r="C6" s="303" t="n"/>
      <c r="D6" s="303" t="n"/>
      <c r="E6" s="303" t="n"/>
      <c r="F6" s="303" t="n"/>
      <c r="G6" s="303" t="n"/>
      <c r="H6" s="303" t="n"/>
      <c r="I6" s="303" t="n"/>
      <c r="J6" s="303" t="n"/>
      <c r="K6" s="303" t="n"/>
      <c r="L6" s="303" t="n"/>
      <c r="M6" s="303" t="n"/>
      <c r="N6" s="303" t="n"/>
      <c r="O6" s="303" t="n"/>
      <c r="P6" s="303" t="n"/>
      <c r="Q6" s="303">
        <f>IF(OR(A6="",A6="RESULT-TEMPLATE"),"",IF(AND(ISNUMBER(G6),ISNUMBER(H6),ISNUMBER(I6),H6&lt;=G6,G6&lt;=I6),"VALID","INVALID_INTERVAL"))</f>
        <v/>
      </c>
      <c r="R6" s="303">
        <f>IF(OR(A6="",A6="RESULT-TEMPLATE"),"",IF(AND(C6&lt;&gt;"",E6&lt;&gt;"",F6&lt;&gt;"",J6&lt;&gt;"",N6&lt;&gt;"",O6&lt;&gt;"",P6&lt;&gt;"",Q6="VALID"),"VALID","INVALID_OR_INCOMPLETE"))</f>
        <v/>
      </c>
    </row>
    <row r="7">
      <c r="A7" s="303" t="n"/>
      <c r="B7" s="303" t="n"/>
      <c r="C7" s="303" t="n"/>
      <c r="D7" s="303" t="n"/>
      <c r="E7" s="303" t="n"/>
      <c r="F7" s="303" t="n"/>
      <c r="G7" s="303" t="n"/>
      <c r="H7" s="303" t="n"/>
      <c r="I7" s="303" t="n"/>
      <c r="J7" s="303" t="n"/>
      <c r="K7" s="303" t="n"/>
      <c r="L7" s="303" t="n"/>
      <c r="M7" s="303" t="n"/>
      <c r="N7" s="303" t="n"/>
      <c r="O7" s="303" t="n"/>
      <c r="P7" s="303" t="n"/>
      <c r="Q7" s="303">
        <f>IF(OR(A7="",A7="RESULT-TEMPLATE"),"",IF(AND(ISNUMBER(G7),ISNUMBER(H7),ISNUMBER(I7),H7&lt;=G7,G7&lt;=I7),"VALID","INVALID_INTERVAL"))</f>
        <v/>
      </c>
      <c r="R7" s="303">
        <f>IF(OR(A7="",A7="RESULT-TEMPLATE"),"",IF(AND(C7&lt;&gt;"",E7&lt;&gt;"",F7&lt;&gt;"",J7&lt;&gt;"",N7&lt;&gt;"",O7&lt;&gt;"",P7&lt;&gt;"",Q7="VALID"),"VALID","INVALID_OR_INCOMPLETE"))</f>
        <v/>
      </c>
    </row>
    <row r="8">
      <c r="A8" s="303" t="n"/>
      <c r="B8" s="303" t="n"/>
      <c r="C8" s="303" t="n"/>
      <c r="D8" s="303" t="n"/>
      <c r="E8" s="303" t="n"/>
      <c r="F8" s="303" t="n"/>
      <c r="G8" s="303" t="n"/>
      <c r="H8" s="303" t="n"/>
      <c r="I8" s="303" t="n"/>
      <c r="J8" s="303" t="n"/>
      <c r="K8" s="303" t="n"/>
      <c r="L8" s="303" t="n"/>
      <c r="M8" s="303" t="n"/>
      <c r="N8" s="303" t="n"/>
      <c r="O8" s="303" t="n"/>
      <c r="P8" s="303" t="n"/>
      <c r="Q8" s="303">
        <f>IF(OR(A8="",A8="RESULT-TEMPLATE"),"",IF(AND(ISNUMBER(G8),ISNUMBER(H8),ISNUMBER(I8),H8&lt;=G8,G8&lt;=I8),"VALID","INVALID_INTERVAL"))</f>
        <v/>
      </c>
      <c r="R8" s="303">
        <f>IF(OR(A8="",A8="RESULT-TEMPLATE"),"",IF(AND(C8&lt;&gt;"",E8&lt;&gt;"",F8&lt;&gt;"",J8&lt;&gt;"",N8&lt;&gt;"",O8&lt;&gt;"",P8&lt;&gt;"",Q8="VALID"),"VALID","INVALID_OR_INCOMPLETE"))</f>
        <v/>
      </c>
    </row>
    <row r="9">
      <c r="A9" s="303" t="n"/>
      <c r="B9" s="303" t="n"/>
      <c r="C9" s="303" t="n"/>
      <c r="D9" s="303" t="n"/>
      <c r="E9" s="303" t="n"/>
      <c r="F9" s="303" t="n"/>
      <c r="G9" s="303" t="n"/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  <c r="Q9" s="303">
        <f>IF(OR(A9="",A9="RESULT-TEMPLATE"),"",IF(AND(ISNUMBER(G9),ISNUMBER(H9),ISNUMBER(I9),H9&lt;=G9,G9&lt;=I9),"VALID","INVALID_INTERVAL"))</f>
        <v/>
      </c>
      <c r="R9" s="303">
        <f>IF(OR(A9="",A9="RESULT-TEMPLATE"),"",IF(AND(C9&lt;&gt;"",E9&lt;&gt;"",F9&lt;&gt;"",J9&lt;&gt;"",N9&lt;&gt;"",O9&lt;&gt;"",P9&lt;&gt;"",Q9="VALID"),"VALID","INVALID_OR_INCOMPLETE"))</f>
        <v/>
      </c>
    </row>
    <row r="10">
      <c r="A10" s="303" t="n"/>
      <c r="B10" s="303" t="n"/>
      <c r="C10" s="303" t="n"/>
      <c r="D10" s="303" t="n"/>
      <c r="E10" s="303" t="n"/>
      <c r="F10" s="303" t="n"/>
      <c r="G10" s="303" t="n"/>
      <c r="H10" s="303" t="n"/>
      <c r="I10" s="303" t="n"/>
      <c r="J10" s="303" t="n"/>
      <c r="K10" s="303" t="n"/>
      <c r="L10" s="303" t="n"/>
      <c r="M10" s="303" t="n"/>
      <c r="N10" s="303" t="n"/>
      <c r="O10" s="303" t="n"/>
      <c r="P10" s="303" t="n"/>
      <c r="Q10" s="303">
        <f>IF(OR(A10="",A10="RESULT-TEMPLATE"),"",IF(AND(ISNUMBER(G10),ISNUMBER(H10),ISNUMBER(I10),H10&lt;=G10,G10&lt;=I10),"VALID","INVALID_INTERVAL"))</f>
        <v/>
      </c>
      <c r="R10" s="303">
        <f>IF(OR(A10="",A10="RESULT-TEMPLATE"),"",IF(AND(C10&lt;&gt;"",E10&lt;&gt;"",F10&lt;&gt;"",J10&lt;&gt;"",N10&lt;&gt;"",O10&lt;&gt;"",P10&lt;&gt;"",Q10="VALID"),"VALID","INVALID_OR_INCOMPLETE"))</f>
        <v/>
      </c>
    </row>
    <row r="11">
      <c r="A11" s="303" t="n"/>
      <c r="B11" s="303" t="n"/>
      <c r="C11" s="303" t="n"/>
      <c r="D11" s="303" t="n"/>
      <c r="E11" s="303" t="n"/>
      <c r="F11" s="303" t="n"/>
      <c r="G11" s="303" t="n"/>
      <c r="H11" s="303" t="n"/>
      <c r="I11" s="303" t="n"/>
      <c r="J11" s="303" t="n"/>
      <c r="K11" s="303" t="n"/>
      <c r="L11" s="303" t="n"/>
      <c r="M11" s="303" t="n"/>
      <c r="N11" s="303" t="n"/>
      <c r="O11" s="303" t="n"/>
      <c r="P11" s="303" t="n"/>
      <c r="Q11" s="303">
        <f>IF(OR(A11="",A11="RESULT-TEMPLATE"),"",IF(AND(ISNUMBER(G11),ISNUMBER(H11),ISNUMBER(I11),H11&lt;=G11,G11&lt;=I11),"VALID","INVALID_INTERVAL"))</f>
        <v/>
      </c>
      <c r="R11" s="303">
        <f>IF(OR(A11="",A11="RESULT-TEMPLATE"),"",IF(AND(C11&lt;&gt;"",E11&lt;&gt;"",F11&lt;&gt;"",J11&lt;&gt;"",N11&lt;&gt;"",O11&lt;&gt;"",P11&lt;&gt;"",Q11="VALID"),"VALID","INVALID_OR_INCOMPLETE"))</f>
        <v/>
      </c>
    </row>
    <row r="12">
      <c r="A12" s="303" t="n"/>
      <c r="B12" s="303" t="n"/>
      <c r="C12" s="303" t="n"/>
      <c r="D12" s="303" t="n"/>
      <c r="E12" s="303" t="n"/>
      <c r="F12" s="303" t="n"/>
      <c r="G12" s="303" t="n"/>
      <c r="H12" s="303" t="n"/>
      <c r="I12" s="303" t="n"/>
      <c r="J12" s="303" t="n"/>
      <c r="K12" s="303" t="n"/>
      <c r="L12" s="303" t="n"/>
      <c r="M12" s="303" t="n"/>
      <c r="N12" s="303" t="n"/>
      <c r="O12" s="303" t="n"/>
      <c r="P12" s="303" t="n"/>
      <c r="Q12" s="303">
        <f>IF(OR(A12="",A12="RESULT-TEMPLATE"),"",IF(AND(ISNUMBER(G12),ISNUMBER(H12),ISNUMBER(I12),H12&lt;=G12,G12&lt;=I12),"VALID","INVALID_INTERVAL"))</f>
        <v/>
      </c>
      <c r="R12" s="303">
        <f>IF(OR(A12="",A12="RESULT-TEMPLATE"),"",IF(AND(C12&lt;&gt;"",E12&lt;&gt;"",F12&lt;&gt;"",J12&lt;&gt;"",N12&lt;&gt;"",O12&lt;&gt;"",P12&lt;&gt;"",Q12="VALID"),"VALID","INVALID_OR_INCOMPLETE"))</f>
        <v/>
      </c>
    </row>
    <row r="13">
      <c r="A13" s="303" t="n"/>
      <c r="B13" s="303" t="n"/>
      <c r="C13" s="303" t="n"/>
      <c r="D13" s="303" t="n"/>
      <c r="E13" s="303" t="n"/>
      <c r="F13" s="303" t="n"/>
      <c r="G13" s="303" t="n"/>
      <c r="H13" s="303" t="n"/>
      <c r="I13" s="303" t="n"/>
      <c r="J13" s="303" t="n"/>
      <c r="K13" s="303" t="n"/>
      <c r="L13" s="303" t="n"/>
      <c r="M13" s="303" t="n"/>
      <c r="N13" s="303" t="n"/>
      <c r="O13" s="303" t="n"/>
      <c r="P13" s="303" t="n"/>
      <c r="Q13" s="303">
        <f>IF(OR(A13="",A13="RESULT-TEMPLATE"),"",IF(AND(ISNUMBER(G13),ISNUMBER(H13),ISNUMBER(I13),H13&lt;=G13,G13&lt;=I13),"VALID","INVALID_INTERVAL"))</f>
        <v/>
      </c>
      <c r="R13" s="303">
        <f>IF(OR(A13="",A13="RESULT-TEMPLATE"),"",IF(AND(C13&lt;&gt;"",E13&lt;&gt;"",F13&lt;&gt;"",J13&lt;&gt;"",N13&lt;&gt;"",O13&lt;&gt;"",P13&lt;&gt;"",Q13="VALID"),"VALID","INVALID_OR_INCOMPLETE"))</f>
        <v/>
      </c>
    </row>
    <row r="14">
      <c r="A14" s="303" t="n"/>
      <c r="B14" s="303" t="n"/>
      <c r="C14" s="303" t="n"/>
      <c r="D14" s="303" t="n"/>
      <c r="E14" s="303" t="n"/>
      <c r="F14" s="303" t="n"/>
      <c r="G14" s="303" t="n"/>
      <c r="H14" s="303" t="n"/>
      <c r="I14" s="303" t="n"/>
      <c r="J14" s="303" t="n"/>
      <c r="K14" s="303" t="n"/>
      <c r="L14" s="303" t="n"/>
      <c r="M14" s="303" t="n"/>
      <c r="N14" s="303" t="n"/>
      <c r="O14" s="303" t="n"/>
      <c r="P14" s="303" t="n"/>
      <c r="Q14" s="303">
        <f>IF(OR(A14="",A14="RESULT-TEMPLATE"),"",IF(AND(ISNUMBER(G14),ISNUMBER(H14),ISNUMBER(I14),H14&lt;=G14,G14&lt;=I14),"VALID","INVALID_INTERVAL"))</f>
        <v/>
      </c>
      <c r="R14" s="303">
        <f>IF(OR(A14="",A14="RESULT-TEMPLATE"),"",IF(AND(C14&lt;&gt;"",E14&lt;&gt;"",F14&lt;&gt;"",J14&lt;&gt;"",N14&lt;&gt;"",O14&lt;&gt;"",P14&lt;&gt;"",Q14="VALID"),"VALID","INVALID_OR_INCOMPLETE"))</f>
        <v/>
      </c>
    </row>
    <row r="15">
      <c r="A15" s="303" t="n"/>
      <c r="B15" s="303" t="n"/>
      <c r="C15" s="303" t="n"/>
      <c r="D15" s="303" t="n"/>
      <c r="E15" s="303" t="n"/>
      <c r="F15" s="303" t="n"/>
      <c r="G15" s="303" t="n"/>
      <c r="H15" s="303" t="n"/>
      <c r="I15" s="303" t="n"/>
      <c r="J15" s="303" t="n"/>
      <c r="K15" s="303" t="n"/>
      <c r="L15" s="303" t="n"/>
      <c r="M15" s="303" t="n"/>
      <c r="N15" s="303" t="n"/>
      <c r="O15" s="303" t="n"/>
      <c r="P15" s="303" t="n"/>
      <c r="Q15" s="303">
        <f>IF(OR(A15="",A15="RESULT-TEMPLATE"),"",IF(AND(ISNUMBER(G15),ISNUMBER(H15),ISNUMBER(I15),H15&lt;=G15,G15&lt;=I15),"VALID","INVALID_INTERVAL"))</f>
        <v/>
      </c>
      <c r="R15" s="303">
        <f>IF(OR(A15="",A15="RESULT-TEMPLATE"),"",IF(AND(C15&lt;&gt;"",E15&lt;&gt;"",F15&lt;&gt;"",J15&lt;&gt;"",N15&lt;&gt;"",O15&lt;&gt;"",P15&lt;&gt;"",Q15="VALID"),"VALID","INVALID_OR_INCOMPLETE"))</f>
        <v/>
      </c>
    </row>
    <row r="16">
      <c r="A16" s="303" t="n"/>
      <c r="B16" s="303" t="n"/>
      <c r="C16" s="303" t="n"/>
      <c r="D16" s="303" t="n"/>
      <c r="E16" s="303" t="n"/>
      <c r="F16" s="303" t="n"/>
      <c r="G16" s="303" t="n"/>
      <c r="H16" s="303" t="n"/>
      <c r="I16" s="303" t="n"/>
      <c r="J16" s="303" t="n"/>
      <c r="K16" s="303" t="n"/>
      <c r="L16" s="303" t="n"/>
      <c r="M16" s="303" t="n"/>
      <c r="N16" s="303" t="n"/>
      <c r="O16" s="303" t="n"/>
      <c r="P16" s="303" t="n"/>
      <c r="Q16" s="303">
        <f>IF(OR(A16="",A16="RESULT-TEMPLATE"),"",IF(AND(ISNUMBER(G16),ISNUMBER(H16),ISNUMBER(I16),H16&lt;=G16,G16&lt;=I16),"VALID","INVALID_INTERVAL"))</f>
        <v/>
      </c>
      <c r="R16" s="303">
        <f>IF(OR(A16="",A16="RESULT-TEMPLATE"),"",IF(AND(C16&lt;&gt;"",E16&lt;&gt;"",F16&lt;&gt;"",J16&lt;&gt;"",N16&lt;&gt;"",O16&lt;&gt;"",P16&lt;&gt;"",Q16="VALID"),"VALID","INVALID_OR_INCOMPLETE"))</f>
        <v/>
      </c>
    </row>
    <row r="17">
      <c r="A17" s="303" t="n"/>
      <c r="B17" s="303" t="n"/>
      <c r="C17" s="303" t="n"/>
      <c r="D17" s="303" t="n"/>
      <c r="E17" s="303" t="n"/>
      <c r="F17" s="303" t="n"/>
      <c r="G17" s="303" t="n"/>
      <c r="H17" s="303" t="n"/>
      <c r="I17" s="303" t="n"/>
      <c r="J17" s="303" t="n"/>
      <c r="K17" s="303" t="n"/>
      <c r="L17" s="303" t="n"/>
      <c r="M17" s="303" t="n"/>
      <c r="N17" s="303" t="n"/>
      <c r="O17" s="303" t="n"/>
      <c r="P17" s="303" t="n"/>
      <c r="Q17" s="303">
        <f>IF(OR(A17="",A17="RESULT-TEMPLATE"),"",IF(AND(ISNUMBER(G17),ISNUMBER(H17),ISNUMBER(I17),H17&lt;=G17,G17&lt;=I17),"VALID","INVALID_INTERVAL"))</f>
        <v/>
      </c>
      <c r="R17" s="303">
        <f>IF(OR(A17="",A17="RESULT-TEMPLATE"),"",IF(AND(C17&lt;&gt;"",E17&lt;&gt;"",F17&lt;&gt;"",J17&lt;&gt;"",N17&lt;&gt;"",O17&lt;&gt;"",P17&lt;&gt;"",Q17="VALID"),"VALID","INVALID_OR_INCOMPLETE"))</f>
        <v/>
      </c>
    </row>
    <row r="18">
      <c r="A18" s="303" t="n"/>
      <c r="B18" s="303" t="n"/>
      <c r="C18" s="303" t="n"/>
      <c r="D18" s="303" t="n"/>
      <c r="E18" s="303" t="n"/>
      <c r="F18" s="303" t="n"/>
      <c r="G18" s="303" t="n"/>
      <c r="H18" s="303" t="n"/>
      <c r="I18" s="303" t="n"/>
      <c r="J18" s="303" t="n"/>
      <c r="K18" s="303" t="n"/>
      <c r="L18" s="303" t="n"/>
      <c r="M18" s="303" t="n"/>
      <c r="N18" s="303" t="n"/>
      <c r="O18" s="303" t="n"/>
      <c r="P18" s="303" t="n"/>
      <c r="Q18" s="303">
        <f>IF(OR(A18="",A18="RESULT-TEMPLATE"),"",IF(AND(ISNUMBER(G18),ISNUMBER(H18),ISNUMBER(I18),H18&lt;=G18,G18&lt;=I18),"VALID","INVALID_INTERVAL"))</f>
        <v/>
      </c>
      <c r="R18" s="303">
        <f>IF(OR(A18="",A18="RESULT-TEMPLATE"),"",IF(AND(C18&lt;&gt;"",E18&lt;&gt;"",F18&lt;&gt;"",J18&lt;&gt;"",N18&lt;&gt;"",O18&lt;&gt;"",P18&lt;&gt;"",Q18="VALID"),"VALID","INVALID_OR_INCOMPLETE"))</f>
        <v/>
      </c>
    </row>
    <row r="19">
      <c r="A19" s="303" t="n"/>
      <c r="B19" s="303" t="n"/>
      <c r="C19" s="303" t="n"/>
      <c r="D19" s="303" t="n"/>
      <c r="E19" s="303" t="n"/>
      <c r="F19" s="303" t="n"/>
      <c r="G19" s="303" t="n"/>
      <c r="H19" s="303" t="n"/>
      <c r="I19" s="303" t="n"/>
      <c r="J19" s="303" t="n"/>
      <c r="K19" s="303" t="n"/>
      <c r="L19" s="303" t="n"/>
      <c r="M19" s="303" t="n"/>
      <c r="N19" s="303" t="n"/>
      <c r="O19" s="303" t="n"/>
      <c r="P19" s="303" t="n"/>
      <c r="Q19" s="303">
        <f>IF(OR(A19="",A19="RESULT-TEMPLATE"),"",IF(AND(ISNUMBER(G19),ISNUMBER(H19),ISNUMBER(I19),H19&lt;=G19,G19&lt;=I19),"VALID","INVALID_INTERVAL"))</f>
        <v/>
      </c>
      <c r="R19" s="303">
        <f>IF(OR(A19="",A19="RESULT-TEMPLATE"),"",IF(AND(C19&lt;&gt;"",E19&lt;&gt;"",F19&lt;&gt;"",J19&lt;&gt;"",N19&lt;&gt;"",O19&lt;&gt;"",P19&lt;&gt;"",Q19="VALID"),"VALID","INVALID_OR_INCOMPLETE"))</f>
        <v/>
      </c>
    </row>
    <row r="20">
      <c r="A20" s="303" t="n"/>
      <c r="B20" s="303" t="n"/>
      <c r="C20" s="303" t="n"/>
      <c r="D20" s="303" t="n"/>
      <c r="E20" s="303" t="n"/>
      <c r="F20" s="303" t="n"/>
      <c r="G20" s="303" t="n"/>
      <c r="H20" s="303" t="n"/>
      <c r="I20" s="303" t="n"/>
      <c r="J20" s="303" t="n"/>
      <c r="K20" s="303" t="n"/>
      <c r="L20" s="303" t="n"/>
      <c r="M20" s="303" t="n"/>
      <c r="N20" s="303" t="n"/>
      <c r="O20" s="303" t="n"/>
      <c r="P20" s="303" t="n"/>
      <c r="Q20" s="303">
        <f>IF(OR(A20="",A20="RESULT-TEMPLATE"),"",IF(AND(ISNUMBER(G20),ISNUMBER(H20),ISNUMBER(I20),H20&lt;=G20,G20&lt;=I20),"VALID","INVALID_INTERVAL"))</f>
        <v/>
      </c>
      <c r="R20" s="303">
        <f>IF(OR(A20="",A20="RESULT-TEMPLATE"),"",IF(AND(C20&lt;&gt;"",E20&lt;&gt;"",F20&lt;&gt;"",J20&lt;&gt;"",N20&lt;&gt;"",O20&lt;&gt;"",P20&lt;&gt;"",Q20="VALID"),"VALID","INVALID_OR_INCOMPLETE"))</f>
        <v/>
      </c>
    </row>
    <row r="21">
      <c r="A21" s="303" t="n"/>
      <c r="B21" s="303" t="n"/>
      <c r="C21" s="303" t="n"/>
      <c r="D21" s="303" t="n"/>
      <c r="E21" s="303" t="n"/>
      <c r="F21" s="303" t="n"/>
      <c r="G21" s="303" t="n"/>
      <c r="H21" s="303" t="n"/>
      <c r="I21" s="303" t="n"/>
      <c r="J21" s="303" t="n"/>
      <c r="K21" s="303" t="n"/>
      <c r="L21" s="303" t="n"/>
      <c r="M21" s="303" t="n"/>
      <c r="N21" s="303" t="n"/>
      <c r="O21" s="303" t="n"/>
      <c r="P21" s="303" t="n"/>
      <c r="Q21" s="303">
        <f>IF(OR(A21="",A21="RESULT-TEMPLATE"),"",IF(AND(ISNUMBER(G21),ISNUMBER(H21),ISNUMBER(I21),H21&lt;=G21,G21&lt;=I21),"VALID","INVALID_INTERVAL"))</f>
        <v/>
      </c>
      <c r="R21" s="303">
        <f>IF(OR(A21="",A21="RESULT-TEMPLATE"),"",IF(AND(C21&lt;&gt;"",E21&lt;&gt;"",F21&lt;&gt;"",J21&lt;&gt;"",N21&lt;&gt;"",O21&lt;&gt;"",P21&lt;&gt;"",Q21="VALID"),"VALID","INVALID_OR_INCOMPLETE"))</f>
        <v/>
      </c>
    </row>
    <row r="22">
      <c r="A22" s="303" t="n"/>
      <c r="B22" s="303" t="n"/>
      <c r="C22" s="303" t="n"/>
      <c r="D22" s="303" t="n"/>
      <c r="E22" s="303" t="n"/>
      <c r="F22" s="303" t="n"/>
      <c r="G22" s="303" t="n"/>
      <c r="H22" s="303" t="n"/>
      <c r="I22" s="303" t="n"/>
      <c r="J22" s="303" t="n"/>
      <c r="K22" s="303" t="n"/>
      <c r="L22" s="303" t="n"/>
      <c r="M22" s="303" t="n"/>
      <c r="N22" s="303" t="n"/>
      <c r="O22" s="303" t="n"/>
      <c r="P22" s="303" t="n"/>
      <c r="Q22" s="303">
        <f>IF(OR(A22="",A22="RESULT-TEMPLATE"),"",IF(AND(ISNUMBER(G22),ISNUMBER(H22),ISNUMBER(I22),H22&lt;=G22,G22&lt;=I22),"VALID","INVALID_INTERVAL"))</f>
        <v/>
      </c>
      <c r="R22" s="303">
        <f>IF(OR(A22="",A22="RESULT-TEMPLATE"),"",IF(AND(C22&lt;&gt;"",E22&lt;&gt;"",F22&lt;&gt;"",J22&lt;&gt;"",N22&lt;&gt;"",O22&lt;&gt;"",P22&lt;&gt;"",Q22="VALID"),"VALID","INVALID_OR_INCOMPLETE"))</f>
        <v/>
      </c>
    </row>
    <row r="23">
      <c r="A23" s="303" t="n"/>
      <c r="B23" s="303" t="n"/>
      <c r="C23" s="303" t="n"/>
      <c r="D23" s="303" t="n"/>
      <c r="E23" s="303" t="n"/>
      <c r="F23" s="303" t="n"/>
      <c r="G23" s="303" t="n"/>
      <c r="H23" s="303" t="n"/>
      <c r="I23" s="303" t="n"/>
      <c r="J23" s="303" t="n"/>
      <c r="K23" s="303" t="n"/>
      <c r="L23" s="303" t="n"/>
      <c r="M23" s="303" t="n"/>
      <c r="N23" s="303" t="n"/>
      <c r="O23" s="303" t="n"/>
      <c r="P23" s="303" t="n"/>
      <c r="Q23" s="303">
        <f>IF(OR(A23="",A23="RESULT-TEMPLATE"),"",IF(AND(ISNUMBER(G23),ISNUMBER(H23),ISNUMBER(I23),H23&lt;=G23,G23&lt;=I23),"VALID","INVALID_INTERVAL"))</f>
        <v/>
      </c>
      <c r="R23" s="303">
        <f>IF(OR(A23="",A23="RESULT-TEMPLATE"),"",IF(AND(C23&lt;&gt;"",E23&lt;&gt;"",F23&lt;&gt;"",J23&lt;&gt;"",N23&lt;&gt;"",O23&lt;&gt;"",P23&lt;&gt;"",Q23="VALID"),"VALID","INVALID_OR_INCOMPLETE"))</f>
        <v/>
      </c>
    </row>
    <row r="24">
      <c r="A24" s="303" t="n"/>
      <c r="B24" s="303" t="n"/>
      <c r="C24" s="303" t="n"/>
      <c r="D24" s="303" t="n"/>
      <c r="E24" s="303" t="n"/>
      <c r="F24" s="303" t="n"/>
      <c r="G24" s="303" t="n"/>
      <c r="H24" s="303" t="n"/>
      <c r="I24" s="303" t="n"/>
      <c r="J24" s="303" t="n"/>
      <c r="K24" s="303" t="n"/>
      <c r="L24" s="303" t="n"/>
      <c r="M24" s="303" t="n"/>
      <c r="N24" s="303" t="n"/>
      <c r="O24" s="303" t="n"/>
      <c r="P24" s="303" t="n"/>
      <c r="Q24" s="303">
        <f>IF(OR(A24="",A24="RESULT-TEMPLATE"),"",IF(AND(ISNUMBER(G24),ISNUMBER(H24),ISNUMBER(I24),H24&lt;=G24,G24&lt;=I24),"VALID","INVALID_INTERVAL"))</f>
        <v/>
      </c>
      <c r="R24" s="303">
        <f>IF(OR(A24="",A24="RESULT-TEMPLATE"),"",IF(AND(C24&lt;&gt;"",E24&lt;&gt;"",F24&lt;&gt;"",J24&lt;&gt;"",N24&lt;&gt;"",O24&lt;&gt;"",P24&lt;&gt;"",Q24="VALID"),"VALID","INVALID_OR_INCOMPLETE"))</f>
        <v/>
      </c>
    </row>
    <row r="25">
      <c r="A25" s="303" t="n"/>
      <c r="B25" s="303" t="n"/>
      <c r="C25" s="303" t="n"/>
      <c r="D25" s="303" t="n"/>
      <c r="E25" s="303" t="n"/>
      <c r="F25" s="303" t="n"/>
      <c r="G25" s="303" t="n"/>
      <c r="H25" s="303" t="n"/>
      <c r="I25" s="303" t="n"/>
      <c r="J25" s="303" t="n"/>
      <c r="K25" s="303" t="n"/>
      <c r="L25" s="303" t="n"/>
      <c r="M25" s="303" t="n"/>
      <c r="N25" s="303" t="n"/>
      <c r="O25" s="303" t="n"/>
      <c r="P25" s="303" t="n"/>
      <c r="Q25" s="303">
        <f>IF(OR(A25="",A25="RESULT-TEMPLATE"),"",IF(AND(ISNUMBER(G25),ISNUMBER(H25),ISNUMBER(I25),H25&lt;=G25,G25&lt;=I25),"VALID","INVALID_INTERVAL"))</f>
        <v/>
      </c>
      <c r="R25" s="303">
        <f>IF(OR(A25="",A25="RESULT-TEMPLATE"),"",IF(AND(C25&lt;&gt;"",E25&lt;&gt;"",F25&lt;&gt;"",J25&lt;&gt;"",N25&lt;&gt;"",O25&lt;&gt;"",P25&lt;&gt;"",Q25="VALID"),"VALID","INVALID_OR_INCOMPLETE"))</f>
        <v/>
      </c>
    </row>
    <row r="26">
      <c r="A26" s="303" t="n"/>
      <c r="B26" s="303" t="n"/>
      <c r="C26" s="303" t="n"/>
      <c r="D26" s="303" t="n"/>
      <c r="E26" s="303" t="n"/>
      <c r="F26" s="303" t="n"/>
      <c r="G26" s="303" t="n"/>
      <c r="H26" s="303" t="n"/>
      <c r="I26" s="303" t="n"/>
      <c r="J26" s="303" t="n"/>
      <c r="K26" s="303" t="n"/>
      <c r="L26" s="303" t="n"/>
      <c r="M26" s="303" t="n"/>
      <c r="N26" s="303" t="n"/>
      <c r="O26" s="303" t="n"/>
      <c r="P26" s="303" t="n"/>
      <c r="Q26" s="303">
        <f>IF(OR(A26="",A26="RESULT-TEMPLATE"),"",IF(AND(ISNUMBER(G26),ISNUMBER(H26),ISNUMBER(I26),H26&lt;=G26,G26&lt;=I26),"VALID","INVALID_INTERVAL"))</f>
        <v/>
      </c>
      <c r="R26" s="303">
        <f>IF(OR(A26="",A26="RESULT-TEMPLATE"),"",IF(AND(C26&lt;&gt;"",E26&lt;&gt;"",F26&lt;&gt;"",J26&lt;&gt;"",N26&lt;&gt;"",O26&lt;&gt;"",P26&lt;&gt;"",Q26="VALID"),"VALID","INVALID_OR_INCOMPLETE"))</f>
        <v/>
      </c>
    </row>
    <row r="27">
      <c r="A27" s="303" t="n"/>
      <c r="B27" s="303" t="n"/>
      <c r="C27" s="303" t="n"/>
      <c r="D27" s="303" t="n"/>
      <c r="E27" s="303" t="n"/>
      <c r="F27" s="303" t="n"/>
      <c r="G27" s="303" t="n"/>
      <c r="H27" s="303" t="n"/>
      <c r="I27" s="303" t="n"/>
      <c r="J27" s="303" t="n"/>
      <c r="K27" s="303" t="n"/>
      <c r="L27" s="303" t="n"/>
      <c r="M27" s="303" t="n"/>
      <c r="N27" s="303" t="n"/>
      <c r="O27" s="303" t="n"/>
      <c r="P27" s="303" t="n"/>
      <c r="Q27" s="303">
        <f>IF(OR(A27="",A27="RESULT-TEMPLATE"),"",IF(AND(ISNUMBER(G27),ISNUMBER(H27),ISNUMBER(I27),H27&lt;=G27,G27&lt;=I27),"VALID","INVALID_INTERVAL"))</f>
        <v/>
      </c>
      <c r="R27" s="303">
        <f>IF(OR(A27="",A27="RESULT-TEMPLATE"),"",IF(AND(C27&lt;&gt;"",E27&lt;&gt;"",F27&lt;&gt;"",J27&lt;&gt;"",N27&lt;&gt;"",O27&lt;&gt;"",P27&lt;&gt;"",Q27="VALID"),"VALID","INVALID_OR_INCOMPLETE"))</f>
        <v/>
      </c>
    </row>
    <row r="28">
      <c r="A28" s="303" t="n"/>
      <c r="B28" s="303" t="n"/>
      <c r="C28" s="303" t="n"/>
      <c r="D28" s="303" t="n"/>
      <c r="E28" s="303" t="n"/>
      <c r="F28" s="303" t="n"/>
      <c r="G28" s="303" t="n"/>
      <c r="H28" s="303" t="n"/>
      <c r="I28" s="303" t="n"/>
      <c r="J28" s="303" t="n"/>
      <c r="K28" s="303" t="n"/>
      <c r="L28" s="303" t="n"/>
      <c r="M28" s="303" t="n"/>
      <c r="N28" s="303" t="n"/>
      <c r="O28" s="303" t="n"/>
      <c r="P28" s="303" t="n"/>
      <c r="Q28" s="303">
        <f>IF(OR(A28="",A28="RESULT-TEMPLATE"),"",IF(AND(ISNUMBER(G28),ISNUMBER(H28),ISNUMBER(I28),H28&lt;=G28,G28&lt;=I28),"VALID","INVALID_INTERVAL"))</f>
        <v/>
      </c>
      <c r="R28" s="303">
        <f>IF(OR(A28="",A28="RESULT-TEMPLATE"),"",IF(AND(C28&lt;&gt;"",E28&lt;&gt;"",F28&lt;&gt;"",J28&lt;&gt;"",N28&lt;&gt;"",O28&lt;&gt;"",P28&lt;&gt;"",Q28="VALID"),"VALID","INVALID_OR_INCOMPLETE"))</f>
        <v/>
      </c>
    </row>
    <row r="29">
      <c r="A29" s="303" t="n"/>
      <c r="B29" s="303" t="n"/>
      <c r="C29" s="303" t="n"/>
      <c r="D29" s="303" t="n"/>
      <c r="E29" s="303" t="n"/>
      <c r="F29" s="303" t="n"/>
      <c r="G29" s="303" t="n"/>
      <c r="H29" s="303" t="n"/>
      <c r="I29" s="303" t="n"/>
      <c r="J29" s="303" t="n"/>
      <c r="K29" s="303" t="n"/>
      <c r="L29" s="303" t="n"/>
      <c r="M29" s="303" t="n"/>
      <c r="N29" s="303" t="n"/>
      <c r="O29" s="303" t="n"/>
      <c r="P29" s="303" t="n"/>
      <c r="Q29" s="303">
        <f>IF(OR(A29="",A29="RESULT-TEMPLATE"),"",IF(AND(ISNUMBER(G29),ISNUMBER(H29),ISNUMBER(I29),H29&lt;=G29,G29&lt;=I29),"VALID","INVALID_INTERVAL"))</f>
        <v/>
      </c>
      <c r="R29" s="303">
        <f>IF(OR(A29="",A29="RESULT-TEMPLATE"),"",IF(AND(C29&lt;&gt;"",E29&lt;&gt;"",F29&lt;&gt;"",J29&lt;&gt;"",N29&lt;&gt;"",O29&lt;&gt;"",P29&lt;&gt;"",Q29="VALID"),"VALID","INVALID_OR_INCOMPLETE"))</f>
        <v/>
      </c>
    </row>
    <row r="30">
      <c r="A30" s="303" t="n"/>
      <c r="B30" s="303" t="n"/>
      <c r="C30" s="303" t="n"/>
      <c r="D30" s="303" t="n"/>
      <c r="E30" s="303" t="n"/>
      <c r="F30" s="303" t="n"/>
      <c r="G30" s="303" t="n"/>
      <c r="H30" s="303" t="n"/>
      <c r="I30" s="303" t="n"/>
      <c r="J30" s="303" t="n"/>
      <c r="K30" s="303" t="n"/>
      <c r="L30" s="303" t="n"/>
      <c r="M30" s="303" t="n"/>
      <c r="N30" s="303" t="n"/>
      <c r="O30" s="303" t="n"/>
      <c r="P30" s="303" t="n"/>
      <c r="Q30" s="303">
        <f>IF(OR(A30="",A30="RESULT-TEMPLATE"),"",IF(AND(ISNUMBER(G30),ISNUMBER(H30),ISNUMBER(I30),H30&lt;=G30,G30&lt;=I30),"VALID","INVALID_INTERVAL"))</f>
        <v/>
      </c>
      <c r="R30" s="303">
        <f>IF(OR(A30="",A30="RESULT-TEMPLATE"),"",IF(AND(C30&lt;&gt;"",E30&lt;&gt;"",F30&lt;&gt;"",J30&lt;&gt;"",N30&lt;&gt;"",O30&lt;&gt;"",P30&lt;&gt;"",Q30="VALID"),"VALID","INVALID_OR_INCOMPLETE"))</f>
        <v/>
      </c>
    </row>
    <row r="31">
      <c r="A31" s="303" t="n"/>
      <c r="B31" s="303" t="n"/>
      <c r="C31" s="303" t="n"/>
      <c r="D31" s="303" t="n"/>
      <c r="E31" s="303" t="n"/>
      <c r="F31" s="303" t="n"/>
      <c r="G31" s="303" t="n"/>
      <c r="H31" s="303" t="n"/>
      <c r="I31" s="303" t="n"/>
      <c r="J31" s="303" t="n"/>
      <c r="K31" s="303" t="n"/>
      <c r="L31" s="303" t="n"/>
      <c r="M31" s="303" t="n"/>
      <c r="N31" s="303" t="n"/>
      <c r="O31" s="303" t="n"/>
      <c r="P31" s="303" t="n"/>
      <c r="Q31" s="303">
        <f>IF(OR(A31="",A31="RESULT-TEMPLATE"),"",IF(AND(ISNUMBER(G31),ISNUMBER(H31),ISNUMBER(I31),H31&lt;=G31,G31&lt;=I31),"VALID","INVALID_INTERVAL"))</f>
        <v/>
      </c>
      <c r="R31" s="303">
        <f>IF(OR(A31="",A31="RESULT-TEMPLATE"),"",IF(AND(C31&lt;&gt;"",E31&lt;&gt;"",F31&lt;&gt;"",J31&lt;&gt;"",N31&lt;&gt;"",O31&lt;&gt;"",P31&lt;&gt;"",Q31="VALID"),"VALID","INVALID_OR_INCOMPLETE"))</f>
        <v/>
      </c>
    </row>
    <row r="32">
      <c r="A32" s="303" t="n"/>
      <c r="B32" s="303" t="n"/>
      <c r="C32" s="303" t="n"/>
      <c r="D32" s="303" t="n"/>
      <c r="E32" s="303" t="n"/>
      <c r="F32" s="303" t="n"/>
      <c r="G32" s="303" t="n"/>
      <c r="H32" s="303" t="n"/>
      <c r="I32" s="303" t="n"/>
      <c r="J32" s="303" t="n"/>
      <c r="K32" s="303" t="n"/>
      <c r="L32" s="303" t="n"/>
      <c r="M32" s="303" t="n"/>
      <c r="N32" s="303" t="n"/>
      <c r="O32" s="303" t="n"/>
      <c r="P32" s="303" t="n"/>
      <c r="Q32" s="303">
        <f>IF(OR(A32="",A32="RESULT-TEMPLATE"),"",IF(AND(ISNUMBER(G32),ISNUMBER(H32),ISNUMBER(I32),H32&lt;=G32,G32&lt;=I32),"VALID","INVALID_INTERVAL"))</f>
        <v/>
      </c>
      <c r="R32" s="303">
        <f>IF(OR(A32="",A32="RESULT-TEMPLATE"),"",IF(AND(C32&lt;&gt;"",E32&lt;&gt;"",F32&lt;&gt;"",J32&lt;&gt;"",N32&lt;&gt;"",O32&lt;&gt;"",P32&lt;&gt;"",Q32="VALID"),"VALID","INVALID_OR_INCOMPLETE"))</f>
        <v/>
      </c>
    </row>
    <row r="33">
      <c r="A33" s="303" t="n"/>
      <c r="B33" s="303" t="n"/>
      <c r="C33" s="303" t="n"/>
      <c r="D33" s="303" t="n"/>
      <c r="E33" s="303" t="n"/>
      <c r="F33" s="303" t="n"/>
      <c r="G33" s="303" t="n"/>
      <c r="H33" s="303" t="n"/>
      <c r="I33" s="303" t="n"/>
      <c r="J33" s="303" t="n"/>
      <c r="K33" s="303" t="n"/>
      <c r="L33" s="303" t="n"/>
      <c r="M33" s="303" t="n"/>
      <c r="N33" s="303" t="n"/>
      <c r="O33" s="303" t="n"/>
      <c r="P33" s="303" t="n"/>
      <c r="Q33" s="303">
        <f>IF(OR(A33="",A33="RESULT-TEMPLATE"),"",IF(AND(ISNUMBER(G33),ISNUMBER(H33),ISNUMBER(I33),H33&lt;=G33,G33&lt;=I33),"VALID","INVALID_INTERVAL"))</f>
        <v/>
      </c>
      <c r="R33" s="303">
        <f>IF(OR(A33="",A33="RESULT-TEMPLATE"),"",IF(AND(C33&lt;&gt;"",E33&lt;&gt;"",F33&lt;&gt;"",J33&lt;&gt;"",N33&lt;&gt;"",O33&lt;&gt;"",P33&lt;&gt;"",Q33="VALID"),"VALID","INVALID_OR_INCOMPLETE"))</f>
        <v/>
      </c>
    </row>
    <row r="34">
      <c r="A34" s="303" t="n"/>
      <c r="B34" s="303" t="n"/>
      <c r="C34" s="303" t="n"/>
      <c r="D34" s="303" t="n"/>
      <c r="E34" s="303" t="n"/>
      <c r="F34" s="303" t="n"/>
      <c r="G34" s="303" t="n"/>
      <c r="H34" s="303" t="n"/>
      <c r="I34" s="303" t="n"/>
      <c r="J34" s="303" t="n"/>
      <c r="K34" s="303" t="n"/>
      <c r="L34" s="303" t="n"/>
      <c r="M34" s="303" t="n"/>
      <c r="N34" s="303" t="n"/>
      <c r="O34" s="303" t="n"/>
      <c r="P34" s="303" t="n"/>
      <c r="Q34" s="303">
        <f>IF(OR(A34="",A34="RESULT-TEMPLATE"),"",IF(AND(ISNUMBER(G34),ISNUMBER(H34),ISNUMBER(I34),H34&lt;=G34,G34&lt;=I34),"VALID","INVALID_INTERVAL"))</f>
        <v/>
      </c>
      <c r="R34" s="303">
        <f>IF(OR(A34="",A34="RESULT-TEMPLATE"),"",IF(AND(C34&lt;&gt;"",E34&lt;&gt;"",F34&lt;&gt;"",J34&lt;&gt;"",N34&lt;&gt;"",O34&lt;&gt;"",P34&lt;&gt;"",Q34="VALID"),"VALID","INVALID_OR_INCOMPLETE"))</f>
        <v/>
      </c>
    </row>
    <row r="35">
      <c r="A35" s="303" t="n"/>
      <c r="B35" s="303" t="n"/>
      <c r="C35" s="303" t="n"/>
      <c r="D35" s="303" t="n"/>
      <c r="E35" s="303" t="n"/>
      <c r="F35" s="303" t="n"/>
      <c r="G35" s="303" t="n"/>
      <c r="H35" s="303" t="n"/>
      <c r="I35" s="303" t="n"/>
      <c r="J35" s="303" t="n"/>
      <c r="K35" s="303" t="n"/>
      <c r="L35" s="303" t="n"/>
      <c r="M35" s="303" t="n"/>
      <c r="N35" s="303" t="n"/>
      <c r="O35" s="303" t="n"/>
      <c r="P35" s="303" t="n"/>
      <c r="Q35" s="303">
        <f>IF(OR(A35="",A35="RESULT-TEMPLATE"),"",IF(AND(ISNUMBER(G35),ISNUMBER(H35),ISNUMBER(I35),H35&lt;=G35,G35&lt;=I35),"VALID","INVALID_INTERVAL"))</f>
        <v/>
      </c>
      <c r="R35" s="303">
        <f>IF(OR(A35="",A35="RESULT-TEMPLATE"),"",IF(AND(C35&lt;&gt;"",E35&lt;&gt;"",F35&lt;&gt;"",J35&lt;&gt;"",N35&lt;&gt;"",O35&lt;&gt;"",P35&lt;&gt;"",Q35="VALID"),"VALID","INVALID_OR_INCOMPLETE"))</f>
        <v/>
      </c>
    </row>
    <row r="36">
      <c r="A36" s="303" t="n"/>
      <c r="B36" s="303" t="n"/>
      <c r="C36" s="303" t="n"/>
      <c r="D36" s="303" t="n"/>
      <c r="E36" s="303" t="n"/>
      <c r="F36" s="303" t="n"/>
      <c r="G36" s="303" t="n"/>
      <c r="H36" s="303" t="n"/>
      <c r="I36" s="303" t="n"/>
      <c r="J36" s="303" t="n"/>
      <c r="K36" s="303" t="n"/>
      <c r="L36" s="303" t="n"/>
      <c r="M36" s="303" t="n"/>
      <c r="N36" s="303" t="n"/>
      <c r="O36" s="303" t="n"/>
      <c r="P36" s="303" t="n"/>
      <c r="Q36" s="303">
        <f>IF(OR(A36="",A36="RESULT-TEMPLATE"),"",IF(AND(ISNUMBER(G36),ISNUMBER(H36),ISNUMBER(I36),H36&lt;=G36,G36&lt;=I36),"VALID","INVALID_INTERVAL"))</f>
        <v/>
      </c>
      <c r="R36" s="303">
        <f>IF(OR(A36="",A36="RESULT-TEMPLATE"),"",IF(AND(C36&lt;&gt;"",E36&lt;&gt;"",F36&lt;&gt;"",J36&lt;&gt;"",N36&lt;&gt;"",O36&lt;&gt;"",P36&lt;&gt;"",Q36="VALID"),"VALID","INVALID_OR_INCOMPLETE"))</f>
        <v/>
      </c>
    </row>
    <row r="37">
      <c r="A37" s="303" t="n"/>
      <c r="B37" s="303" t="n"/>
      <c r="C37" s="303" t="n"/>
      <c r="D37" s="303" t="n"/>
      <c r="E37" s="303" t="n"/>
      <c r="F37" s="303" t="n"/>
      <c r="G37" s="303" t="n"/>
      <c r="H37" s="303" t="n"/>
      <c r="I37" s="303" t="n"/>
      <c r="J37" s="303" t="n"/>
      <c r="K37" s="303" t="n"/>
      <c r="L37" s="303" t="n"/>
      <c r="M37" s="303" t="n"/>
      <c r="N37" s="303" t="n"/>
      <c r="O37" s="303" t="n"/>
      <c r="P37" s="303" t="n"/>
      <c r="Q37" s="303">
        <f>IF(OR(A37="",A37="RESULT-TEMPLATE"),"",IF(AND(ISNUMBER(G37),ISNUMBER(H37),ISNUMBER(I37),H37&lt;=G37,G37&lt;=I37),"VALID","INVALID_INTERVAL"))</f>
        <v/>
      </c>
      <c r="R37" s="303">
        <f>IF(OR(A37="",A37="RESULT-TEMPLATE"),"",IF(AND(C37&lt;&gt;"",E37&lt;&gt;"",F37&lt;&gt;"",J37&lt;&gt;"",N37&lt;&gt;"",O37&lt;&gt;"",P37&lt;&gt;"",Q37="VALID"),"VALID","INVALID_OR_INCOMPLETE"))</f>
        <v/>
      </c>
    </row>
    <row r="38">
      <c r="A38" s="303" t="n"/>
      <c r="B38" s="303" t="n"/>
      <c r="C38" s="303" t="n"/>
      <c r="D38" s="303" t="n"/>
      <c r="E38" s="303" t="n"/>
      <c r="F38" s="303" t="n"/>
      <c r="G38" s="303" t="n"/>
      <c r="H38" s="303" t="n"/>
      <c r="I38" s="303" t="n"/>
      <c r="J38" s="303" t="n"/>
      <c r="K38" s="303" t="n"/>
      <c r="L38" s="303" t="n"/>
      <c r="M38" s="303" t="n"/>
      <c r="N38" s="303" t="n"/>
      <c r="O38" s="303" t="n"/>
      <c r="P38" s="303" t="n"/>
      <c r="Q38" s="303">
        <f>IF(OR(A38="",A38="RESULT-TEMPLATE"),"",IF(AND(ISNUMBER(G38),ISNUMBER(H38),ISNUMBER(I38),H38&lt;=G38,G38&lt;=I38),"VALID","INVALID_INTERVAL"))</f>
        <v/>
      </c>
      <c r="R38" s="303">
        <f>IF(OR(A38="",A38="RESULT-TEMPLATE"),"",IF(AND(C38&lt;&gt;"",E38&lt;&gt;"",F38&lt;&gt;"",J38&lt;&gt;"",N38&lt;&gt;"",O38&lt;&gt;"",P38&lt;&gt;"",Q38="VALID"),"VALID","INVALID_OR_INCOMPLETE"))</f>
        <v/>
      </c>
    </row>
    <row r="39">
      <c r="A39" s="303" t="n"/>
      <c r="B39" s="303" t="n"/>
      <c r="C39" s="303" t="n"/>
      <c r="D39" s="303" t="n"/>
      <c r="E39" s="303" t="n"/>
      <c r="F39" s="303" t="n"/>
      <c r="G39" s="303" t="n"/>
      <c r="H39" s="303" t="n"/>
      <c r="I39" s="303" t="n"/>
      <c r="J39" s="303" t="n"/>
      <c r="K39" s="303" t="n"/>
      <c r="L39" s="303" t="n"/>
      <c r="M39" s="303" t="n"/>
      <c r="N39" s="303" t="n"/>
      <c r="O39" s="303" t="n"/>
      <c r="P39" s="303" t="n"/>
      <c r="Q39" s="303">
        <f>IF(OR(A39="",A39="RESULT-TEMPLATE"),"",IF(AND(ISNUMBER(G39),ISNUMBER(H39),ISNUMBER(I39),H39&lt;=G39,G39&lt;=I39),"VALID","INVALID_INTERVAL"))</f>
        <v/>
      </c>
      <c r="R39" s="303">
        <f>IF(OR(A39="",A39="RESULT-TEMPLATE"),"",IF(AND(C39&lt;&gt;"",E39&lt;&gt;"",F39&lt;&gt;"",J39&lt;&gt;"",N39&lt;&gt;"",O39&lt;&gt;"",P39&lt;&gt;"",Q39="VALID"),"VALID","INVALID_OR_INCOMPLETE"))</f>
        <v/>
      </c>
    </row>
    <row r="40">
      <c r="A40" s="303" t="n"/>
      <c r="B40" s="303" t="n"/>
      <c r="C40" s="303" t="n"/>
      <c r="D40" s="303" t="n"/>
      <c r="E40" s="303" t="n"/>
      <c r="F40" s="303" t="n"/>
      <c r="G40" s="303" t="n"/>
      <c r="H40" s="303" t="n"/>
      <c r="I40" s="303" t="n"/>
      <c r="J40" s="303" t="n"/>
      <c r="K40" s="303" t="n"/>
      <c r="L40" s="303" t="n"/>
      <c r="M40" s="303" t="n"/>
      <c r="N40" s="303" t="n"/>
      <c r="O40" s="303" t="n"/>
      <c r="P40" s="303" t="n"/>
      <c r="Q40" s="303">
        <f>IF(OR(A40="",A40="RESULT-TEMPLATE"),"",IF(AND(ISNUMBER(G40),ISNUMBER(H40),ISNUMBER(I40),H40&lt;=G40,G40&lt;=I40),"VALID","INVALID_INTERVAL"))</f>
        <v/>
      </c>
      <c r="R40" s="303">
        <f>IF(OR(A40="",A40="RESULT-TEMPLATE"),"",IF(AND(C40&lt;&gt;"",E40&lt;&gt;"",F40&lt;&gt;"",J40&lt;&gt;"",N40&lt;&gt;"",O40&lt;&gt;"",P40&lt;&gt;"",Q40="VALID"),"VALID","INVALID_OR_INCOMPLETE"))</f>
        <v/>
      </c>
    </row>
    <row r="41">
      <c r="A41" s="303" t="n"/>
      <c r="B41" s="303" t="n"/>
      <c r="C41" s="303" t="n"/>
      <c r="D41" s="303" t="n"/>
      <c r="E41" s="303" t="n"/>
      <c r="F41" s="303" t="n"/>
      <c r="G41" s="303" t="n"/>
      <c r="H41" s="303" t="n"/>
      <c r="I41" s="303" t="n"/>
      <c r="J41" s="303" t="n"/>
      <c r="K41" s="303" t="n"/>
      <c r="L41" s="303" t="n"/>
      <c r="M41" s="303" t="n"/>
      <c r="N41" s="303" t="n"/>
      <c r="O41" s="303" t="n"/>
      <c r="P41" s="303" t="n"/>
      <c r="Q41" s="303">
        <f>IF(OR(A41="",A41="RESULT-TEMPLATE"),"",IF(AND(ISNUMBER(G41),ISNUMBER(H41),ISNUMBER(I41),H41&lt;=G41,G41&lt;=I41),"VALID","INVALID_INTERVAL"))</f>
        <v/>
      </c>
      <c r="R41" s="303">
        <f>IF(OR(A41="",A41="RESULT-TEMPLATE"),"",IF(AND(C41&lt;&gt;"",E41&lt;&gt;"",F41&lt;&gt;"",J41&lt;&gt;"",N41&lt;&gt;"",O41&lt;&gt;"",P41&lt;&gt;"",Q41="VALID"),"VALID","INVALID_OR_INCOMPLETE"))</f>
        <v/>
      </c>
    </row>
    <row r="42">
      <c r="A42" s="303" t="n"/>
      <c r="B42" s="303" t="n"/>
      <c r="C42" s="303" t="n"/>
      <c r="D42" s="303" t="n"/>
      <c r="E42" s="303" t="n"/>
      <c r="F42" s="303" t="n"/>
      <c r="G42" s="303" t="n"/>
      <c r="H42" s="303" t="n"/>
      <c r="I42" s="303" t="n"/>
      <c r="J42" s="303" t="n"/>
      <c r="K42" s="303" t="n"/>
      <c r="L42" s="303" t="n"/>
      <c r="M42" s="303" t="n"/>
      <c r="N42" s="303" t="n"/>
      <c r="O42" s="303" t="n"/>
      <c r="P42" s="303" t="n"/>
      <c r="Q42" s="303">
        <f>IF(OR(A42="",A42="RESULT-TEMPLATE"),"",IF(AND(ISNUMBER(G42),ISNUMBER(H42),ISNUMBER(I42),H42&lt;=G42,G42&lt;=I42),"VALID","INVALID_INTERVAL"))</f>
        <v/>
      </c>
      <c r="R42" s="303">
        <f>IF(OR(A42="",A42="RESULT-TEMPLATE"),"",IF(AND(C42&lt;&gt;"",E42&lt;&gt;"",F42&lt;&gt;"",J42&lt;&gt;"",N42&lt;&gt;"",O42&lt;&gt;"",P42&lt;&gt;"",Q42="VALID"),"VALID","INVALID_OR_INCOMPLETE"))</f>
        <v/>
      </c>
    </row>
    <row r="43">
      <c r="A43" s="303" t="n"/>
      <c r="B43" s="303" t="n"/>
      <c r="C43" s="303" t="n"/>
      <c r="D43" s="303" t="n"/>
      <c r="E43" s="303" t="n"/>
      <c r="F43" s="303" t="n"/>
      <c r="G43" s="303" t="n"/>
      <c r="H43" s="303" t="n"/>
      <c r="I43" s="303" t="n"/>
      <c r="J43" s="303" t="n"/>
      <c r="K43" s="303" t="n"/>
      <c r="L43" s="303" t="n"/>
      <c r="M43" s="303" t="n"/>
      <c r="N43" s="303" t="n"/>
      <c r="O43" s="303" t="n"/>
      <c r="P43" s="303" t="n"/>
      <c r="Q43" s="303">
        <f>IF(OR(A43="",A43="RESULT-TEMPLATE"),"",IF(AND(ISNUMBER(G43),ISNUMBER(H43),ISNUMBER(I43),H43&lt;=G43,G43&lt;=I43),"VALID","INVALID_INTERVAL"))</f>
        <v/>
      </c>
      <c r="R43" s="303">
        <f>IF(OR(A43="",A43="RESULT-TEMPLATE"),"",IF(AND(C43&lt;&gt;"",E43&lt;&gt;"",F43&lt;&gt;"",J43&lt;&gt;"",N43&lt;&gt;"",O43&lt;&gt;"",P43&lt;&gt;"",Q43="VALID"),"VALID","INVALID_OR_INCOMPLETE"))</f>
        <v/>
      </c>
    </row>
    <row r="44">
      <c r="A44" s="303" t="n"/>
      <c r="B44" s="303" t="n"/>
      <c r="C44" s="303" t="n"/>
      <c r="D44" s="303" t="n"/>
      <c r="E44" s="303" t="n"/>
      <c r="F44" s="303" t="n"/>
      <c r="G44" s="303" t="n"/>
      <c r="H44" s="303" t="n"/>
      <c r="I44" s="303" t="n"/>
      <c r="J44" s="303" t="n"/>
      <c r="K44" s="303" t="n"/>
      <c r="L44" s="303" t="n"/>
      <c r="M44" s="303" t="n"/>
      <c r="N44" s="303" t="n"/>
      <c r="O44" s="303" t="n"/>
      <c r="P44" s="303" t="n"/>
      <c r="Q44" s="303">
        <f>IF(OR(A44="",A44="RESULT-TEMPLATE"),"",IF(AND(ISNUMBER(G44),ISNUMBER(H44),ISNUMBER(I44),H44&lt;=G44,G44&lt;=I44),"VALID","INVALID_INTERVAL"))</f>
        <v/>
      </c>
      <c r="R44" s="303">
        <f>IF(OR(A44="",A44="RESULT-TEMPLATE"),"",IF(AND(C44&lt;&gt;"",E44&lt;&gt;"",F44&lt;&gt;"",J44&lt;&gt;"",N44&lt;&gt;"",O44&lt;&gt;"",P44&lt;&gt;"",Q44="VALID"),"VALID","INVALID_OR_INCOMPLETE"))</f>
        <v/>
      </c>
    </row>
    <row r="45">
      <c r="A45" s="303" t="n"/>
      <c r="B45" s="303" t="n"/>
      <c r="C45" s="303" t="n"/>
      <c r="D45" s="303" t="n"/>
      <c r="E45" s="303" t="n"/>
      <c r="F45" s="303" t="n"/>
      <c r="G45" s="303" t="n"/>
      <c r="H45" s="303" t="n"/>
      <c r="I45" s="303" t="n"/>
      <c r="J45" s="303" t="n"/>
      <c r="K45" s="303" t="n"/>
      <c r="L45" s="303" t="n"/>
      <c r="M45" s="303" t="n"/>
      <c r="N45" s="303" t="n"/>
      <c r="O45" s="303" t="n"/>
      <c r="P45" s="303" t="n"/>
      <c r="Q45" s="303">
        <f>IF(OR(A45="",A45="RESULT-TEMPLATE"),"",IF(AND(ISNUMBER(G45),ISNUMBER(H45),ISNUMBER(I45),H45&lt;=G45,G45&lt;=I45),"VALID","INVALID_INTERVAL"))</f>
        <v/>
      </c>
      <c r="R45" s="303">
        <f>IF(OR(A45="",A45="RESULT-TEMPLATE"),"",IF(AND(C45&lt;&gt;"",E45&lt;&gt;"",F45&lt;&gt;"",J45&lt;&gt;"",N45&lt;&gt;"",O45&lt;&gt;"",P45&lt;&gt;"",Q45="VALID"),"VALID","INVALID_OR_INCOMPLETE"))</f>
        <v/>
      </c>
    </row>
    <row r="46">
      <c r="A46" s="303" t="n"/>
      <c r="B46" s="303" t="n"/>
      <c r="C46" s="303" t="n"/>
      <c r="D46" s="303" t="n"/>
      <c r="E46" s="303" t="n"/>
      <c r="F46" s="303" t="n"/>
      <c r="G46" s="303" t="n"/>
      <c r="H46" s="303" t="n"/>
      <c r="I46" s="303" t="n"/>
      <c r="J46" s="303" t="n"/>
      <c r="K46" s="303" t="n"/>
      <c r="L46" s="303" t="n"/>
      <c r="M46" s="303" t="n"/>
      <c r="N46" s="303" t="n"/>
      <c r="O46" s="303" t="n"/>
      <c r="P46" s="303" t="n"/>
      <c r="Q46" s="303">
        <f>IF(OR(A46="",A46="RESULT-TEMPLATE"),"",IF(AND(ISNUMBER(G46),ISNUMBER(H46),ISNUMBER(I46),H46&lt;=G46,G46&lt;=I46),"VALID","INVALID_INTERVAL"))</f>
        <v/>
      </c>
      <c r="R46" s="303">
        <f>IF(OR(A46="",A46="RESULT-TEMPLATE"),"",IF(AND(C46&lt;&gt;"",E46&lt;&gt;"",F46&lt;&gt;"",J46&lt;&gt;"",N46&lt;&gt;"",O46&lt;&gt;"",P46&lt;&gt;"",Q46="VALID"),"VALID","INVALID_OR_INCOMPLETE"))</f>
        <v/>
      </c>
    </row>
    <row r="47">
      <c r="A47" s="303" t="n"/>
      <c r="B47" s="303" t="n"/>
      <c r="C47" s="303" t="n"/>
      <c r="D47" s="303" t="n"/>
      <c r="E47" s="303" t="n"/>
      <c r="F47" s="303" t="n"/>
      <c r="G47" s="303" t="n"/>
      <c r="H47" s="303" t="n"/>
      <c r="I47" s="303" t="n"/>
      <c r="J47" s="303" t="n"/>
      <c r="K47" s="303" t="n"/>
      <c r="L47" s="303" t="n"/>
      <c r="M47" s="303" t="n"/>
      <c r="N47" s="303" t="n"/>
      <c r="O47" s="303" t="n"/>
      <c r="P47" s="303" t="n"/>
      <c r="Q47" s="303">
        <f>IF(OR(A47="",A47="RESULT-TEMPLATE"),"",IF(AND(ISNUMBER(G47),ISNUMBER(H47),ISNUMBER(I47),H47&lt;=G47,G47&lt;=I47),"VALID","INVALID_INTERVAL"))</f>
        <v/>
      </c>
      <c r="R47" s="303">
        <f>IF(OR(A47="",A47="RESULT-TEMPLATE"),"",IF(AND(C47&lt;&gt;"",E47&lt;&gt;"",F47&lt;&gt;"",J47&lt;&gt;"",N47&lt;&gt;"",O47&lt;&gt;"",P47&lt;&gt;"",Q47="VALID"),"VALID","INVALID_OR_INCOMPLETE"))</f>
        <v/>
      </c>
    </row>
    <row r="48">
      <c r="A48" s="303" t="n"/>
      <c r="B48" s="303" t="n"/>
      <c r="C48" s="303" t="n"/>
      <c r="D48" s="303" t="n"/>
      <c r="E48" s="303" t="n"/>
      <c r="F48" s="303" t="n"/>
      <c r="G48" s="303" t="n"/>
      <c r="H48" s="303" t="n"/>
      <c r="I48" s="303" t="n"/>
      <c r="J48" s="303" t="n"/>
      <c r="K48" s="303" t="n"/>
      <c r="L48" s="303" t="n"/>
      <c r="M48" s="303" t="n"/>
      <c r="N48" s="303" t="n"/>
      <c r="O48" s="303" t="n"/>
      <c r="P48" s="303" t="n"/>
      <c r="Q48" s="303">
        <f>IF(OR(A48="",A48="RESULT-TEMPLATE"),"",IF(AND(ISNUMBER(G48),ISNUMBER(H48),ISNUMBER(I48),H48&lt;=G48,G48&lt;=I48),"VALID","INVALID_INTERVAL"))</f>
        <v/>
      </c>
      <c r="R48" s="303">
        <f>IF(OR(A48="",A48="RESULT-TEMPLATE"),"",IF(AND(C48&lt;&gt;"",E48&lt;&gt;"",F48&lt;&gt;"",J48&lt;&gt;"",N48&lt;&gt;"",O48&lt;&gt;"",P48&lt;&gt;"",Q48="VALID"),"VALID","INVALID_OR_INCOMPLETE"))</f>
        <v/>
      </c>
    </row>
    <row r="49">
      <c r="A49" s="303" t="n"/>
      <c r="B49" s="303" t="n"/>
      <c r="C49" s="303" t="n"/>
      <c r="D49" s="303" t="n"/>
      <c r="E49" s="303" t="n"/>
      <c r="F49" s="303" t="n"/>
      <c r="G49" s="303" t="n"/>
      <c r="H49" s="303" t="n"/>
      <c r="I49" s="303" t="n"/>
      <c r="J49" s="303" t="n"/>
      <c r="K49" s="303" t="n"/>
      <c r="L49" s="303" t="n"/>
      <c r="M49" s="303" t="n"/>
      <c r="N49" s="303" t="n"/>
      <c r="O49" s="303" t="n"/>
      <c r="P49" s="303" t="n"/>
      <c r="Q49" s="303">
        <f>IF(OR(A49="",A49="RESULT-TEMPLATE"),"",IF(AND(ISNUMBER(G49),ISNUMBER(H49),ISNUMBER(I49),H49&lt;=G49,G49&lt;=I49),"VALID","INVALID_INTERVAL"))</f>
        <v/>
      </c>
      <c r="R49" s="303">
        <f>IF(OR(A49="",A49="RESULT-TEMPLATE"),"",IF(AND(C49&lt;&gt;"",E49&lt;&gt;"",F49&lt;&gt;"",J49&lt;&gt;"",N49&lt;&gt;"",O49&lt;&gt;"",P49&lt;&gt;"",Q49="VALID"),"VALID","INVALID_OR_INCOMPLETE"))</f>
        <v/>
      </c>
    </row>
    <row r="50">
      <c r="A50" s="303" t="n"/>
      <c r="B50" s="303" t="n"/>
      <c r="C50" s="303" t="n"/>
      <c r="D50" s="303" t="n"/>
      <c r="E50" s="303" t="n"/>
      <c r="F50" s="303" t="n"/>
      <c r="G50" s="303" t="n"/>
      <c r="H50" s="303" t="n"/>
      <c r="I50" s="303" t="n"/>
      <c r="J50" s="303" t="n"/>
      <c r="K50" s="303" t="n"/>
      <c r="L50" s="303" t="n"/>
      <c r="M50" s="303" t="n"/>
      <c r="N50" s="303" t="n"/>
      <c r="O50" s="303" t="n"/>
      <c r="P50" s="303" t="n"/>
      <c r="Q50" s="303">
        <f>IF(OR(A50="",A50="RESULT-TEMPLATE"),"",IF(AND(ISNUMBER(G50),ISNUMBER(H50),ISNUMBER(I50),H50&lt;=G50,G50&lt;=I50),"VALID","INVALID_INTERVAL"))</f>
        <v/>
      </c>
      <c r="R50" s="303">
        <f>IF(OR(A50="",A50="RESULT-TEMPLATE"),"",IF(AND(C50&lt;&gt;"",E50&lt;&gt;"",F50&lt;&gt;"",J50&lt;&gt;"",N50&lt;&gt;"",O50&lt;&gt;"",P50&lt;&gt;"",Q50="VALID"),"VALID","INVALID_OR_INCOMPLETE"))</f>
        <v/>
      </c>
    </row>
    <row r="51">
      <c r="A51" s="303" t="n"/>
      <c r="B51" s="303" t="n"/>
      <c r="C51" s="303" t="n"/>
      <c r="D51" s="303" t="n"/>
      <c r="E51" s="303" t="n"/>
      <c r="F51" s="303" t="n"/>
      <c r="G51" s="303" t="n"/>
      <c r="H51" s="303" t="n"/>
      <c r="I51" s="303" t="n"/>
      <c r="J51" s="303" t="n"/>
      <c r="K51" s="303" t="n"/>
      <c r="L51" s="303" t="n"/>
      <c r="M51" s="303" t="n"/>
      <c r="N51" s="303" t="n"/>
      <c r="O51" s="303" t="n"/>
      <c r="P51" s="303" t="n"/>
      <c r="Q51" s="303">
        <f>IF(OR(A51="",A51="RESULT-TEMPLATE"),"",IF(AND(ISNUMBER(G51),ISNUMBER(H51),ISNUMBER(I51),H51&lt;=G51,G51&lt;=I51),"VALID","INVALID_INTERVAL"))</f>
        <v/>
      </c>
      <c r="R51" s="303">
        <f>IF(OR(A51="",A51="RESULT-TEMPLATE"),"",IF(AND(C51&lt;&gt;"",E51&lt;&gt;"",F51&lt;&gt;"",J51&lt;&gt;"",N51&lt;&gt;"",O51&lt;&gt;"",P51&lt;&gt;"",Q51="VALID"),"VALID","INVALID_OR_INCOMPLETE"))</f>
        <v/>
      </c>
    </row>
    <row r="52">
      <c r="A52" s="303" t="n"/>
      <c r="B52" s="303" t="n"/>
      <c r="C52" s="303" t="n"/>
      <c r="D52" s="303" t="n"/>
      <c r="E52" s="303" t="n"/>
      <c r="F52" s="303" t="n"/>
      <c r="G52" s="303" t="n"/>
      <c r="H52" s="303" t="n"/>
      <c r="I52" s="303" t="n"/>
      <c r="J52" s="303" t="n"/>
      <c r="K52" s="303" t="n"/>
      <c r="L52" s="303" t="n"/>
      <c r="M52" s="303" t="n"/>
      <c r="N52" s="303" t="n"/>
      <c r="O52" s="303" t="n"/>
      <c r="P52" s="303" t="n"/>
      <c r="Q52" s="303">
        <f>IF(OR(A52="",A52="RESULT-TEMPLATE"),"",IF(AND(ISNUMBER(G52),ISNUMBER(H52),ISNUMBER(I52),H52&lt;=G52,G52&lt;=I52),"VALID","INVALID_INTERVAL"))</f>
        <v/>
      </c>
      <c r="R52" s="303">
        <f>IF(OR(A52="",A52="RESULT-TEMPLATE"),"",IF(AND(C52&lt;&gt;"",E52&lt;&gt;"",F52&lt;&gt;"",J52&lt;&gt;"",N52&lt;&gt;"",O52&lt;&gt;"",P52&lt;&gt;"",Q52="VALID"),"VALID","INVALID_OR_INCOMPLETE"))</f>
        <v/>
      </c>
    </row>
    <row r="53">
      <c r="A53" s="303" t="n"/>
      <c r="B53" s="303" t="n"/>
      <c r="C53" s="303" t="n"/>
      <c r="D53" s="303" t="n"/>
      <c r="E53" s="303" t="n"/>
      <c r="F53" s="303" t="n"/>
      <c r="G53" s="303" t="n"/>
      <c r="H53" s="303" t="n"/>
      <c r="I53" s="303" t="n"/>
      <c r="J53" s="303" t="n"/>
      <c r="K53" s="303" t="n"/>
      <c r="L53" s="303" t="n"/>
      <c r="M53" s="303" t="n"/>
      <c r="N53" s="303" t="n"/>
      <c r="O53" s="303" t="n"/>
      <c r="P53" s="303" t="n"/>
      <c r="Q53" s="303">
        <f>IF(OR(A53="",A53="RESULT-TEMPLATE"),"",IF(AND(ISNUMBER(G53),ISNUMBER(H53),ISNUMBER(I53),H53&lt;=G53,G53&lt;=I53),"VALID","INVALID_INTERVAL"))</f>
        <v/>
      </c>
      <c r="R53" s="303">
        <f>IF(OR(A53="",A53="RESULT-TEMPLATE"),"",IF(AND(C53&lt;&gt;"",E53&lt;&gt;"",F53&lt;&gt;"",J53&lt;&gt;"",N53&lt;&gt;"",O53&lt;&gt;"",P53&lt;&gt;"",Q53="VALID"),"VALID","INVALID_OR_INCOMPLETE"))</f>
        <v/>
      </c>
    </row>
    <row r="54">
      <c r="A54" s="303" t="n"/>
      <c r="B54" s="303" t="n"/>
      <c r="C54" s="303" t="n"/>
      <c r="D54" s="303" t="n"/>
      <c r="E54" s="303" t="n"/>
      <c r="F54" s="303" t="n"/>
      <c r="G54" s="303" t="n"/>
      <c r="H54" s="303" t="n"/>
      <c r="I54" s="303" t="n"/>
      <c r="J54" s="303" t="n"/>
      <c r="K54" s="303" t="n"/>
      <c r="L54" s="303" t="n"/>
      <c r="M54" s="303" t="n"/>
      <c r="N54" s="303" t="n"/>
      <c r="O54" s="303" t="n"/>
      <c r="P54" s="303" t="n"/>
      <c r="Q54" s="303">
        <f>IF(OR(A54="",A54="RESULT-TEMPLATE"),"",IF(AND(ISNUMBER(G54),ISNUMBER(H54),ISNUMBER(I54),H54&lt;=G54,G54&lt;=I54),"VALID","INVALID_INTERVAL"))</f>
        <v/>
      </c>
      <c r="R54" s="303">
        <f>IF(OR(A54="",A54="RESULT-TEMPLATE"),"",IF(AND(C54&lt;&gt;"",E54&lt;&gt;"",F54&lt;&gt;"",J54&lt;&gt;"",N54&lt;&gt;"",O54&lt;&gt;"",P54&lt;&gt;"",Q54="VALID"),"VALID","INVALID_OR_INCOMPLETE"))</f>
        <v/>
      </c>
    </row>
    <row r="55">
      <c r="A55" s="303" t="n"/>
      <c r="B55" s="303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>
        <f>IF(OR(A55="",A55="RESULT-TEMPLATE"),"",IF(AND(ISNUMBER(G55),ISNUMBER(H55),ISNUMBER(I55),H55&lt;=G55,G55&lt;=I55),"VALID","INVALID_INTERVAL"))</f>
        <v/>
      </c>
      <c r="R55" s="303">
        <f>IF(OR(A55="",A55="RESULT-TEMPLATE"),"",IF(AND(C55&lt;&gt;"",E55&lt;&gt;"",F55&lt;&gt;"",J55&lt;&gt;"",N55&lt;&gt;"",O55&lt;&gt;"",P55&lt;&gt;"",Q55="VALID"),"VALID","INVALID_OR_INCOMPLETE"))</f>
        <v/>
      </c>
    </row>
    <row r="56">
      <c r="A56" s="303" t="n"/>
      <c r="B56" s="303" t="n"/>
      <c r="C56" s="303" t="n"/>
      <c r="D56" s="303" t="n"/>
      <c r="E56" s="303" t="n"/>
      <c r="F56" s="303" t="n"/>
      <c r="G56" s="303" t="n"/>
      <c r="H56" s="303" t="n"/>
      <c r="I56" s="303" t="n"/>
      <c r="J56" s="303" t="n"/>
      <c r="K56" s="303" t="n"/>
      <c r="L56" s="303" t="n"/>
      <c r="M56" s="303" t="n"/>
      <c r="N56" s="303" t="n"/>
      <c r="O56" s="303" t="n"/>
      <c r="P56" s="303" t="n"/>
      <c r="Q56" s="303">
        <f>IF(OR(A56="",A56="RESULT-TEMPLATE"),"",IF(AND(ISNUMBER(G56),ISNUMBER(H56),ISNUMBER(I56),H56&lt;=G56,G56&lt;=I56),"VALID","INVALID_INTERVAL"))</f>
        <v/>
      </c>
      <c r="R56" s="303">
        <f>IF(OR(A56="",A56="RESULT-TEMPLATE"),"",IF(AND(C56&lt;&gt;"",E56&lt;&gt;"",F56&lt;&gt;"",J56&lt;&gt;"",N56&lt;&gt;"",O56&lt;&gt;"",P56&lt;&gt;"",Q56="VALID"),"VALID","INVALID_OR_INCOMPLETE"))</f>
        <v/>
      </c>
    </row>
    <row r="57">
      <c r="A57" s="303" t="n"/>
      <c r="B57" s="303" t="n"/>
      <c r="C57" s="303" t="n"/>
      <c r="D57" s="303" t="n"/>
      <c r="E57" s="303" t="n"/>
      <c r="F57" s="303" t="n"/>
      <c r="G57" s="303" t="n"/>
      <c r="H57" s="303" t="n"/>
      <c r="I57" s="303" t="n"/>
      <c r="J57" s="303" t="n"/>
      <c r="K57" s="303" t="n"/>
      <c r="L57" s="303" t="n"/>
      <c r="M57" s="303" t="n"/>
      <c r="N57" s="303" t="n"/>
      <c r="O57" s="303" t="n"/>
      <c r="P57" s="303" t="n"/>
      <c r="Q57" s="303">
        <f>IF(OR(A57="",A57="RESULT-TEMPLATE"),"",IF(AND(ISNUMBER(G57),ISNUMBER(H57),ISNUMBER(I57),H57&lt;=G57,G57&lt;=I57),"VALID","INVALID_INTERVAL"))</f>
        <v/>
      </c>
      <c r="R57" s="303">
        <f>IF(OR(A57="",A57="RESULT-TEMPLATE"),"",IF(AND(C57&lt;&gt;"",E57&lt;&gt;"",F57&lt;&gt;"",J57&lt;&gt;"",N57&lt;&gt;"",O57&lt;&gt;"",P57&lt;&gt;"",Q57="VALID"),"VALID","INVALID_OR_INCOMPLETE"))</f>
        <v/>
      </c>
    </row>
    <row r="58">
      <c r="A58" s="303" t="n"/>
      <c r="B58" s="303" t="n"/>
      <c r="C58" s="303" t="n"/>
      <c r="D58" s="303" t="n"/>
      <c r="E58" s="303" t="n"/>
      <c r="F58" s="303" t="n"/>
      <c r="G58" s="303" t="n"/>
      <c r="H58" s="303" t="n"/>
      <c r="I58" s="303" t="n"/>
      <c r="J58" s="303" t="n"/>
      <c r="K58" s="303" t="n"/>
      <c r="L58" s="303" t="n"/>
      <c r="M58" s="303" t="n"/>
      <c r="N58" s="303" t="n"/>
      <c r="O58" s="303" t="n"/>
      <c r="P58" s="303" t="n"/>
      <c r="Q58" s="303">
        <f>IF(OR(A58="",A58="RESULT-TEMPLATE"),"",IF(AND(ISNUMBER(G58),ISNUMBER(H58),ISNUMBER(I58),H58&lt;=G58,G58&lt;=I58),"VALID","INVALID_INTERVAL"))</f>
        <v/>
      </c>
      <c r="R58" s="303">
        <f>IF(OR(A58="",A58="RESULT-TEMPLATE"),"",IF(AND(C58&lt;&gt;"",E58&lt;&gt;"",F58&lt;&gt;"",J58&lt;&gt;"",N58&lt;&gt;"",O58&lt;&gt;"",P58&lt;&gt;"",Q58="VALID"),"VALID","INVALID_OR_INCOMPLETE"))</f>
        <v/>
      </c>
    </row>
    <row r="59">
      <c r="A59" s="303" t="n"/>
      <c r="B59" s="303" t="n"/>
      <c r="C59" s="303" t="n"/>
      <c r="D59" s="303" t="n"/>
      <c r="E59" s="303" t="n"/>
      <c r="F59" s="303" t="n"/>
      <c r="G59" s="303" t="n"/>
      <c r="H59" s="303" t="n"/>
      <c r="I59" s="303" t="n"/>
      <c r="J59" s="303" t="n"/>
      <c r="K59" s="303" t="n"/>
      <c r="L59" s="303" t="n"/>
      <c r="M59" s="303" t="n"/>
      <c r="N59" s="303" t="n"/>
      <c r="O59" s="303" t="n"/>
      <c r="P59" s="303" t="n"/>
      <c r="Q59" s="303">
        <f>IF(OR(A59="",A59="RESULT-TEMPLATE"),"",IF(AND(ISNUMBER(G59),ISNUMBER(H59),ISNUMBER(I59),H59&lt;=G59,G59&lt;=I59),"VALID","INVALID_INTERVAL"))</f>
        <v/>
      </c>
      <c r="R59" s="303">
        <f>IF(OR(A59="",A59="RESULT-TEMPLATE"),"",IF(AND(C59&lt;&gt;"",E59&lt;&gt;"",F59&lt;&gt;"",J59&lt;&gt;"",N59&lt;&gt;"",O59&lt;&gt;"",P59&lt;&gt;"",Q59="VALID"),"VALID","INVALID_OR_INCOMPLETE"))</f>
        <v/>
      </c>
    </row>
    <row r="60">
      <c r="A60" s="303" t="n"/>
      <c r="B60" s="303" t="n"/>
      <c r="C60" s="303" t="n"/>
      <c r="D60" s="303" t="n"/>
      <c r="E60" s="303" t="n"/>
      <c r="F60" s="303" t="n"/>
      <c r="G60" s="303" t="n"/>
      <c r="H60" s="303" t="n"/>
      <c r="I60" s="303" t="n"/>
      <c r="J60" s="303" t="n"/>
      <c r="K60" s="303" t="n"/>
      <c r="L60" s="303" t="n"/>
      <c r="M60" s="303" t="n"/>
      <c r="N60" s="303" t="n"/>
      <c r="O60" s="303" t="n"/>
      <c r="P60" s="303" t="n"/>
      <c r="Q60" s="303">
        <f>IF(OR(A60="",A60="RESULT-TEMPLATE"),"",IF(AND(ISNUMBER(G60),ISNUMBER(H60),ISNUMBER(I60),H60&lt;=G60,G60&lt;=I60),"VALID","INVALID_INTERVAL"))</f>
        <v/>
      </c>
      <c r="R60" s="303">
        <f>IF(OR(A60="",A60="RESULT-TEMPLATE"),"",IF(AND(C60&lt;&gt;"",E60&lt;&gt;"",F60&lt;&gt;"",J60&lt;&gt;"",N60&lt;&gt;"",O60&lt;&gt;"",P60&lt;&gt;"",Q60="VALID"),"VALID","INVALID_OR_INCOMPLETE"))</f>
        <v/>
      </c>
    </row>
    <row r="61">
      <c r="A61" s="303" t="n"/>
      <c r="B61" s="303" t="n"/>
      <c r="C61" s="303" t="n"/>
      <c r="D61" s="303" t="n"/>
      <c r="E61" s="303" t="n"/>
      <c r="F61" s="303" t="n"/>
      <c r="G61" s="303" t="n"/>
      <c r="H61" s="303" t="n"/>
      <c r="I61" s="303" t="n"/>
      <c r="J61" s="303" t="n"/>
      <c r="K61" s="303" t="n"/>
      <c r="L61" s="303" t="n"/>
      <c r="M61" s="303" t="n"/>
      <c r="N61" s="303" t="n"/>
      <c r="O61" s="303" t="n"/>
      <c r="P61" s="303" t="n"/>
      <c r="Q61" s="303">
        <f>IF(OR(A61="",A61="RESULT-TEMPLATE"),"",IF(AND(ISNUMBER(G61),ISNUMBER(H61),ISNUMBER(I61),H61&lt;=G61,G61&lt;=I61),"VALID","INVALID_INTERVAL"))</f>
        <v/>
      </c>
      <c r="R61" s="303">
        <f>IF(OR(A61="",A61="RESULT-TEMPLATE"),"",IF(AND(C61&lt;&gt;"",E61&lt;&gt;"",F61&lt;&gt;"",J61&lt;&gt;"",N61&lt;&gt;"",O61&lt;&gt;"",P61&lt;&gt;"",Q61="VALID"),"VALID","INVALID_OR_INCOMPLETE"))</f>
        <v/>
      </c>
    </row>
    <row r="62">
      <c r="A62" s="303" t="n"/>
      <c r="B62" s="303" t="n"/>
      <c r="C62" s="303" t="n"/>
      <c r="D62" s="303" t="n"/>
      <c r="E62" s="303" t="n"/>
      <c r="F62" s="303" t="n"/>
      <c r="G62" s="303" t="n"/>
      <c r="H62" s="303" t="n"/>
      <c r="I62" s="303" t="n"/>
      <c r="J62" s="303" t="n"/>
      <c r="K62" s="303" t="n"/>
      <c r="L62" s="303" t="n"/>
      <c r="M62" s="303" t="n"/>
      <c r="N62" s="303" t="n"/>
      <c r="O62" s="303" t="n"/>
      <c r="P62" s="303" t="n"/>
      <c r="Q62" s="303">
        <f>IF(OR(A62="",A62="RESULT-TEMPLATE"),"",IF(AND(ISNUMBER(G62),ISNUMBER(H62),ISNUMBER(I62),H62&lt;=G62,G62&lt;=I62),"VALID","INVALID_INTERVAL"))</f>
        <v/>
      </c>
      <c r="R62" s="303">
        <f>IF(OR(A62="",A62="RESULT-TEMPLATE"),"",IF(AND(C62&lt;&gt;"",E62&lt;&gt;"",F62&lt;&gt;"",J62&lt;&gt;"",N62&lt;&gt;"",O62&lt;&gt;"",P62&lt;&gt;"",Q62="VALID"),"VALID","INVALID_OR_INCOMPLETE"))</f>
        <v/>
      </c>
    </row>
    <row r="63">
      <c r="A63" s="303" t="n"/>
      <c r="B63" s="303" t="n"/>
      <c r="C63" s="303" t="n"/>
      <c r="D63" s="303" t="n"/>
      <c r="E63" s="303" t="n"/>
      <c r="F63" s="303" t="n"/>
      <c r="G63" s="303" t="n"/>
      <c r="H63" s="303" t="n"/>
      <c r="I63" s="303" t="n"/>
      <c r="J63" s="303" t="n"/>
      <c r="K63" s="303" t="n"/>
      <c r="L63" s="303" t="n"/>
      <c r="M63" s="303" t="n"/>
      <c r="N63" s="303" t="n"/>
      <c r="O63" s="303" t="n"/>
      <c r="P63" s="303" t="n"/>
      <c r="Q63" s="303">
        <f>IF(OR(A63="",A63="RESULT-TEMPLATE"),"",IF(AND(ISNUMBER(G63),ISNUMBER(H63),ISNUMBER(I63),H63&lt;=G63,G63&lt;=I63),"VALID","INVALID_INTERVAL"))</f>
        <v/>
      </c>
      <c r="R63" s="303">
        <f>IF(OR(A63="",A63="RESULT-TEMPLATE"),"",IF(AND(C63&lt;&gt;"",E63&lt;&gt;"",F63&lt;&gt;"",J63&lt;&gt;"",N63&lt;&gt;"",O63&lt;&gt;"",P63&lt;&gt;"",Q63="VALID"),"VALID","INVALID_OR_INCOMPLETE"))</f>
        <v/>
      </c>
    </row>
    <row r="64">
      <c r="A64" s="303" t="n"/>
      <c r="B64" s="303" t="n"/>
      <c r="C64" s="303" t="n"/>
      <c r="D64" s="303" t="n"/>
      <c r="E64" s="303" t="n"/>
      <c r="F64" s="303" t="n"/>
      <c r="G64" s="303" t="n"/>
      <c r="H64" s="303" t="n"/>
      <c r="I64" s="303" t="n"/>
      <c r="J64" s="303" t="n"/>
      <c r="K64" s="303" t="n"/>
      <c r="L64" s="303" t="n"/>
      <c r="M64" s="303" t="n"/>
      <c r="N64" s="303" t="n"/>
      <c r="O64" s="303" t="n"/>
      <c r="P64" s="303" t="n"/>
      <c r="Q64" s="303">
        <f>IF(OR(A64="",A64="RESULT-TEMPLATE"),"",IF(AND(ISNUMBER(G64),ISNUMBER(H64),ISNUMBER(I64),H64&lt;=G64,G64&lt;=I64),"VALID","INVALID_INTERVAL"))</f>
        <v/>
      </c>
      <c r="R64" s="303">
        <f>IF(OR(A64="",A64="RESULT-TEMPLATE"),"",IF(AND(C64&lt;&gt;"",E64&lt;&gt;"",F64&lt;&gt;"",J64&lt;&gt;"",N64&lt;&gt;"",O64&lt;&gt;"",P64&lt;&gt;"",Q64="VALID"),"VALID","INVALID_OR_INCOMPLETE"))</f>
        <v/>
      </c>
    </row>
    <row r="65">
      <c r="A65" s="303" t="n"/>
      <c r="B65" s="303" t="n"/>
      <c r="C65" s="303" t="n"/>
      <c r="D65" s="303" t="n"/>
      <c r="E65" s="303" t="n"/>
      <c r="F65" s="303" t="n"/>
      <c r="G65" s="303" t="n"/>
      <c r="H65" s="303" t="n"/>
      <c r="I65" s="303" t="n"/>
      <c r="J65" s="303" t="n"/>
      <c r="K65" s="303" t="n"/>
      <c r="L65" s="303" t="n"/>
      <c r="M65" s="303" t="n"/>
      <c r="N65" s="303" t="n"/>
      <c r="O65" s="303" t="n"/>
      <c r="P65" s="303" t="n"/>
      <c r="Q65" s="303">
        <f>IF(OR(A65="",A65="RESULT-TEMPLATE"),"",IF(AND(ISNUMBER(G65),ISNUMBER(H65),ISNUMBER(I65),H65&lt;=G65,G65&lt;=I65),"VALID","INVALID_INTERVAL"))</f>
        <v/>
      </c>
      <c r="R65" s="303">
        <f>IF(OR(A65="",A65="RESULT-TEMPLATE"),"",IF(AND(C65&lt;&gt;"",E65&lt;&gt;"",F65&lt;&gt;"",J65&lt;&gt;"",N65&lt;&gt;"",O65&lt;&gt;"",P65&lt;&gt;"",Q65="VALID"),"VALID","INVALID_OR_INCOMPLETE"))</f>
        <v/>
      </c>
    </row>
    <row r="66">
      <c r="A66" s="303" t="n"/>
      <c r="B66" s="303" t="n"/>
      <c r="C66" s="303" t="n"/>
      <c r="D66" s="303" t="n"/>
      <c r="E66" s="303" t="n"/>
      <c r="F66" s="303" t="n"/>
      <c r="G66" s="303" t="n"/>
      <c r="H66" s="303" t="n"/>
      <c r="I66" s="303" t="n"/>
      <c r="J66" s="303" t="n"/>
      <c r="K66" s="303" t="n"/>
      <c r="L66" s="303" t="n"/>
      <c r="M66" s="303" t="n"/>
      <c r="N66" s="303" t="n"/>
      <c r="O66" s="303" t="n"/>
      <c r="P66" s="303" t="n"/>
      <c r="Q66" s="303">
        <f>IF(OR(A66="",A66="RESULT-TEMPLATE"),"",IF(AND(ISNUMBER(G66),ISNUMBER(H66),ISNUMBER(I66),H66&lt;=G66,G66&lt;=I66),"VALID","INVALID_INTERVAL"))</f>
        <v/>
      </c>
      <c r="R66" s="303">
        <f>IF(OR(A66="",A66="RESULT-TEMPLATE"),"",IF(AND(C66&lt;&gt;"",E66&lt;&gt;"",F66&lt;&gt;"",J66&lt;&gt;"",N66&lt;&gt;"",O66&lt;&gt;"",P66&lt;&gt;"",Q66="VALID"),"VALID","INVALID_OR_INCOMPLETE"))</f>
        <v/>
      </c>
    </row>
    <row r="67">
      <c r="A67" s="303" t="n"/>
      <c r="B67" s="303" t="n"/>
      <c r="C67" s="303" t="n"/>
      <c r="D67" s="303" t="n"/>
      <c r="E67" s="303" t="n"/>
      <c r="F67" s="303" t="n"/>
      <c r="G67" s="303" t="n"/>
      <c r="H67" s="303" t="n"/>
      <c r="I67" s="303" t="n"/>
      <c r="J67" s="303" t="n"/>
      <c r="K67" s="303" t="n"/>
      <c r="L67" s="303" t="n"/>
      <c r="M67" s="303" t="n"/>
      <c r="N67" s="303" t="n"/>
      <c r="O67" s="303" t="n"/>
      <c r="P67" s="303" t="n"/>
      <c r="Q67" s="303">
        <f>IF(OR(A67="",A67="RESULT-TEMPLATE"),"",IF(AND(ISNUMBER(G67),ISNUMBER(H67),ISNUMBER(I67),H67&lt;=G67,G67&lt;=I67),"VALID","INVALID_INTERVAL"))</f>
        <v/>
      </c>
      <c r="R67" s="303">
        <f>IF(OR(A67="",A67="RESULT-TEMPLATE"),"",IF(AND(C67&lt;&gt;"",E67&lt;&gt;"",F67&lt;&gt;"",J67&lt;&gt;"",N67&lt;&gt;"",O67&lt;&gt;"",P67&lt;&gt;"",Q67="VALID"),"VALID","INVALID_OR_INCOMPLETE"))</f>
        <v/>
      </c>
    </row>
    <row r="68">
      <c r="A68" s="303" t="n"/>
      <c r="B68" s="303" t="n"/>
      <c r="C68" s="303" t="n"/>
      <c r="D68" s="303" t="n"/>
      <c r="E68" s="303" t="n"/>
      <c r="F68" s="303" t="n"/>
      <c r="G68" s="303" t="n"/>
      <c r="H68" s="303" t="n"/>
      <c r="I68" s="303" t="n"/>
      <c r="J68" s="303" t="n"/>
      <c r="K68" s="303" t="n"/>
      <c r="L68" s="303" t="n"/>
      <c r="M68" s="303" t="n"/>
      <c r="N68" s="303" t="n"/>
      <c r="O68" s="303" t="n"/>
      <c r="P68" s="303" t="n"/>
      <c r="Q68" s="303">
        <f>IF(OR(A68="",A68="RESULT-TEMPLATE"),"",IF(AND(ISNUMBER(G68),ISNUMBER(H68),ISNUMBER(I68),H68&lt;=G68,G68&lt;=I68),"VALID","INVALID_INTERVAL"))</f>
        <v/>
      </c>
      <c r="R68" s="303">
        <f>IF(OR(A68="",A68="RESULT-TEMPLATE"),"",IF(AND(C68&lt;&gt;"",E68&lt;&gt;"",F68&lt;&gt;"",J68&lt;&gt;"",N68&lt;&gt;"",O68&lt;&gt;"",P68&lt;&gt;"",Q68="VALID"),"VALID","INVALID_OR_INCOMPLETE"))</f>
        <v/>
      </c>
    </row>
    <row r="69">
      <c r="A69" s="303" t="n"/>
      <c r="B69" s="303" t="n"/>
      <c r="C69" s="303" t="n"/>
      <c r="D69" s="303" t="n"/>
      <c r="E69" s="303" t="n"/>
      <c r="F69" s="303" t="n"/>
      <c r="G69" s="303" t="n"/>
      <c r="H69" s="303" t="n"/>
      <c r="I69" s="303" t="n"/>
      <c r="J69" s="303" t="n"/>
      <c r="K69" s="303" t="n"/>
      <c r="L69" s="303" t="n"/>
      <c r="M69" s="303" t="n"/>
      <c r="N69" s="303" t="n"/>
      <c r="O69" s="303" t="n"/>
      <c r="P69" s="303" t="n"/>
      <c r="Q69" s="303">
        <f>IF(OR(A69="",A69="RESULT-TEMPLATE"),"",IF(AND(ISNUMBER(G69),ISNUMBER(H69),ISNUMBER(I69),H69&lt;=G69,G69&lt;=I69),"VALID","INVALID_INTERVAL"))</f>
        <v/>
      </c>
      <c r="R69" s="303">
        <f>IF(OR(A69="",A69="RESULT-TEMPLATE"),"",IF(AND(C69&lt;&gt;"",E69&lt;&gt;"",F69&lt;&gt;"",J69&lt;&gt;"",N69&lt;&gt;"",O69&lt;&gt;"",P69&lt;&gt;"",Q69="VALID"),"VALID","INVALID_OR_INCOMPLETE"))</f>
        <v/>
      </c>
    </row>
    <row r="70">
      <c r="A70" s="303" t="n"/>
      <c r="B70" s="303" t="n"/>
      <c r="C70" s="303" t="n"/>
      <c r="D70" s="303" t="n"/>
      <c r="E70" s="303" t="n"/>
      <c r="F70" s="303" t="n"/>
      <c r="G70" s="303" t="n"/>
      <c r="H70" s="303" t="n"/>
      <c r="I70" s="303" t="n"/>
      <c r="J70" s="303" t="n"/>
      <c r="K70" s="303" t="n"/>
      <c r="L70" s="303" t="n"/>
      <c r="M70" s="303" t="n"/>
      <c r="N70" s="303" t="n"/>
      <c r="O70" s="303" t="n"/>
      <c r="P70" s="303" t="n"/>
      <c r="Q70" s="303">
        <f>IF(OR(A70="",A70="RESULT-TEMPLATE"),"",IF(AND(ISNUMBER(G70),ISNUMBER(H70),ISNUMBER(I70),H70&lt;=G70,G70&lt;=I70),"VALID","INVALID_INTERVAL"))</f>
        <v/>
      </c>
      <c r="R70" s="303">
        <f>IF(OR(A70="",A70="RESULT-TEMPLATE"),"",IF(AND(C70&lt;&gt;"",E70&lt;&gt;"",F70&lt;&gt;"",J70&lt;&gt;"",N70&lt;&gt;"",O70&lt;&gt;"",P70&lt;&gt;"",Q70="VALID"),"VALID","INVALID_OR_INCOMPLETE"))</f>
        <v/>
      </c>
    </row>
    <row r="71">
      <c r="A71" s="303" t="n"/>
      <c r="B71" s="303" t="n"/>
      <c r="C71" s="303" t="n"/>
      <c r="D71" s="303" t="n"/>
      <c r="E71" s="303" t="n"/>
      <c r="F71" s="303" t="n"/>
      <c r="G71" s="303" t="n"/>
      <c r="H71" s="303" t="n"/>
      <c r="I71" s="303" t="n"/>
      <c r="J71" s="303" t="n"/>
      <c r="K71" s="303" t="n"/>
      <c r="L71" s="303" t="n"/>
      <c r="M71" s="303" t="n"/>
      <c r="N71" s="303" t="n"/>
      <c r="O71" s="303" t="n"/>
      <c r="P71" s="303" t="n"/>
      <c r="Q71" s="303">
        <f>IF(OR(A71="",A71="RESULT-TEMPLATE"),"",IF(AND(ISNUMBER(G71),ISNUMBER(H71),ISNUMBER(I71),H71&lt;=G71,G71&lt;=I71),"VALID","INVALID_INTERVAL"))</f>
        <v/>
      </c>
      <c r="R71" s="303">
        <f>IF(OR(A71="",A71="RESULT-TEMPLATE"),"",IF(AND(C71&lt;&gt;"",E71&lt;&gt;"",F71&lt;&gt;"",J71&lt;&gt;"",N71&lt;&gt;"",O71&lt;&gt;"",P71&lt;&gt;"",Q71="VALID"),"VALID","INVALID_OR_INCOMPLETE"))</f>
        <v/>
      </c>
    </row>
    <row r="72">
      <c r="A72" s="303" t="n"/>
      <c r="B72" s="303" t="n"/>
      <c r="C72" s="303" t="n"/>
      <c r="D72" s="303" t="n"/>
      <c r="E72" s="303" t="n"/>
      <c r="F72" s="303" t="n"/>
      <c r="G72" s="303" t="n"/>
      <c r="H72" s="303" t="n"/>
      <c r="I72" s="303" t="n"/>
      <c r="J72" s="303" t="n"/>
      <c r="K72" s="303" t="n"/>
      <c r="L72" s="303" t="n"/>
      <c r="M72" s="303" t="n"/>
      <c r="N72" s="303" t="n"/>
      <c r="O72" s="303" t="n"/>
      <c r="P72" s="303" t="n"/>
      <c r="Q72" s="303">
        <f>IF(OR(A72="",A72="RESULT-TEMPLATE"),"",IF(AND(ISNUMBER(G72),ISNUMBER(H72),ISNUMBER(I72),H72&lt;=G72,G72&lt;=I72),"VALID","INVALID_INTERVAL"))</f>
        <v/>
      </c>
      <c r="R72" s="303">
        <f>IF(OR(A72="",A72="RESULT-TEMPLATE"),"",IF(AND(C72&lt;&gt;"",E72&lt;&gt;"",F72&lt;&gt;"",J72&lt;&gt;"",N72&lt;&gt;"",O72&lt;&gt;"",P72&lt;&gt;"",Q72="VALID"),"VALID","INVALID_OR_INCOMPLETE"))</f>
        <v/>
      </c>
    </row>
    <row r="73">
      <c r="A73" s="303" t="n"/>
      <c r="B73" s="303" t="n"/>
      <c r="C73" s="303" t="n"/>
      <c r="D73" s="303" t="n"/>
      <c r="E73" s="303" t="n"/>
      <c r="F73" s="303" t="n"/>
      <c r="G73" s="303" t="n"/>
      <c r="H73" s="303" t="n"/>
      <c r="I73" s="303" t="n"/>
      <c r="J73" s="303" t="n"/>
      <c r="K73" s="303" t="n"/>
      <c r="L73" s="303" t="n"/>
      <c r="M73" s="303" t="n"/>
      <c r="N73" s="303" t="n"/>
      <c r="O73" s="303" t="n"/>
      <c r="P73" s="303" t="n"/>
      <c r="Q73" s="303">
        <f>IF(OR(A73="",A73="RESULT-TEMPLATE"),"",IF(AND(ISNUMBER(G73),ISNUMBER(H73),ISNUMBER(I73),H73&lt;=G73,G73&lt;=I73),"VALID","INVALID_INTERVAL"))</f>
        <v/>
      </c>
      <c r="R73" s="303">
        <f>IF(OR(A73="",A73="RESULT-TEMPLATE"),"",IF(AND(C73&lt;&gt;"",E73&lt;&gt;"",F73&lt;&gt;"",J73&lt;&gt;"",N73&lt;&gt;"",O73&lt;&gt;"",P73&lt;&gt;"",Q73="VALID"),"VALID","INVALID_OR_INCOMPLETE"))</f>
        <v/>
      </c>
    </row>
    <row r="74">
      <c r="A74" s="303" t="n"/>
      <c r="B74" s="303" t="n"/>
      <c r="C74" s="303" t="n"/>
      <c r="D74" s="303" t="n"/>
      <c r="E74" s="303" t="n"/>
      <c r="F74" s="303" t="n"/>
      <c r="G74" s="303" t="n"/>
      <c r="H74" s="303" t="n"/>
      <c r="I74" s="303" t="n"/>
      <c r="J74" s="303" t="n"/>
      <c r="K74" s="303" t="n"/>
      <c r="L74" s="303" t="n"/>
      <c r="M74" s="303" t="n"/>
      <c r="N74" s="303" t="n"/>
      <c r="O74" s="303" t="n"/>
      <c r="P74" s="303" t="n"/>
      <c r="Q74" s="303">
        <f>IF(OR(A74="",A74="RESULT-TEMPLATE"),"",IF(AND(ISNUMBER(G74),ISNUMBER(H74),ISNUMBER(I74),H74&lt;=G74,G74&lt;=I74),"VALID","INVALID_INTERVAL"))</f>
        <v/>
      </c>
      <c r="R74" s="303">
        <f>IF(OR(A74="",A74="RESULT-TEMPLATE"),"",IF(AND(C74&lt;&gt;"",E74&lt;&gt;"",F74&lt;&gt;"",J74&lt;&gt;"",N74&lt;&gt;"",O74&lt;&gt;"",P74&lt;&gt;"",Q74="VALID"),"VALID","INVALID_OR_INCOMPLETE"))</f>
        <v/>
      </c>
    </row>
    <row r="75">
      <c r="A75" s="303" t="n"/>
      <c r="B75" s="303" t="n"/>
      <c r="C75" s="303" t="n"/>
      <c r="D75" s="303" t="n"/>
      <c r="E75" s="303" t="n"/>
      <c r="F75" s="303" t="n"/>
      <c r="G75" s="303" t="n"/>
      <c r="H75" s="303" t="n"/>
      <c r="I75" s="303" t="n"/>
      <c r="J75" s="303" t="n"/>
      <c r="K75" s="303" t="n"/>
      <c r="L75" s="303" t="n"/>
      <c r="M75" s="303" t="n"/>
      <c r="N75" s="303" t="n"/>
      <c r="O75" s="303" t="n"/>
      <c r="P75" s="303" t="n"/>
      <c r="Q75" s="303">
        <f>IF(OR(A75="",A75="RESULT-TEMPLATE"),"",IF(AND(ISNUMBER(G75),ISNUMBER(H75),ISNUMBER(I75),H75&lt;=G75,G75&lt;=I75),"VALID","INVALID_INTERVAL"))</f>
        <v/>
      </c>
      <c r="R75" s="303">
        <f>IF(OR(A75="",A75="RESULT-TEMPLATE"),"",IF(AND(C75&lt;&gt;"",E75&lt;&gt;"",F75&lt;&gt;"",J75&lt;&gt;"",N75&lt;&gt;"",O75&lt;&gt;"",P75&lt;&gt;"",Q75="VALID"),"VALID","INVALID_OR_INCOMPLETE"))</f>
        <v/>
      </c>
    </row>
    <row r="76">
      <c r="A76" s="303" t="n"/>
      <c r="B76" s="303" t="n"/>
      <c r="C76" s="303" t="n"/>
      <c r="D76" s="303" t="n"/>
      <c r="E76" s="303" t="n"/>
      <c r="F76" s="303" t="n"/>
      <c r="G76" s="303" t="n"/>
      <c r="H76" s="303" t="n"/>
      <c r="I76" s="303" t="n"/>
      <c r="J76" s="303" t="n"/>
      <c r="K76" s="303" t="n"/>
      <c r="L76" s="303" t="n"/>
      <c r="M76" s="303" t="n"/>
      <c r="N76" s="303" t="n"/>
      <c r="O76" s="303" t="n"/>
      <c r="P76" s="303" t="n"/>
      <c r="Q76" s="303">
        <f>IF(OR(A76="",A76="RESULT-TEMPLATE"),"",IF(AND(ISNUMBER(G76),ISNUMBER(H76),ISNUMBER(I76),H76&lt;=G76,G76&lt;=I76),"VALID","INVALID_INTERVAL"))</f>
        <v/>
      </c>
      <c r="R76" s="303">
        <f>IF(OR(A76="",A76="RESULT-TEMPLATE"),"",IF(AND(C76&lt;&gt;"",E76&lt;&gt;"",F76&lt;&gt;"",J76&lt;&gt;"",N76&lt;&gt;"",O76&lt;&gt;"",P76&lt;&gt;"",Q76="VALID"),"VALID","INVALID_OR_INCOMPLETE"))</f>
        <v/>
      </c>
    </row>
    <row r="77">
      <c r="A77" s="303" t="n"/>
      <c r="B77" s="303" t="n"/>
      <c r="C77" s="303" t="n"/>
      <c r="D77" s="303" t="n"/>
      <c r="E77" s="303" t="n"/>
      <c r="F77" s="303" t="n"/>
      <c r="G77" s="303" t="n"/>
      <c r="H77" s="303" t="n"/>
      <c r="I77" s="303" t="n"/>
      <c r="J77" s="303" t="n"/>
      <c r="K77" s="303" t="n"/>
      <c r="L77" s="303" t="n"/>
      <c r="M77" s="303" t="n"/>
      <c r="N77" s="303" t="n"/>
      <c r="O77" s="303" t="n"/>
      <c r="P77" s="303" t="n"/>
      <c r="Q77" s="303">
        <f>IF(OR(A77="",A77="RESULT-TEMPLATE"),"",IF(AND(ISNUMBER(G77),ISNUMBER(H77),ISNUMBER(I77),H77&lt;=G77,G77&lt;=I77),"VALID","INVALID_INTERVAL"))</f>
        <v/>
      </c>
      <c r="R77" s="303">
        <f>IF(OR(A77="",A77="RESULT-TEMPLATE"),"",IF(AND(C77&lt;&gt;"",E77&lt;&gt;"",F77&lt;&gt;"",J77&lt;&gt;"",N77&lt;&gt;"",O77&lt;&gt;"",P77&lt;&gt;"",Q77="VALID"),"VALID","INVALID_OR_INCOMPLETE"))</f>
        <v/>
      </c>
    </row>
    <row r="78">
      <c r="A78" s="303" t="n"/>
      <c r="B78" s="303" t="n"/>
      <c r="C78" s="303" t="n"/>
      <c r="D78" s="303" t="n"/>
      <c r="E78" s="303" t="n"/>
      <c r="F78" s="303" t="n"/>
      <c r="G78" s="303" t="n"/>
      <c r="H78" s="303" t="n"/>
      <c r="I78" s="303" t="n"/>
      <c r="J78" s="303" t="n"/>
      <c r="K78" s="303" t="n"/>
      <c r="L78" s="303" t="n"/>
      <c r="M78" s="303" t="n"/>
      <c r="N78" s="303" t="n"/>
      <c r="O78" s="303" t="n"/>
      <c r="P78" s="303" t="n"/>
      <c r="Q78" s="303">
        <f>IF(OR(A78="",A78="RESULT-TEMPLATE"),"",IF(AND(ISNUMBER(G78),ISNUMBER(H78),ISNUMBER(I78),H78&lt;=G78,G78&lt;=I78),"VALID","INVALID_INTERVAL"))</f>
        <v/>
      </c>
      <c r="R78" s="303">
        <f>IF(OR(A78="",A78="RESULT-TEMPLATE"),"",IF(AND(C78&lt;&gt;"",E78&lt;&gt;"",F78&lt;&gt;"",J78&lt;&gt;"",N78&lt;&gt;"",O78&lt;&gt;"",P78&lt;&gt;"",Q78="VALID"),"VALID","INVALID_OR_INCOMPLETE"))</f>
        <v/>
      </c>
    </row>
    <row r="79">
      <c r="A79" s="303" t="n"/>
      <c r="B79" s="303" t="n"/>
      <c r="C79" s="303" t="n"/>
      <c r="D79" s="303" t="n"/>
      <c r="E79" s="303" t="n"/>
      <c r="F79" s="303" t="n"/>
      <c r="G79" s="303" t="n"/>
      <c r="H79" s="303" t="n"/>
      <c r="I79" s="303" t="n"/>
      <c r="J79" s="303" t="n"/>
      <c r="K79" s="303" t="n"/>
      <c r="L79" s="303" t="n"/>
      <c r="M79" s="303" t="n"/>
      <c r="N79" s="303" t="n"/>
      <c r="O79" s="303" t="n"/>
      <c r="P79" s="303" t="n"/>
      <c r="Q79" s="303">
        <f>IF(OR(A79="",A79="RESULT-TEMPLATE"),"",IF(AND(ISNUMBER(G79),ISNUMBER(H79),ISNUMBER(I79),H79&lt;=G79,G79&lt;=I79),"VALID","INVALID_INTERVAL"))</f>
        <v/>
      </c>
      <c r="R79" s="303">
        <f>IF(OR(A79="",A79="RESULT-TEMPLATE"),"",IF(AND(C79&lt;&gt;"",E79&lt;&gt;"",F79&lt;&gt;"",J79&lt;&gt;"",N79&lt;&gt;"",O79&lt;&gt;"",P79&lt;&gt;"",Q79="VALID"),"VALID","INVALID_OR_INCOMPLETE"))</f>
        <v/>
      </c>
    </row>
    <row r="80">
      <c r="A80" s="303" t="n"/>
      <c r="B80" s="303" t="n"/>
      <c r="C80" s="303" t="n"/>
      <c r="D80" s="303" t="n"/>
      <c r="E80" s="303" t="n"/>
      <c r="F80" s="303" t="n"/>
      <c r="G80" s="303" t="n"/>
      <c r="H80" s="303" t="n"/>
      <c r="I80" s="303" t="n"/>
      <c r="J80" s="303" t="n"/>
      <c r="K80" s="303" t="n"/>
      <c r="L80" s="303" t="n"/>
      <c r="M80" s="303" t="n"/>
      <c r="N80" s="303" t="n"/>
      <c r="O80" s="303" t="n"/>
      <c r="P80" s="303" t="n"/>
      <c r="Q80" s="303">
        <f>IF(OR(A80="",A80="RESULT-TEMPLATE"),"",IF(AND(ISNUMBER(G80),ISNUMBER(H80),ISNUMBER(I80),H80&lt;=G80,G80&lt;=I80),"VALID","INVALID_INTERVAL"))</f>
        <v/>
      </c>
      <c r="R80" s="303">
        <f>IF(OR(A80="",A80="RESULT-TEMPLATE"),"",IF(AND(C80&lt;&gt;"",E80&lt;&gt;"",F80&lt;&gt;"",J80&lt;&gt;"",N80&lt;&gt;"",O80&lt;&gt;"",P80&lt;&gt;"",Q80="VALID"),"VALID","INVALID_OR_INCOMPLETE"))</f>
        <v/>
      </c>
    </row>
    <row r="81">
      <c r="A81" s="303" t="n"/>
      <c r="B81" s="303" t="n"/>
      <c r="C81" s="303" t="n"/>
      <c r="D81" s="303" t="n"/>
      <c r="E81" s="303" t="n"/>
      <c r="F81" s="303" t="n"/>
      <c r="G81" s="303" t="n"/>
      <c r="H81" s="303" t="n"/>
      <c r="I81" s="303" t="n"/>
      <c r="J81" s="303" t="n"/>
      <c r="K81" s="303" t="n"/>
      <c r="L81" s="303" t="n"/>
      <c r="M81" s="303" t="n"/>
      <c r="N81" s="303" t="n"/>
      <c r="O81" s="303" t="n"/>
      <c r="P81" s="303" t="n"/>
      <c r="Q81" s="303">
        <f>IF(OR(A81="",A81="RESULT-TEMPLATE"),"",IF(AND(ISNUMBER(G81),ISNUMBER(H81),ISNUMBER(I81),H81&lt;=G81,G81&lt;=I81),"VALID","INVALID_INTERVAL"))</f>
        <v/>
      </c>
      <c r="R81" s="303">
        <f>IF(OR(A81="",A81="RESULT-TEMPLATE"),"",IF(AND(C81&lt;&gt;"",E81&lt;&gt;"",F81&lt;&gt;"",J81&lt;&gt;"",N81&lt;&gt;"",O81&lt;&gt;"",P81&lt;&gt;"",Q81="VALID"),"VALID","INVALID_OR_INCOMPLETE"))</f>
        <v/>
      </c>
    </row>
    <row r="82">
      <c r="A82" s="303" t="n"/>
      <c r="B82" s="303" t="n"/>
      <c r="C82" s="303" t="n"/>
      <c r="D82" s="303" t="n"/>
      <c r="E82" s="303" t="n"/>
      <c r="F82" s="303" t="n"/>
      <c r="G82" s="303" t="n"/>
      <c r="H82" s="303" t="n"/>
      <c r="I82" s="303" t="n"/>
      <c r="J82" s="303" t="n"/>
      <c r="K82" s="303" t="n"/>
      <c r="L82" s="303" t="n"/>
      <c r="M82" s="303" t="n"/>
      <c r="N82" s="303" t="n"/>
      <c r="O82" s="303" t="n"/>
      <c r="P82" s="303" t="n"/>
      <c r="Q82" s="303">
        <f>IF(OR(A82="",A82="RESULT-TEMPLATE"),"",IF(AND(ISNUMBER(G82),ISNUMBER(H82),ISNUMBER(I82),H82&lt;=G82,G82&lt;=I82),"VALID","INVALID_INTERVAL"))</f>
        <v/>
      </c>
      <c r="R82" s="303">
        <f>IF(OR(A82="",A82="RESULT-TEMPLATE"),"",IF(AND(C82&lt;&gt;"",E82&lt;&gt;"",F82&lt;&gt;"",J82&lt;&gt;"",N82&lt;&gt;"",O82&lt;&gt;"",P82&lt;&gt;"",Q82="VALID"),"VALID","INVALID_OR_INCOMPLETE"))</f>
        <v/>
      </c>
    </row>
    <row r="83">
      <c r="A83" s="303" t="n"/>
      <c r="B83" s="303" t="n"/>
      <c r="C83" s="303" t="n"/>
      <c r="D83" s="303" t="n"/>
      <c r="E83" s="303" t="n"/>
      <c r="F83" s="303" t="n"/>
      <c r="G83" s="303" t="n"/>
      <c r="H83" s="303" t="n"/>
      <c r="I83" s="303" t="n"/>
      <c r="J83" s="303" t="n"/>
      <c r="K83" s="303" t="n"/>
      <c r="L83" s="303" t="n"/>
      <c r="M83" s="303" t="n"/>
      <c r="N83" s="303" t="n"/>
      <c r="O83" s="303" t="n"/>
      <c r="P83" s="303" t="n"/>
      <c r="Q83" s="303">
        <f>IF(OR(A83="",A83="RESULT-TEMPLATE"),"",IF(AND(ISNUMBER(G83),ISNUMBER(H83),ISNUMBER(I83),H83&lt;=G83,G83&lt;=I83),"VALID","INVALID_INTERVAL"))</f>
        <v/>
      </c>
      <c r="R83" s="303">
        <f>IF(OR(A83="",A83="RESULT-TEMPLATE"),"",IF(AND(C83&lt;&gt;"",E83&lt;&gt;"",F83&lt;&gt;"",J83&lt;&gt;"",N83&lt;&gt;"",O83&lt;&gt;"",P83&lt;&gt;"",Q83="VALID"),"VALID","INVALID_OR_INCOMPLETE"))</f>
        <v/>
      </c>
    </row>
    <row r="84">
      <c r="A84" s="303" t="n"/>
      <c r="B84" s="303" t="n"/>
      <c r="C84" s="303" t="n"/>
      <c r="D84" s="303" t="n"/>
      <c r="E84" s="303" t="n"/>
      <c r="F84" s="303" t="n"/>
      <c r="G84" s="303" t="n"/>
      <c r="H84" s="303" t="n"/>
      <c r="I84" s="303" t="n"/>
      <c r="J84" s="303" t="n"/>
      <c r="K84" s="303" t="n"/>
      <c r="L84" s="303" t="n"/>
      <c r="M84" s="303" t="n"/>
      <c r="N84" s="303" t="n"/>
      <c r="O84" s="303" t="n"/>
      <c r="P84" s="303" t="n"/>
      <c r="Q84" s="303">
        <f>IF(OR(A84="",A84="RESULT-TEMPLATE"),"",IF(AND(ISNUMBER(G84),ISNUMBER(H84),ISNUMBER(I84),H84&lt;=G84,G84&lt;=I84),"VALID","INVALID_INTERVAL"))</f>
        <v/>
      </c>
      <c r="R84" s="303">
        <f>IF(OR(A84="",A84="RESULT-TEMPLATE"),"",IF(AND(C84&lt;&gt;"",E84&lt;&gt;"",F84&lt;&gt;"",J84&lt;&gt;"",N84&lt;&gt;"",O84&lt;&gt;"",P84&lt;&gt;"",Q84="VALID"),"VALID","INVALID_OR_INCOMPLETE"))</f>
        <v/>
      </c>
    </row>
    <row r="85">
      <c r="A85" s="303" t="n"/>
      <c r="B85" s="303" t="n"/>
      <c r="C85" s="303" t="n"/>
      <c r="D85" s="303" t="n"/>
      <c r="E85" s="303" t="n"/>
      <c r="F85" s="303" t="n"/>
      <c r="G85" s="303" t="n"/>
      <c r="H85" s="303" t="n"/>
      <c r="I85" s="303" t="n"/>
      <c r="J85" s="303" t="n"/>
      <c r="K85" s="303" t="n"/>
      <c r="L85" s="303" t="n"/>
      <c r="M85" s="303" t="n"/>
      <c r="N85" s="303" t="n"/>
      <c r="O85" s="303" t="n"/>
      <c r="P85" s="303" t="n"/>
      <c r="Q85" s="303">
        <f>IF(OR(A85="",A85="RESULT-TEMPLATE"),"",IF(AND(ISNUMBER(G85),ISNUMBER(H85),ISNUMBER(I85),H85&lt;=G85,G85&lt;=I85),"VALID","INVALID_INTERVAL"))</f>
        <v/>
      </c>
      <c r="R85" s="303">
        <f>IF(OR(A85="",A85="RESULT-TEMPLATE"),"",IF(AND(C85&lt;&gt;"",E85&lt;&gt;"",F85&lt;&gt;"",J85&lt;&gt;"",N85&lt;&gt;"",O85&lt;&gt;"",P85&lt;&gt;"",Q85="VALID"),"VALID","INVALID_OR_INCOMPLETE"))</f>
        <v/>
      </c>
    </row>
    <row r="86">
      <c r="A86" s="303" t="n"/>
      <c r="B86" s="303" t="n"/>
      <c r="C86" s="303" t="n"/>
      <c r="D86" s="303" t="n"/>
      <c r="E86" s="303" t="n"/>
      <c r="F86" s="303" t="n"/>
      <c r="G86" s="303" t="n"/>
      <c r="H86" s="303" t="n"/>
      <c r="I86" s="303" t="n"/>
      <c r="J86" s="303" t="n"/>
      <c r="K86" s="303" t="n"/>
      <c r="L86" s="303" t="n"/>
      <c r="M86" s="303" t="n"/>
      <c r="N86" s="303" t="n"/>
      <c r="O86" s="303" t="n"/>
      <c r="P86" s="303" t="n"/>
      <c r="Q86" s="303">
        <f>IF(OR(A86="",A86="RESULT-TEMPLATE"),"",IF(AND(ISNUMBER(G86),ISNUMBER(H86),ISNUMBER(I86),H86&lt;=G86,G86&lt;=I86),"VALID","INVALID_INTERVAL"))</f>
        <v/>
      </c>
      <c r="R86" s="303">
        <f>IF(OR(A86="",A86="RESULT-TEMPLATE"),"",IF(AND(C86&lt;&gt;"",E86&lt;&gt;"",F86&lt;&gt;"",J86&lt;&gt;"",N86&lt;&gt;"",O86&lt;&gt;"",P86&lt;&gt;"",Q86="VALID"),"VALID","INVALID_OR_INCOMPLETE"))</f>
        <v/>
      </c>
    </row>
    <row r="87">
      <c r="A87" s="303" t="n"/>
      <c r="B87" s="303" t="n"/>
      <c r="C87" s="303" t="n"/>
      <c r="D87" s="303" t="n"/>
      <c r="E87" s="303" t="n"/>
      <c r="F87" s="303" t="n"/>
      <c r="G87" s="303" t="n"/>
      <c r="H87" s="303" t="n"/>
      <c r="I87" s="303" t="n"/>
      <c r="J87" s="303" t="n"/>
      <c r="K87" s="303" t="n"/>
      <c r="L87" s="303" t="n"/>
      <c r="M87" s="303" t="n"/>
      <c r="N87" s="303" t="n"/>
      <c r="O87" s="303" t="n"/>
      <c r="P87" s="303" t="n"/>
      <c r="Q87" s="303">
        <f>IF(OR(A87="",A87="RESULT-TEMPLATE"),"",IF(AND(ISNUMBER(G87),ISNUMBER(H87),ISNUMBER(I87),H87&lt;=G87,G87&lt;=I87),"VALID","INVALID_INTERVAL"))</f>
        <v/>
      </c>
      <c r="R87" s="303">
        <f>IF(OR(A87="",A87="RESULT-TEMPLATE"),"",IF(AND(C87&lt;&gt;"",E87&lt;&gt;"",F87&lt;&gt;"",J87&lt;&gt;"",N87&lt;&gt;"",O87&lt;&gt;"",P87&lt;&gt;"",Q87="VALID"),"VALID","INVALID_OR_INCOMPLETE"))</f>
        <v/>
      </c>
    </row>
    <row r="88">
      <c r="A88" s="303" t="n"/>
      <c r="B88" s="303" t="n"/>
      <c r="C88" s="303" t="n"/>
      <c r="D88" s="303" t="n"/>
      <c r="E88" s="303" t="n"/>
      <c r="F88" s="303" t="n"/>
      <c r="G88" s="303" t="n"/>
      <c r="H88" s="303" t="n"/>
      <c r="I88" s="303" t="n"/>
      <c r="J88" s="303" t="n"/>
      <c r="K88" s="303" t="n"/>
      <c r="L88" s="303" t="n"/>
      <c r="M88" s="303" t="n"/>
      <c r="N88" s="303" t="n"/>
      <c r="O88" s="303" t="n"/>
      <c r="P88" s="303" t="n"/>
      <c r="Q88" s="303">
        <f>IF(OR(A88="",A88="RESULT-TEMPLATE"),"",IF(AND(ISNUMBER(G88),ISNUMBER(H88),ISNUMBER(I88),H88&lt;=G88,G88&lt;=I88),"VALID","INVALID_INTERVAL"))</f>
        <v/>
      </c>
      <c r="R88" s="303">
        <f>IF(OR(A88="",A88="RESULT-TEMPLATE"),"",IF(AND(C88&lt;&gt;"",E88&lt;&gt;"",F88&lt;&gt;"",J88&lt;&gt;"",N88&lt;&gt;"",O88&lt;&gt;"",P88&lt;&gt;"",Q88="VALID"),"VALID","INVALID_OR_INCOMPLETE"))</f>
        <v/>
      </c>
    </row>
    <row r="89">
      <c r="A89" s="303" t="n"/>
      <c r="B89" s="303" t="n"/>
      <c r="C89" s="303" t="n"/>
      <c r="D89" s="303" t="n"/>
      <c r="E89" s="303" t="n"/>
      <c r="F89" s="303" t="n"/>
      <c r="G89" s="303" t="n"/>
      <c r="H89" s="303" t="n"/>
      <c r="I89" s="303" t="n"/>
      <c r="J89" s="303" t="n"/>
      <c r="K89" s="303" t="n"/>
      <c r="L89" s="303" t="n"/>
      <c r="M89" s="303" t="n"/>
      <c r="N89" s="303" t="n"/>
      <c r="O89" s="303" t="n"/>
      <c r="P89" s="303" t="n"/>
      <c r="Q89" s="303">
        <f>IF(OR(A89="",A89="RESULT-TEMPLATE"),"",IF(AND(ISNUMBER(G89),ISNUMBER(H89),ISNUMBER(I89),H89&lt;=G89,G89&lt;=I89),"VALID","INVALID_INTERVAL"))</f>
        <v/>
      </c>
      <c r="R89" s="303">
        <f>IF(OR(A89="",A89="RESULT-TEMPLATE"),"",IF(AND(C89&lt;&gt;"",E89&lt;&gt;"",F89&lt;&gt;"",J89&lt;&gt;"",N89&lt;&gt;"",O89&lt;&gt;"",P89&lt;&gt;"",Q89="VALID"),"VALID","INVALID_OR_INCOMPLETE"))</f>
        <v/>
      </c>
    </row>
    <row r="90">
      <c r="A90" s="303" t="n"/>
      <c r="B90" s="303" t="n"/>
      <c r="C90" s="303" t="n"/>
      <c r="D90" s="303" t="n"/>
      <c r="E90" s="303" t="n"/>
      <c r="F90" s="303" t="n"/>
      <c r="G90" s="303" t="n"/>
      <c r="H90" s="303" t="n"/>
      <c r="I90" s="303" t="n"/>
      <c r="J90" s="303" t="n"/>
      <c r="K90" s="303" t="n"/>
      <c r="L90" s="303" t="n"/>
      <c r="M90" s="303" t="n"/>
      <c r="N90" s="303" t="n"/>
      <c r="O90" s="303" t="n"/>
      <c r="P90" s="303" t="n"/>
      <c r="Q90" s="303">
        <f>IF(OR(A90="",A90="RESULT-TEMPLATE"),"",IF(AND(ISNUMBER(G90),ISNUMBER(H90),ISNUMBER(I90),H90&lt;=G90,G90&lt;=I90),"VALID","INVALID_INTERVAL"))</f>
        <v/>
      </c>
      <c r="R90" s="303">
        <f>IF(OR(A90="",A90="RESULT-TEMPLATE"),"",IF(AND(C90&lt;&gt;"",E90&lt;&gt;"",F90&lt;&gt;"",J90&lt;&gt;"",N90&lt;&gt;"",O90&lt;&gt;"",P90&lt;&gt;"",Q90="VALID"),"VALID","INVALID_OR_INCOMPLETE"))</f>
        <v/>
      </c>
    </row>
    <row r="91">
      <c r="A91" s="303" t="n"/>
      <c r="B91" s="303" t="n"/>
      <c r="C91" s="303" t="n"/>
      <c r="D91" s="303" t="n"/>
      <c r="E91" s="303" t="n"/>
      <c r="F91" s="303" t="n"/>
      <c r="G91" s="303" t="n"/>
      <c r="H91" s="303" t="n"/>
      <c r="I91" s="303" t="n"/>
      <c r="J91" s="303" t="n"/>
      <c r="K91" s="303" t="n"/>
      <c r="L91" s="303" t="n"/>
      <c r="M91" s="303" t="n"/>
      <c r="N91" s="303" t="n"/>
      <c r="O91" s="303" t="n"/>
      <c r="P91" s="303" t="n"/>
      <c r="Q91" s="303">
        <f>IF(OR(A91="",A91="RESULT-TEMPLATE"),"",IF(AND(ISNUMBER(G91),ISNUMBER(H91),ISNUMBER(I91),H91&lt;=G91,G91&lt;=I91),"VALID","INVALID_INTERVAL"))</f>
        <v/>
      </c>
      <c r="R91" s="303">
        <f>IF(OR(A91="",A91="RESULT-TEMPLATE"),"",IF(AND(C91&lt;&gt;"",E91&lt;&gt;"",F91&lt;&gt;"",J91&lt;&gt;"",N91&lt;&gt;"",O91&lt;&gt;"",P91&lt;&gt;"",Q91="VALID"),"VALID","INVALID_OR_INCOMPLETE"))</f>
        <v/>
      </c>
    </row>
    <row r="92">
      <c r="A92" s="303" t="n"/>
      <c r="B92" s="303" t="n"/>
      <c r="C92" s="303" t="n"/>
      <c r="D92" s="303" t="n"/>
      <c r="E92" s="303" t="n"/>
      <c r="F92" s="303" t="n"/>
      <c r="G92" s="303" t="n"/>
      <c r="H92" s="303" t="n"/>
      <c r="I92" s="303" t="n"/>
      <c r="J92" s="303" t="n"/>
      <c r="K92" s="303" t="n"/>
      <c r="L92" s="303" t="n"/>
      <c r="M92" s="303" t="n"/>
      <c r="N92" s="303" t="n"/>
      <c r="O92" s="303" t="n"/>
      <c r="P92" s="303" t="n"/>
      <c r="Q92" s="303">
        <f>IF(OR(A92="",A92="RESULT-TEMPLATE"),"",IF(AND(ISNUMBER(G92),ISNUMBER(H92),ISNUMBER(I92),H92&lt;=G92,G92&lt;=I92),"VALID","INVALID_INTERVAL"))</f>
        <v/>
      </c>
      <c r="R92" s="303">
        <f>IF(OR(A92="",A92="RESULT-TEMPLATE"),"",IF(AND(C92&lt;&gt;"",E92&lt;&gt;"",F92&lt;&gt;"",J92&lt;&gt;"",N92&lt;&gt;"",O92&lt;&gt;"",P92&lt;&gt;"",Q92="VALID"),"VALID","INVALID_OR_INCOMPLETE"))</f>
        <v/>
      </c>
    </row>
    <row r="93">
      <c r="A93" s="303" t="n"/>
      <c r="B93" s="303" t="n"/>
      <c r="C93" s="303" t="n"/>
      <c r="D93" s="303" t="n"/>
      <c r="E93" s="303" t="n"/>
      <c r="F93" s="303" t="n"/>
      <c r="G93" s="303" t="n"/>
      <c r="H93" s="303" t="n"/>
      <c r="I93" s="303" t="n"/>
      <c r="J93" s="303" t="n"/>
      <c r="K93" s="303" t="n"/>
      <c r="L93" s="303" t="n"/>
      <c r="M93" s="303" t="n"/>
      <c r="N93" s="303" t="n"/>
      <c r="O93" s="303" t="n"/>
      <c r="P93" s="303" t="n"/>
      <c r="Q93" s="303">
        <f>IF(OR(A93="",A93="RESULT-TEMPLATE"),"",IF(AND(ISNUMBER(G93),ISNUMBER(H93),ISNUMBER(I93),H93&lt;=G93,G93&lt;=I93),"VALID","INVALID_INTERVAL"))</f>
        <v/>
      </c>
      <c r="R93" s="303">
        <f>IF(OR(A93="",A93="RESULT-TEMPLATE"),"",IF(AND(C93&lt;&gt;"",E93&lt;&gt;"",F93&lt;&gt;"",J93&lt;&gt;"",N93&lt;&gt;"",O93&lt;&gt;"",P93&lt;&gt;"",Q93="VALID"),"VALID","INVALID_OR_INCOMPLETE"))</f>
        <v/>
      </c>
    </row>
    <row r="94">
      <c r="A94" s="303" t="n"/>
      <c r="B94" s="303" t="n"/>
      <c r="C94" s="303" t="n"/>
      <c r="D94" s="303" t="n"/>
      <c r="E94" s="303" t="n"/>
      <c r="F94" s="303" t="n"/>
      <c r="G94" s="303" t="n"/>
      <c r="H94" s="303" t="n"/>
      <c r="I94" s="303" t="n"/>
      <c r="J94" s="303" t="n"/>
      <c r="K94" s="303" t="n"/>
      <c r="L94" s="303" t="n"/>
      <c r="M94" s="303" t="n"/>
      <c r="N94" s="303" t="n"/>
      <c r="O94" s="303" t="n"/>
      <c r="P94" s="303" t="n"/>
      <c r="Q94" s="303">
        <f>IF(OR(A94="",A94="RESULT-TEMPLATE"),"",IF(AND(ISNUMBER(G94),ISNUMBER(H94),ISNUMBER(I94),H94&lt;=G94,G94&lt;=I94),"VALID","INVALID_INTERVAL"))</f>
        <v/>
      </c>
      <c r="R94" s="303">
        <f>IF(OR(A94="",A94="RESULT-TEMPLATE"),"",IF(AND(C94&lt;&gt;"",E94&lt;&gt;"",F94&lt;&gt;"",J94&lt;&gt;"",N94&lt;&gt;"",O94&lt;&gt;"",P94&lt;&gt;"",Q94="VALID"),"VALID","INVALID_OR_INCOMPLETE"))</f>
        <v/>
      </c>
    </row>
    <row r="95">
      <c r="A95" s="303" t="n"/>
      <c r="B95" s="303" t="n"/>
      <c r="C95" s="303" t="n"/>
      <c r="D95" s="303" t="n"/>
      <c r="E95" s="303" t="n"/>
      <c r="F95" s="303" t="n"/>
      <c r="G95" s="303" t="n"/>
      <c r="H95" s="303" t="n"/>
      <c r="I95" s="303" t="n"/>
      <c r="J95" s="303" t="n"/>
      <c r="K95" s="303" t="n"/>
      <c r="L95" s="303" t="n"/>
      <c r="M95" s="303" t="n"/>
      <c r="N95" s="303" t="n"/>
      <c r="O95" s="303" t="n"/>
      <c r="P95" s="303" t="n"/>
      <c r="Q95" s="303">
        <f>IF(OR(A95="",A95="RESULT-TEMPLATE"),"",IF(AND(ISNUMBER(G95),ISNUMBER(H95),ISNUMBER(I95),H95&lt;=G95,G95&lt;=I95),"VALID","INVALID_INTERVAL"))</f>
        <v/>
      </c>
      <c r="R95" s="303">
        <f>IF(OR(A95="",A95="RESULT-TEMPLATE"),"",IF(AND(C95&lt;&gt;"",E95&lt;&gt;"",F95&lt;&gt;"",J95&lt;&gt;"",N95&lt;&gt;"",O95&lt;&gt;"",P95&lt;&gt;"",Q95="VALID"),"VALID","INVALID_OR_INCOMPLETE"))</f>
        <v/>
      </c>
    </row>
    <row r="96">
      <c r="A96" s="303" t="n"/>
      <c r="B96" s="303" t="n"/>
      <c r="C96" s="303" t="n"/>
      <c r="D96" s="303" t="n"/>
      <c r="E96" s="303" t="n"/>
      <c r="F96" s="303" t="n"/>
      <c r="G96" s="303" t="n"/>
      <c r="H96" s="303" t="n"/>
      <c r="I96" s="303" t="n"/>
      <c r="J96" s="303" t="n"/>
      <c r="K96" s="303" t="n"/>
      <c r="L96" s="303" t="n"/>
      <c r="M96" s="303" t="n"/>
      <c r="N96" s="303" t="n"/>
      <c r="O96" s="303" t="n"/>
      <c r="P96" s="303" t="n"/>
      <c r="Q96" s="303">
        <f>IF(OR(A96="",A96="RESULT-TEMPLATE"),"",IF(AND(ISNUMBER(G96),ISNUMBER(H96),ISNUMBER(I96),H96&lt;=G96,G96&lt;=I96),"VALID","INVALID_INTERVAL"))</f>
        <v/>
      </c>
      <c r="R96" s="303">
        <f>IF(OR(A96="",A96="RESULT-TEMPLATE"),"",IF(AND(C96&lt;&gt;"",E96&lt;&gt;"",F96&lt;&gt;"",J96&lt;&gt;"",N96&lt;&gt;"",O96&lt;&gt;"",P96&lt;&gt;"",Q96="VALID"),"VALID","INVALID_OR_INCOMPLETE"))</f>
        <v/>
      </c>
    </row>
    <row r="97">
      <c r="A97" s="303" t="n"/>
      <c r="B97" s="303" t="n"/>
      <c r="C97" s="303" t="n"/>
      <c r="D97" s="303" t="n"/>
      <c r="E97" s="303" t="n"/>
      <c r="F97" s="303" t="n"/>
      <c r="G97" s="303" t="n"/>
      <c r="H97" s="303" t="n"/>
      <c r="I97" s="303" t="n"/>
      <c r="J97" s="303" t="n"/>
      <c r="K97" s="303" t="n"/>
      <c r="L97" s="303" t="n"/>
      <c r="M97" s="303" t="n"/>
      <c r="N97" s="303" t="n"/>
      <c r="O97" s="303" t="n"/>
      <c r="P97" s="303" t="n"/>
      <c r="Q97" s="303">
        <f>IF(OR(A97="",A97="RESULT-TEMPLATE"),"",IF(AND(ISNUMBER(G97),ISNUMBER(H97),ISNUMBER(I97),H97&lt;=G97,G97&lt;=I97),"VALID","INVALID_INTERVAL"))</f>
        <v/>
      </c>
      <c r="R97" s="303">
        <f>IF(OR(A97="",A97="RESULT-TEMPLATE"),"",IF(AND(C97&lt;&gt;"",E97&lt;&gt;"",F97&lt;&gt;"",J97&lt;&gt;"",N97&lt;&gt;"",O97&lt;&gt;"",P97&lt;&gt;"",Q97="VALID"),"VALID","INVALID_OR_INCOMPLETE"))</f>
        <v/>
      </c>
    </row>
    <row r="98">
      <c r="A98" s="303" t="n"/>
      <c r="B98" s="303" t="n"/>
      <c r="C98" s="303" t="n"/>
      <c r="D98" s="303" t="n"/>
      <c r="E98" s="303" t="n"/>
      <c r="F98" s="303" t="n"/>
      <c r="G98" s="303" t="n"/>
      <c r="H98" s="303" t="n"/>
      <c r="I98" s="303" t="n"/>
      <c r="J98" s="303" t="n"/>
      <c r="K98" s="303" t="n"/>
      <c r="L98" s="303" t="n"/>
      <c r="M98" s="303" t="n"/>
      <c r="N98" s="303" t="n"/>
      <c r="O98" s="303" t="n"/>
      <c r="P98" s="303" t="n"/>
      <c r="Q98" s="303">
        <f>IF(OR(A98="",A98="RESULT-TEMPLATE"),"",IF(AND(ISNUMBER(G98),ISNUMBER(H98),ISNUMBER(I98),H98&lt;=G98,G98&lt;=I98),"VALID","INVALID_INTERVAL"))</f>
        <v/>
      </c>
      <c r="R98" s="303">
        <f>IF(OR(A98="",A98="RESULT-TEMPLATE"),"",IF(AND(C98&lt;&gt;"",E98&lt;&gt;"",F98&lt;&gt;"",J98&lt;&gt;"",N98&lt;&gt;"",O98&lt;&gt;"",P98&lt;&gt;"",Q98="VALID"),"VALID","INVALID_OR_INCOMPLETE"))</f>
        <v/>
      </c>
    </row>
    <row r="99">
      <c r="A99" s="303" t="n"/>
      <c r="B99" s="303" t="n"/>
      <c r="C99" s="303" t="n"/>
      <c r="D99" s="303" t="n"/>
      <c r="E99" s="303" t="n"/>
      <c r="F99" s="303" t="n"/>
      <c r="G99" s="303" t="n"/>
      <c r="H99" s="303" t="n"/>
      <c r="I99" s="303" t="n"/>
      <c r="J99" s="303" t="n"/>
      <c r="K99" s="303" t="n"/>
      <c r="L99" s="303" t="n"/>
      <c r="M99" s="303" t="n"/>
      <c r="N99" s="303" t="n"/>
      <c r="O99" s="303" t="n"/>
      <c r="P99" s="303" t="n"/>
      <c r="Q99" s="303">
        <f>IF(OR(A99="",A99="RESULT-TEMPLATE"),"",IF(AND(ISNUMBER(G99),ISNUMBER(H99),ISNUMBER(I99),H99&lt;=G99,G99&lt;=I99),"VALID","INVALID_INTERVAL"))</f>
        <v/>
      </c>
      <c r="R99" s="303">
        <f>IF(OR(A99="",A99="RESULT-TEMPLATE"),"",IF(AND(C99&lt;&gt;"",E99&lt;&gt;"",F99&lt;&gt;"",J99&lt;&gt;"",N99&lt;&gt;"",O99&lt;&gt;"",P99&lt;&gt;"",Q99="VALID"),"VALID","INVALID_OR_INCOMPLETE"))</f>
        <v/>
      </c>
    </row>
    <row r="100">
      <c r="A100" s="303" t="n"/>
      <c r="B100" s="303" t="n"/>
      <c r="C100" s="303" t="n"/>
      <c r="D100" s="303" t="n"/>
      <c r="E100" s="303" t="n"/>
      <c r="F100" s="303" t="n"/>
      <c r="G100" s="303" t="n"/>
      <c r="H100" s="303" t="n"/>
      <c r="I100" s="303" t="n"/>
      <c r="J100" s="303" t="n"/>
      <c r="K100" s="303" t="n"/>
      <c r="L100" s="303" t="n"/>
      <c r="M100" s="303" t="n"/>
      <c r="N100" s="303" t="n"/>
      <c r="O100" s="303" t="n"/>
      <c r="P100" s="303" t="n"/>
      <c r="Q100" s="303">
        <f>IF(OR(A100="",A100="RESULT-TEMPLATE"),"",IF(AND(ISNUMBER(G100),ISNUMBER(H100),ISNUMBER(I100),H100&lt;=G100,G100&lt;=I100),"VALID","INVALID_INTERVAL"))</f>
        <v/>
      </c>
      <c r="R100" s="303">
        <f>IF(OR(A100="",A100="RESULT-TEMPLATE"),"",IF(AND(C100&lt;&gt;"",E100&lt;&gt;"",F100&lt;&gt;"",J100&lt;&gt;"",N100&lt;&gt;"",O100&lt;&gt;"",P100&lt;&gt;"",Q100="VALID"),"VALID","INVALID_OR_INCOMPLETE"))</f>
        <v/>
      </c>
    </row>
    <row r="101">
      <c r="Q101" s="303">
        <f>IF(OR(A101="",A101="RESULT-TEMPLATE"),"",IF(AND(ISNUMBER(G101),ISNUMBER(H101),ISNUMBER(I101),H101&lt;=G101,G101&lt;=I101),"VALID","INVALID_INTERVAL"))</f>
        <v/>
      </c>
      <c r="R101" s="303">
        <f>IF(OR(A101="",A101="RESULT-TEMPLATE"),"",IF(AND(C101&lt;&gt;"",E101&lt;&gt;"",F101&lt;&gt;"",J101&lt;&gt;"",N101&lt;&gt;"",O101&lt;&gt;"",P101&lt;&gt;"",Q101="VALID"),"VALID","INVALID_OR_INCOMPLETE"))</f>
        <v/>
      </c>
    </row>
    <row r="102">
      <c r="Q102" s="303">
        <f>IF(OR(A102="",A102="RESULT-TEMPLATE"),"",IF(AND(ISNUMBER(G102),ISNUMBER(H102),ISNUMBER(I102),H102&lt;=G102,G102&lt;=I102),"VALID","INVALID_INTERVAL"))</f>
        <v/>
      </c>
      <c r="R102" s="303">
        <f>IF(OR(A102="",A102="RESULT-TEMPLATE"),"",IF(AND(C102&lt;&gt;"",E102&lt;&gt;"",F102&lt;&gt;"",J102&lt;&gt;"",N102&lt;&gt;"",O102&lt;&gt;"",P102&lt;&gt;"",Q102="VALID"),"VALID","INVALID_OR_INCOMPLETE"))</f>
        <v/>
      </c>
    </row>
    <row r="103">
      <c r="Q103" s="303">
        <f>IF(OR(A103="",A103="RESULT-TEMPLATE"),"",IF(AND(ISNUMBER(G103),ISNUMBER(H103),ISNUMBER(I103),H103&lt;=G103,G103&lt;=I103),"VALID","INVALID_INTERVAL"))</f>
        <v/>
      </c>
      <c r="R103" s="303">
        <f>IF(OR(A103="",A103="RESULT-TEMPLATE"),"",IF(AND(C103&lt;&gt;"",E103&lt;&gt;"",F103&lt;&gt;"",J103&lt;&gt;"",N103&lt;&gt;"",O103&lt;&gt;"",P103&lt;&gt;"",Q103="VALID"),"VALID","INVALID_OR_INCOMPLETE"))</f>
        <v/>
      </c>
    </row>
    <row r="104">
      <c r="Q104" s="303">
        <f>IF(OR(A104="",A104="RESULT-TEMPLATE"),"",IF(AND(ISNUMBER(G104),ISNUMBER(H104),ISNUMBER(I104),H104&lt;=G104,G104&lt;=I104),"VALID","INVALID_INTERVAL"))</f>
        <v/>
      </c>
      <c r="R104" s="303">
        <f>IF(OR(A104="",A104="RESULT-TEMPLATE"),"",IF(AND(C104&lt;&gt;"",E104&lt;&gt;"",F104&lt;&gt;"",J104&lt;&gt;"",N104&lt;&gt;"",O104&lt;&gt;"",P104&lt;&gt;"",Q104="VALID"),"VALID","INVALID_OR_INCOMPLETE"))</f>
        <v/>
      </c>
    </row>
    <row r="105">
      <c r="Q105" s="303">
        <f>IF(OR(A105="",A105="RESULT-TEMPLATE"),"",IF(AND(ISNUMBER(G105),ISNUMBER(H105),ISNUMBER(I105),H105&lt;=G105,G105&lt;=I105),"VALID","INVALID_INTERVAL"))</f>
        <v/>
      </c>
      <c r="R105" s="303">
        <f>IF(OR(A105="",A105="RESULT-TEMPLATE"),"",IF(AND(C105&lt;&gt;"",E105&lt;&gt;"",F105&lt;&gt;"",J105&lt;&gt;"",N105&lt;&gt;"",O105&lt;&gt;"",P105&lt;&gt;"",Q105="VALID"),"VALID","INVALID_OR_INCOMPLETE"))</f>
        <v/>
      </c>
    </row>
    <row r="106">
      <c r="Q106" s="303">
        <f>IF(OR(A106="",A106="RESULT-TEMPLATE"),"",IF(AND(ISNUMBER(G106),ISNUMBER(H106),ISNUMBER(I106),H106&lt;=G106,G106&lt;=I106),"VALID","INVALID_INTERVAL"))</f>
        <v/>
      </c>
      <c r="R106" s="303">
        <f>IF(OR(A106="",A106="RESULT-TEMPLATE"),"",IF(AND(C106&lt;&gt;"",E106&lt;&gt;"",F106&lt;&gt;"",J106&lt;&gt;"",N106&lt;&gt;"",O106&lt;&gt;"",P106&lt;&gt;"",Q106="VALID"),"VALID","INVALID_OR_INCOMPLETE"))</f>
        <v/>
      </c>
    </row>
    <row r="107">
      <c r="Q107" s="303">
        <f>IF(OR(A107="",A107="RESULT-TEMPLATE"),"",IF(AND(ISNUMBER(G107),ISNUMBER(H107),ISNUMBER(I107),H107&lt;=G107,G107&lt;=I107),"VALID","INVALID_INTERVAL"))</f>
        <v/>
      </c>
      <c r="R107" s="303">
        <f>IF(OR(A107="",A107="RESULT-TEMPLATE"),"",IF(AND(C107&lt;&gt;"",E107&lt;&gt;"",F107&lt;&gt;"",J107&lt;&gt;"",N107&lt;&gt;"",O107&lt;&gt;"",P107&lt;&gt;"",Q107="VALID"),"VALID","INVALID_OR_INCOMPLETE"))</f>
        <v/>
      </c>
    </row>
    <row r="108">
      <c r="Q108" s="303">
        <f>IF(OR(A108="",A108="RESULT-TEMPLATE"),"",IF(AND(ISNUMBER(G108),ISNUMBER(H108),ISNUMBER(I108),H108&lt;=G108,G108&lt;=I108),"VALID","INVALID_INTERVAL"))</f>
        <v/>
      </c>
      <c r="R108" s="303">
        <f>IF(OR(A108="",A108="RESULT-TEMPLATE"),"",IF(AND(C108&lt;&gt;"",E108&lt;&gt;"",F108&lt;&gt;"",J108&lt;&gt;"",N108&lt;&gt;"",O108&lt;&gt;"",P108&lt;&gt;"",Q108="VALID"),"VALID","INVALID_OR_INCOMPLETE"))</f>
        <v/>
      </c>
    </row>
    <row r="109">
      <c r="Q109" s="303">
        <f>IF(OR(A109="",A109="RESULT-TEMPLATE"),"",IF(AND(ISNUMBER(G109),ISNUMBER(H109),ISNUMBER(I109),H109&lt;=G109,G109&lt;=I109),"VALID","INVALID_INTERVAL"))</f>
        <v/>
      </c>
      <c r="R109" s="303">
        <f>IF(OR(A109="",A109="RESULT-TEMPLATE"),"",IF(AND(C109&lt;&gt;"",E109&lt;&gt;"",F109&lt;&gt;"",J109&lt;&gt;"",N109&lt;&gt;"",O109&lt;&gt;"",P109&lt;&gt;"",Q109="VALID"),"VALID","INVALID_OR_INCOMPLETE"))</f>
        <v/>
      </c>
    </row>
    <row r="110">
      <c r="Q110" s="303">
        <f>IF(OR(A110="",A110="RESULT-TEMPLATE"),"",IF(AND(ISNUMBER(G110),ISNUMBER(H110),ISNUMBER(I110),H110&lt;=G110,G110&lt;=I110),"VALID","INVALID_INTERVAL"))</f>
        <v/>
      </c>
      <c r="R110" s="303">
        <f>IF(OR(A110="",A110="RESULT-TEMPLATE"),"",IF(AND(C110&lt;&gt;"",E110&lt;&gt;"",F110&lt;&gt;"",J110&lt;&gt;"",N110&lt;&gt;"",O110&lt;&gt;"",P110&lt;&gt;"",Q110="VALID"),"VALID","INVALID_OR_INCOMPLETE"))</f>
        <v/>
      </c>
    </row>
    <row r="111">
      <c r="Q111" s="303">
        <f>IF(OR(A111="",A111="RESULT-TEMPLATE"),"",IF(AND(ISNUMBER(G111),ISNUMBER(H111),ISNUMBER(I111),H111&lt;=G111,G111&lt;=I111),"VALID","INVALID_INTERVAL"))</f>
        <v/>
      </c>
      <c r="R111" s="303">
        <f>IF(OR(A111="",A111="RESULT-TEMPLATE"),"",IF(AND(C111&lt;&gt;"",E111&lt;&gt;"",F111&lt;&gt;"",J111&lt;&gt;"",N111&lt;&gt;"",O111&lt;&gt;"",P111&lt;&gt;"",Q111="VALID"),"VALID","INVALID_OR_INCOMPLETE"))</f>
        <v/>
      </c>
    </row>
    <row r="112">
      <c r="Q112" s="303">
        <f>IF(OR(A112="",A112="RESULT-TEMPLATE"),"",IF(AND(ISNUMBER(G112),ISNUMBER(H112),ISNUMBER(I112),H112&lt;=G112,G112&lt;=I112),"VALID","INVALID_INTERVAL"))</f>
        <v/>
      </c>
      <c r="R112" s="303">
        <f>IF(OR(A112="",A112="RESULT-TEMPLATE"),"",IF(AND(C112&lt;&gt;"",E112&lt;&gt;"",F112&lt;&gt;"",J112&lt;&gt;"",N112&lt;&gt;"",O112&lt;&gt;"",P112&lt;&gt;"",Q112="VALID"),"VALID","INVALID_OR_INCOMPLETE"))</f>
        <v/>
      </c>
    </row>
    <row r="113">
      <c r="Q113" s="303">
        <f>IF(OR(A113="",A113="RESULT-TEMPLATE"),"",IF(AND(ISNUMBER(G113),ISNUMBER(H113),ISNUMBER(I113),H113&lt;=G113,G113&lt;=I113),"VALID","INVALID_INTERVAL"))</f>
        <v/>
      </c>
      <c r="R113" s="303">
        <f>IF(OR(A113="",A113="RESULT-TEMPLATE"),"",IF(AND(C113&lt;&gt;"",E113&lt;&gt;"",F113&lt;&gt;"",J113&lt;&gt;"",N113&lt;&gt;"",O113&lt;&gt;"",P113&lt;&gt;"",Q113="VALID"),"VALID","INVALID_OR_INCOMPLETE"))</f>
        <v/>
      </c>
    </row>
    <row r="114">
      <c r="Q114" s="303">
        <f>IF(OR(A114="",A114="RESULT-TEMPLATE"),"",IF(AND(ISNUMBER(G114),ISNUMBER(H114),ISNUMBER(I114),H114&lt;=G114,G114&lt;=I114),"VALID","INVALID_INTERVAL"))</f>
        <v/>
      </c>
      <c r="R114" s="303">
        <f>IF(OR(A114="",A114="RESULT-TEMPLATE"),"",IF(AND(C114&lt;&gt;"",E114&lt;&gt;"",F114&lt;&gt;"",J114&lt;&gt;"",N114&lt;&gt;"",O114&lt;&gt;"",P114&lt;&gt;"",Q114="VALID"),"VALID","INVALID_OR_INCOMPLETE"))</f>
        <v/>
      </c>
    </row>
    <row r="115">
      <c r="Q115" s="303">
        <f>IF(OR(A115="",A115="RESULT-TEMPLATE"),"",IF(AND(ISNUMBER(G115),ISNUMBER(H115),ISNUMBER(I115),H115&lt;=G115,G115&lt;=I115),"VALID","INVALID_INTERVAL"))</f>
        <v/>
      </c>
      <c r="R115" s="303">
        <f>IF(OR(A115="",A115="RESULT-TEMPLATE"),"",IF(AND(C115&lt;&gt;"",E115&lt;&gt;"",F115&lt;&gt;"",J115&lt;&gt;"",N115&lt;&gt;"",O115&lt;&gt;"",P115&lt;&gt;"",Q115="VALID"),"VALID","INVALID_OR_INCOMPLETE"))</f>
        <v/>
      </c>
    </row>
    <row r="116">
      <c r="Q116" s="303">
        <f>IF(OR(A116="",A116="RESULT-TEMPLATE"),"",IF(AND(ISNUMBER(G116),ISNUMBER(H116),ISNUMBER(I116),H116&lt;=G116,G116&lt;=I116),"VALID","INVALID_INTERVAL"))</f>
        <v/>
      </c>
      <c r="R116" s="303">
        <f>IF(OR(A116="",A116="RESULT-TEMPLATE"),"",IF(AND(C116&lt;&gt;"",E116&lt;&gt;"",F116&lt;&gt;"",J116&lt;&gt;"",N116&lt;&gt;"",O116&lt;&gt;"",P116&lt;&gt;"",Q116="VALID"),"VALID","INVALID_OR_INCOMPLETE"))</f>
        <v/>
      </c>
    </row>
    <row r="117">
      <c r="Q117" s="303">
        <f>IF(OR(A117="",A117="RESULT-TEMPLATE"),"",IF(AND(ISNUMBER(G117),ISNUMBER(H117),ISNUMBER(I117),H117&lt;=G117,G117&lt;=I117),"VALID","INVALID_INTERVAL"))</f>
        <v/>
      </c>
      <c r="R117" s="303">
        <f>IF(OR(A117="",A117="RESULT-TEMPLATE"),"",IF(AND(C117&lt;&gt;"",E117&lt;&gt;"",F117&lt;&gt;"",J117&lt;&gt;"",N117&lt;&gt;"",O117&lt;&gt;"",P117&lt;&gt;"",Q117="VALID"),"VALID","INVALID_OR_INCOMPLETE"))</f>
        <v/>
      </c>
    </row>
    <row r="118">
      <c r="Q118" s="303">
        <f>IF(OR(A118="",A118="RESULT-TEMPLATE"),"",IF(AND(ISNUMBER(G118),ISNUMBER(H118),ISNUMBER(I118),H118&lt;=G118,G118&lt;=I118),"VALID","INVALID_INTERVAL"))</f>
        <v/>
      </c>
      <c r="R118" s="303">
        <f>IF(OR(A118="",A118="RESULT-TEMPLATE"),"",IF(AND(C118&lt;&gt;"",E118&lt;&gt;"",F118&lt;&gt;"",J118&lt;&gt;"",N118&lt;&gt;"",O118&lt;&gt;"",P118&lt;&gt;"",Q118="VALID"),"VALID","INVALID_OR_INCOMPLETE"))</f>
        <v/>
      </c>
    </row>
    <row r="119">
      <c r="Q119" s="303">
        <f>IF(OR(A119="",A119="RESULT-TEMPLATE"),"",IF(AND(ISNUMBER(G119),ISNUMBER(H119),ISNUMBER(I119),H119&lt;=G119,G119&lt;=I119),"VALID","INVALID_INTERVAL"))</f>
        <v/>
      </c>
      <c r="R119" s="303">
        <f>IF(OR(A119="",A119="RESULT-TEMPLATE"),"",IF(AND(C119&lt;&gt;"",E119&lt;&gt;"",F119&lt;&gt;"",J119&lt;&gt;"",N119&lt;&gt;"",O119&lt;&gt;"",P119&lt;&gt;"",Q119="VALID"),"VALID","INVALID_OR_INCOMPLETE"))</f>
        <v/>
      </c>
    </row>
    <row r="120">
      <c r="Q120" s="303">
        <f>IF(OR(A120="",A120="RESULT-TEMPLATE"),"",IF(AND(ISNUMBER(G120),ISNUMBER(H120),ISNUMBER(I120),H120&lt;=G120,G120&lt;=I120),"VALID","INVALID_INTERVAL"))</f>
        <v/>
      </c>
      <c r="R120" s="303">
        <f>IF(OR(A120="",A120="RESULT-TEMPLATE"),"",IF(AND(C120&lt;&gt;"",E120&lt;&gt;"",F120&lt;&gt;"",J120&lt;&gt;"",N120&lt;&gt;"",O120&lt;&gt;"",P120&lt;&gt;"",Q120="VALID"),"VALID","INVALID_OR_INCOMPLETE"))</f>
        <v/>
      </c>
    </row>
    <row r="121">
      <c r="Q121" s="303">
        <f>IF(OR(A121="",A121="RESULT-TEMPLATE"),"",IF(AND(ISNUMBER(G121),ISNUMBER(H121),ISNUMBER(I121),H121&lt;=G121,G121&lt;=I121),"VALID","INVALID_INTERVAL"))</f>
        <v/>
      </c>
      <c r="R121" s="303">
        <f>IF(OR(A121="",A121="RESULT-TEMPLATE"),"",IF(AND(C121&lt;&gt;"",E121&lt;&gt;"",F121&lt;&gt;"",J121&lt;&gt;"",N121&lt;&gt;"",O121&lt;&gt;"",P121&lt;&gt;"",Q121="VALID"),"VALID","INVALID_OR_INCOMPLETE"))</f>
        <v/>
      </c>
    </row>
    <row r="122">
      <c r="Q122" s="303">
        <f>IF(OR(A122="",A122="RESULT-TEMPLATE"),"",IF(AND(ISNUMBER(G122),ISNUMBER(H122),ISNUMBER(I122),H122&lt;=G122,G122&lt;=I122),"VALID","INVALID_INTERVAL"))</f>
        <v/>
      </c>
      <c r="R122" s="303">
        <f>IF(OR(A122="",A122="RESULT-TEMPLATE"),"",IF(AND(C122&lt;&gt;"",E122&lt;&gt;"",F122&lt;&gt;"",J122&lt;&gt;"",N122&lt;&gt;"",O122&lt;&gt;"",P122&lt;&gt;"",Q122="VALID"),"VALID","INVALID_OR_INCOMPLETE"))</f>
        <v/>
      </c>
    </row>
    <row r="123">
      <c r="Q123" s="303">
        <f>IF(OR(A123="",A123="RESULT-TEMPLATE"),"",IF(AND(ISNUMBER(G123),ISNUMBER(H123),ISNUMBER(I123),H123&lt;=G123,G123&lt;=I123),"VALID","INVALID_INTERVAL"))</f>
        <v/>
      </c>
      <c r="R123" s="303">
        <f>IF(OR(A123="",A123="RESULT-TEMPLATE"),"",IF(AND(C123&lt;&gt;"",E123&lt;&gt;"",F123&lt;&gt;"",J123&lt;&gt;"",N123&lt;&gt;"",O123&lt;&gt;"",P123&lt;&gt;"",Q123="VALID"),"VALID","INVALID_OR_INCOMPLETE"))</f>
        <v/>
      </c>
    </row>
    <row r="124">
      <c r="Q124" s="303">
        <f>IF(OR(A124="",A124="RESULT-TEMPLATE"),"",IF(AND(ISNUMBER(G124),ISNUMBER(H124),ISNUMBER(I124),H124&lt;=G124,G124&lt;=I124),"VALID","INVALID_INTERVAL"))</f>
        <v/>
      </c>
      <c r="R124" s="303">
        <f>IF(OR(A124="",A124="RESULT-TEMPLATE"),"",IF(AND(C124&lt;&gt;"",E124&lt;&gt;"",F124&lt;&gt;"",J124&lt;&gt;"",N124&lt;&gt;"",O124&lt;&gt;"",P124&lt;&gt;"",Q124="VALID"),"VALID","INVALID_OR_INCOMPLETE"))</f>
        <v/>
      </c>
    </row>
    <row r="125">
      <c r="Q125" s="303">
        <f>IF(OR(A125="",A125="RESULT-TEMPLATE"),"",IF(AND(ISNUMBER(G125),ISNUMBER(H125),ISNUMBER(I125),H125&lt;=G125,G125&lt;=I125),"VALID","INVALID_INTERVAL"))</f>
        <v/>
      </c>
      <c r="R125" s="303">
        <f>IF(OR(A125="",A125="RESULT-TEMPLATE"),"",IF(AND(C125&lt;&gt;"",E125&lt;&gt;"",F125&lt;&gt;"",J125&lt;&gt;"",N125&lt;&gt;"",O125&lt;&gt;"",P125&lt;&gt;"",Q125="VALID"),"VALID","INVALID_OR_INCOMPLETE"))</f>
        <v/>
      </c>
    </row>
    <row r="126">
      <c r="Q126" s="303">
        <f>IF(OR(A126="",A126="RESULT-TEMPLATE"),"",IF(AND(ISNUMBER(G126),ISNUMBER(H126),ISNUMBER(I126),H126&lt;=G126,G126&lt;=I126),"VALID","INVALID_INTERVAL"))</f>
        <v/>
      </c>
      <c r="R126" s="303">
        <f>IF(OR(A126="",A126="RESULT-TEMPLATE"),"",IF(AND(C126&lt;&gt;"",E126&lt;&gt;"",F126&lt;&gt;"",J126&lt;&gt;"",N126&lt;&gt;"",O126&lt;&gt;"",P126&lt;&gt;"",Q126="VALID"),"VALID","INVALID_OR_INCOMPLETE"))</f>
        <v/>
      </c>
    </row>
    <row r="127">
      <c r="Q127" s="303">
        <f>IF(OR(A127="",A127="RESULT-TEMPLATE"),"",IF(AND(ISNUMBER(G127),ISNUMBER(H127),ISNUMBER(I127),H127&lt;=G127,G127&lt;=I127),"VALID","INVALID_INTERVAL"))</f>
        <v/>
      </c>
      <c r="R127" s="303">
        <f>IF(OR(A127="",A127="RESULT-TEMPLATE"),"",IF(AND(C127&lt;&gt;"",E127&lt;&gt;"",F127&lt;&gt;"",J127&lt;&gt;"",N127&lt;&gt;"",O127&lt;&gt;"",P127&lt;&gt;"",Q127="VALID"),"VALID","INVALID_OR_INCOMPLETE"))</f>
        <v/>
      </c>
    </row>
    <row r="128">
      <c r="Q128" s="303">
        <f>IF(OR(A128="",A128="RESULT-TEMPLATE"),"",IF(AND(ISNUMBER(G128),ISNUMBER(H128),ISNUMBER(I128),H128&lt;=G128,G128&lt;=I128),"VALID","INVALID_INTERVAL"))</f>
        <v/>
      </c>
      <c r="R128" s="303">
        <f>IF(OR(A128="",A128="RESULT-TEMPLATE"),"",IF(AND(C128&lt;&gt;"",E128&lt;&gt;"",F128&lt;&gt;"",J128&lt;&gt;"",N128&lt;&gt;"",O128&lt;&gt;"",P128&lt;&gt;"",Q128="VALID"),"VALID","INVALID_OR_INCOMPLETE"))</f>
        <v/>
      </c>
    </row>
    <row r="129">
      <c r="Q129" s="303">
        <f>IF(OR(A129="",A129="RESULT-TEMPLATE"),"",IF(AND(ISNUMBER(G129),ISNUMBER(H129),ISNUMBER(I129),H129&lt;=G129,G129&lt;=I129),"VALID","INVALID_INTERVAL"))</f>
        <v/>
      </c>
      <c r="R129" s="303">
        <f>IF(OR(A129="",A129="RESULT-TEMPLATE"),"",IF(AND(C129&lt;&gt;"",E129&lt;&gt;"",F129&lt;&gt;"",J129&lt;&gt;"",N129&lt;&gt;"",O129&lt;&gt;"",P129&lt;&gt;"",Q129="VALID"),"VALID","INVALID_OR_INCOMPLETE"))</f>
        <v/>
      </c>
    </row>
    <row r="130">
      <c r="Q130" s="303">
        <f>IF(OR(A130="",A130="RESULT-TEMPLATE"),"",IF(AND(ISNUMBER(G130),ISNUMBER(H130),ISNUMBER(I130),H130&lt;=G130,G130&lt;=I130),"VALID","INVALID_INTERVAL"))</f>
        <v/>
      </c>
      <c r="R130" s="303">
        <f>IF(OR(A130="",A130="RESULT-TEMPLATE"),"",IF(AND(C130&lt;&gt;"",E130&lt;&gt;"",F130&lt;&gt;"",J130&lt;&gt;"",N130&lt;&gt;"",O130&lt;&gt;"",P130&lt;&gt;"",Q130="VALID"),"VALID","INVALID_OR_INCOMPLETE"))</f>
        <v/>
      </c>
    </row>
    <row r="131">
      <c r="Q131" s="303">
        <f>IF(OR(A131="",A131="RESULT-TEMPLATE"),"",IF(AND(ISNUMBER(G131),ISNUMBER(H131),ISNUMBER(I131),H131&lt;=G131,G131&lt;=I131),"VALID","INVALID_INTERVAL"))</f>
        <v/>
      </c>
      <c r="R131" s="303">
        <f>IF(OR(A131="",A131="RESULT-TEMPLATE"),"",IF(AND(C131&lt;&gt;"",E131&lt;&gt;"",F131&lt;&gt;"",J131&lt;&gt;"",N131&lt;&gt;"",O131&lt;&gt;"",P131&lt;&gt;"",Q131="VALID"),"VALID","INVALID_OR_INCOMPLETE"))</f>
        <v/>
      </c>
    </row>
    <row r="132">
      <c r="Q132" s="303">
        <f>IF(OR(A132="",A132="RESULT-TEMPLATE"),"",IF(AND(ISNUMBER(G132),ISNUMBER(H132),ISNUMBER(I132),H132&lt;=G132,G132&lt;=I132),"VALID","INVALID_INTERVAL"))</f>
        <v/>
      </c>
      <c r="R132" s="303">
        <f>IF(OR(A132="",A132="RESULT-TEMPLATE"),"",IF(AND(C132&lt;&gt;"",E132&lt;&gt;"",F132&lt;&gt;"",J132&lt;&gt;"",N132&lt;&gt;"",O132&lt;&gt;"",P132&lt;&gt;"",Q132="VALID"),"VALID","INVALID_OR_INCOMPLETE"))</f>
        <v/>
      </c>
    </row>
    <row r="133">
      <c r="Q133" s="303">
        <f>IF(OR(A133="",A133="RESULT-TEMPLATE"),"",IF(AND(ISNUMBER(G133),ISNUMBER(H133),ISNUMBER(I133),H133&lt;=G133,G133&lt;=I133),"VALID","INVALID_INTERVAL"))</f>
        <v/>
      </c>
      <c r="R133" s="303">
        <f>IF(OR(A133="",A133="RESULT-TEMPLATE"),"",IF(AND(C133&lt;&gt;"",E133&lt;&gt;"",F133&lt;&gt;"",J133&lt;&gt;"",N133&lt;&gt;"",O133&lt;&gt;"",P133&lt;&gt;"",Q133="VALID"),"VALID","INVALID_OR_INCOMPLETE"))</f>
        <v/>
      </c>
    </row>
    <row r="134">
      <c r="Q134" s="303">
        <f>IF(OR(A134="",A134="RESULT-TEMPLATE"),"",IF(AND(ISNUMBER(G134),ISNUMBER(H134),ISNUMBER(I134),H134&lt;=G134,G134&lt;=I134),"VALID","INVALID_INTERVAL"))</f>
        <v/>
      </c>
      <c r="R134" s="303">
        <f>IF(OR(A134="",A134="RESULT-TEMPLATE"),"",IF(AND(C134&lt;&gt;"",E134&lt;&gt;"",F134&lt;&gt;"",J134&lt;&gt;"",N134&lt;&gt;"",O134&lt;&gt;"",P134&lt;&gt;"",Q134="VALID"),"VALID","INVALID_OR_INCOMPLETE"))</f>
        <v/>
      </c>
    </row>
    <row r="135">
      <c r="Q135" s="303">
        <f>IF(OR(A135="",A135="RESULT-TEMPLATE"),"",IF(AND(ISNUMBER(G135),ISNUMBER(H135),ISNUMBER(I135),H135&lt;=G135,G135&lt;=I135),"VALID","INVALID_INTERVAL"))</f>
        <v/>
      </c>
      <c r="R135" s="303">
        <f>IF(OR(A135="",A135="RESULT-TEMPLATE"),"",IF(AND(C135&lt;&gt;"",E135&lt;&gt;"",F135&lt;&gt;"",J135&lt;&gt;"",N135&lt;&gt;"",O135&lt;&gt;"",P135&lt;&gt;"",Q135="VALID"),"VALID","INVALID_OR_INCOMPLETE"))</f>
        <v/>
      </c>
    </row>
    <row r="136">
      <c r="Q136" s="303">
        <f>IF(OR(A136="",A136="RESULT-TEMPLATE"),"",IF(AND(ISNUMBER(G136),ISNUMBER(H136),ISNUMBER(I136),H136&lt;=G136,G136&lt;=I136),"VALID","INVALID_INTERVAL"))</f>
        <v/>
      </c>
      <c r="R136" s="303">
        <f>IF(OR(A136="",A136="RESULT-TEMPLATE"),"",IF(AND(C136&lt;&gt;"",E136&lt;&gt;"",F136&lt;&gt;"",J136&lt;&gt;"",N136&lt;&gt;"",O136&lt;&gt;"",P136&lt;&gt;"",Q136="VALID"),"VALID","INVALID_OR_INCOMPLETE"))</f>
        <v/>
      </c>
    </row>
    <row r="137">
      <c r="Q137" s="303">
        <f>IF(OR(A137="",A137="RESULT-TEMPLATE"),"",IF(AND(ISNUMBER(G137),ISNUMBER(H137),ISNUMBER(I137),H137&lt;=G137,G137&lt;=I137),"VALID","INVALID_INTERVAL"))</f>
        <v/>
      </c>
      <c r="R137" s="303">
        <f>IF(OR(A137="",A137="RESULT-TEMPLATE"),"",IF(AND(C137&lt;&gt;"",E137&lt;&gt;"",F137&lt;&gt;"",J137&lt;&gt;"",N137&lt;&gt;"",O137&lt;&gt;"",P137&lt;&gt;"",Q137="VALID"),"VALID","INVALID_OR_INCOMPLETE"))</f>
        <v/>
      </c>
    </row>
    <row r="138">
      <c r="Q138" s="303">
        <f>IF(OR(A138="",A138="RESULT-TEMPLATE"),"",IF(AND(ISNUMBER(G138),ISNUMBER(H138),ISNUMBER(I138),H138&lt;=G138,G138&lt;=I138),"VALID","INVALID_INTERVAL"))</f>
        <v/>
      </c>
      <c r="R138" s="303">
        <f>IF(OR(A138="",A138="RESULT-TEMPLATE"),"",IF(AND(C138&lt;&gt;"",E138&lt;&gt;"",F138&lt;&gt;"",J138&lt;&gt;"",N138&lt;&gt;"",O138&lt;&gt;"",P138&lt;&gt;"",Q138="VALID"),"VALID","INVALID_OR_INCOMPLETE"))</f>
        <v/>
      </c>
    </row>
    <row r="139">
      <c r="Q139" s="303">
        <f>IF(OR(A139="",A139="RESULT-TEMPLATE"),"",IF(AND(ISNUMBER(G139),ISNUMBER(H139),ISNUMBER(I139),H139&lt;=G139,G139&lt;=I139),"VALID","INVALID_INTERVAL"))</f>
        <v/>
      </c>
      <c r="R139" s="303">
        <f>IF(OR(A139="",A139="RESULT-TEMPLATE"),"",IF(AND(C139&lt;&gt;"",E139&lt;&gt;"",F139&lt;&gt;"",J139&lt;&gt;"",N139&lt;&gt;"",O139&lt;&gt;"",P139&lt;&gt;"",Q139="VALID"),"VALID","INVALID_OR_INCOMPLETE"))</f>
        <v/>
      </c>
    </row>
    <row r="140">
      <c r="Q140" s="303">
        <f>IF(OR(A140="",A140="RESULT-TEMPLATE"),"",IF(AND(ISNUMBER(G140),ISNUMBER(H140),ISNUMBER(I140),H140&lt;=G140,G140&lt;=I140),"VALID","INVALID_INTERVAL"))</f>
        <v/>
      </c>
      <c r="R140" s="303">
        <f>IF(OR(A140="",A140="RESULT-TEMPLATE"),"",IF(AND(C140&lt;&gt;"",E140&lt;&gt;"",F140&lt;&gt;"",J140&lt;&gt;"",N140&lt;&gt;"",O140&lt;&gt;"",P140&lt;&gt;"",Q140="VALID"),"VALID","INVALID_OR_INCOMPLETE"))</f>
        <v/>
      </c>
    </row>
    <row r="141">
      <c r="Q141" s="303">
        <f>IF(OR(A141="",A141="RESULT-TEMPLATE"),"",IF(AND(ISNUMBER(G141),ISNUMBER(H141),ISNUMBER(I141),H141&lt;=G141,G141&lt;=I141),"VALID","INVALID_INTERVAL"))</f>
        <v/>
      </c>
      <c r="R141" s="303">
        <f>IF(OR(A141="",A141="RESULT-TEMPLATE"),"",IF(AND(C141&lt;&gt;"",E141&lt;&gt;"",F141&lt;&gt;"",J141&lt;&gt;"",N141&lt;&gt;"",O141&lt;&gt;"",P141&lt;&gt;"",Q141="VALID"),"VALID","INVALID_OR_INCOMPLETE"))</f>
        <v/>
      </c>
    </row>
    <row r="142">
      <c r="Q142" s="303">
        <f>IF(OR(A142="",A142="RESULT-TEMPLATE"),"",IF(AND(ISNUMBER(G142),ISNUMBER(H142),ISNUMBER(I142),H142&lt;=G142,G142&lt;=I142),"VALID","INVALID_INTERVAL"))</f>
        <v/>
      </c>
      <c r="R142" s="303">
        <f>IF(OR(A142="",A142="RESULT-TEMPLATE"),"",IF(AND(C142&lt;&gt;"",E142&lt;&gt;"",F142&lt;&gt;"",J142&lt;&gt;"",N142&lt;&gt;"",O142&lt;&gt;"",P142&lt;&gt;"",Q142="VALID"),"VALID","INVALID_OR_INCOMPLETE"))</f>
        <v/>
      </c>
    </row>
    <row r="143">
      <c r="Q143" s="303">
        <f>IF(OR(A143="",A143="RESULT-TEMPLATE"),"",IF(AND(ISNUMBER(G143),ISNUMBER(H143),ISNUMBER(I143),H143&lt;=G143,G143&lt;=I143),"VALID","INVALID_INTERVAL"))</f>
        <v/>
      </c>
      <c r="R143" s="303">
        <f>IF(OR(A143="",A143="RESULT-TEMPLATE"),"",IF(AND(C143&lt;&gt;"",E143&lt;&gt;"",F143&lt;&gt;"",J143&lt;&gt;"",N143&lt;&gt;"",O143&lt;&gt;"",P143&lt;&gt;"",Q143="VALID"),"VALID","INVALID_OR_INCOMPLETE"))</f>
        <v/>
      </c>
    </row>
    <row r="144">
      <c r="Q144" s="303">
        <f>IF(OR(A144="",A144="RESULT-TEMPLATE"),"",IF(AND(ISNUMBER(G144),ISNUMBER(H144),ISNUMBER(I144),H144&lt;=G144,G144&lt;=I144),"VALID","INVALID_INTERVAL"))</f>
        <v/>
      </c>
      <c r="R144" s="303">
        <f>IF(OR(A144="",A144="RESULT-TEMPLATE"),"",IF(AND(C144&lt;&gt;"",E144&lt;&gt;"",F144&lt;&gt;"",J144&lt;&gt;"",N144&lt;&gt;"",O144&lt;&gt;"",P144&lt;&gt;"",Q144="VALID"),"VALID","INVALID_OR_INCOMPLETE"))</f>
        <v/>
      </c>
    </row>
    <row r="145">
      <c r="Q145" s="303">
        <f>IF(OR(A145="",A145="RESULT-TEMPLATE"),"",IF(AND(ISNUMBER(G145),ISNUMBER(H145),ISNUMBER(I145),H145&lt;=G145,G145&lt;=I145),"VALID","INVALID_INTERVAL"))</f>
        <v/>
      </c>
      <c r="R145" s="303">
        <f>IF(OR(A145="",A145="RESULT-TEMPLATE"),"",IF(AND(C145&lt;&gt;"",E145&lt;&gt;"",F145&lt;&gt;"",J145&lt;&gt;"",N145&lt;&gt;"",O145&lt;&gt;"",P145&lt;&gt;"",Q145="VALID"),"VALID","INVALID_OR_INCOMPLETE"))</f>
        <v/>
      </c>
    </row>
    <row r="146">
      <c r="Q146" s="303">
        <f>IF(OR(A146="",A146="RESULT-TEMPLATE"),"",IF(AND(ISNUMBER(G146),ISNUMBER(H146),ISNUMBER(I146),H146&lt;=G146,G146&lt;=I146),"VALID","INVALID_INTERVAL"))</f>
        <v/>
      </c>
      <c r="R146" s="303">
        <f>IF(OR(A146="",A146="RESULT-TEMPLATE"),"",IF(AND(C146&lt;&gt;"",E146&lt;&gt;"",F146&lt;&gt;"",J146&lt;&gt;"",N146&lt;&gt;"",O146&lt;&gt;"",P146&lt;&gt;"",Q146="VALID"),"VALID","INVALID_OR_INCOMPLETE"))</f>
        <v/>
      </c>
    </row>
    <row r="147">
      <c r="Q147" s="303">
        <f>IF(OR(A147="",A147="RESULT-TEMPLATE"),"",IF(AND(ISNUMBER(G147),ISNUMBER(H147),ISNUMBER(I147),H147&lt;=G147,G147&lt;=I147),"VALID","INVALID_INTERVAL"))</f>
        <v/>
      </c>
      <c r="R147" s="303">
        <f>IF(OR(A147="",A147="RESULT-TEMPLATE"),"",IF(AND(C147&lt;&gt;"",E147&lt;&gt;"",F147&lt;&gt;"",J147&lt;&gt;"",N147&lt;&gt;"",O147&lt;&gt;"",P147&lt;&gt;"",Q147="VALID"),"VALID","INVALID_OR_INCOMPLETE"))</f>
        <v/>
      </c>
    </row>
    <row r="148">
      <c r="Q148" s="303">
        <f>IF(OR(A148="",A148="RESULT-TEMPLATE"),"",IF(AND(ISNUMBER(G148),ISNUMBER(H148),ISNUMBER(I148),H148&lt;=G148,G148&lt;=I148),"VALID","INVALID_INTERVAL"))</f>
        <v/>
      </c>
      <c r="R148" s="303">
        <f>IF(OR(A148="",A148="RESULT-TEMPLATE"),"",IF(AND(C148&lt;&gt;"",E148&lt;&gt;"",F148&lt;&gt;"",J148&lt;&gt;"",N148&lt;&gt;"",O148&lt;&gt;"",P148&lt;&gt;"",Q148="VALID"),"VALID","INVALID_OR_INCOMPLETE"))</f>
        <v/>
      </c>
    </row>
    <row r="149">
      <c r="Q149" s="303">
        <f>IF(OR(A149="",A149="RESULT-TEMPLATE"),"",IF(AND(ISNUMBER(G149),ISNUMBER(H149),ISNUMBER(I149),H149&lt;=G149,G149&lt;=I149),"VALID","INVALID_INTERVAL"))</f>
        <v/>
      </c>
      <c r="R149" s="303">
        <f>IF(OR(A149="",A149="RESULT-TEMPLATE"),"",IF(AND(C149&lt;&gt;"",E149&lt;&gt;"",F149&lt;&gt;"",J149&lt;&gt;"",N149&lt;&gt;"",O149&lt;&gt;"",P149&lt;&gt;"",Q149="VALID"),"VALID","INVALID_OR_INCOMPLETE"))</f>
        <v/>
      </c>
    </row>
    <row r="150">
      <c r="Q150" s="303">
        <f>IF(OR(A150="",A150="RESULT-TEMPLATE"),"",IF(AND(ISNUMBER(G150),ISNUMBER(H150),ISNUMBER(I150),H150&lt;=G150,G150&lt;=I150),"VALID","INVALID_INTERVAL"))</f>
        <v/>
      </c>
      <c r="R150" s="303">
        <f>IF(OR(A150="",A150="RESULT-TEMPLATE"),"",IF(AND(C150&lt;&gt;"",E150&lt;&gt;"",F150&lt;&gt;"",J150&lt;&gt;"",N150&lt;&gt;"",O150&lt;&gt;"",P150&lt;&gt;"",Q150="VALID"),"VALID","INVALID_OR_INCOMPLETE"))</f>
        <v/>
      </c>
    </row>
    <row r="151">
      <c r="Q151" s="303">
        <f>IF(OR(A151="",A151="RESULT-TEMPLATE"),"",IF(AND(ISNUMBER(G151),ISNUMBER(H151),ISNUMBER(I151),H151&lt;=G151,G151&lt;=I151),"VALID","INVALID_INTERVAL"))</f>
        <v/>
      </c>
      <c r="R151" s="303">
        <f>IF(OR(A151="",A151="RESULT-TEMPLATE"),"",IF(AND(C151&lt;&gt;"",E151&lt;&gt;"",F151&lt;&gt;"",J151&lt;&gt;"",N151&lt;&gt;"",O151&lt;&gt;"",P151&lt;&gt;"",Q151="VALID"),"VALID","INVALID_OR_INCOMPLETE"))</f>
        <v/>
      </c>
    </row>
    <row r="152">
      <c r="Q152" s="303">
        <f>IF(OR(A152="",A152="RESULT-TEMPLATE"),"",IF(AND(ISNUMBER(G152),ISNUMBER(H152),ISNUMBER(I152),H152&lt;=G152,G152&lt;=I152),"VALID","INVALID_INTERVAL"))</f>
        <v/>
      </c>
      <c r="R152" s="303">
        <f>IF(OR(A152="",A152="RESULT-TEMPLATE"),"",IF(AND(C152&lt;&gt;"",E152&lt;&gt;"",F152&lt;&gt;"",J152&lt;&gt;"",N152&lt;&gt;"",O152&lt;&gt;"",P152&lt;&gt;"",Q152="VALID"),"VALID","INVALID_OR_INCOMPLETE"))</f>
        <v/>
      </c>
    </row>
    <row r="153">
      <c r="Q153" s="303">
        <f>IF(OR(A153="",A153="RESULT-TEMPLATE"),"",IF(AND(ISNUMBER(G153),ISNUMBER(H153),ISNUMBER(I153),H153&lt;=G153,G153&lt;=I153),"VALID","INVALID_INTERVAL"))</f>
        <v/>
      </c>
      <c r="R153" s="303">
        <f>IF(OR(A153="",A153="RESULT-TEMPLATE"),"",IF(AND(C153&lt;&gt;"",E153&lt;&gt;"",F153&lt;&gt;"",J153&lt;&gt;"",N153&lt;&gt;"",O153&lt;&gt;"",P153&lt;&gt;"",Q153="VALID"),"VALID","INVALID_OR_INCOMPLETE"))</f>
        <v/>
      </c>
    </row>
    <row r="154">
      <c r="Q154" s="303">
        <f>IF(OR(A154="",A154="RESULT-TEMPLATE"),"",IF(AND(ISNUMBER(G154),ISNUMBER(H154),ISNUMBER(I154),H154&lt;=G154,G154&lt;=I154),"VALID","INVALID_INTERVAL"))</f>
        <v/>
      </c>
      <c r="R154" s="303">
        <f>IF(OR(A154="",A154="RESULT-TEMPLATE"),"",IF(AND(C154&lt;&gt;"",E154&lt;&gt;"",F154&lt;&gt;"",J154&lt;&gt;"",N154&lt;&gt;"",O154&lt;&gt;"",P154&lt;&gt;"",Q154="VALID"),"VALID","INVALID_OR_INCOMPLETE"))</f>
        <v/>
      </c>
    </row>
    <row r="155">
      <c r="Q155" s="303">
        <f>IF(OR(A155="",A155="RESULT-TEMPLATE"),"",IF(AND(ISNUMBER(G155),ISNUMBER(H155),ISNUMBER(I155),H155&lt;=G155,G155&lt;=I155),"VALID","INVALID_INTERVAL"))</f>
        <v/>
      </c>
      <c r="R155" s="303">
        <f>IF(OR(A155="",A155="RESULT-TEMPLATE"),"",IF(AND(C155&lt;&gt;"",E155&lt;&gt;"",F155&lt;&gt;"",J155&lt;&gt;"",N155&lt;&gt;"",O155&lt;&gt;"",P155&lt;&gt;"",Q155="VALID"),"VALID","INVALID_OR_INCOMPLETE"))</f>
        <v/>
      </c>
    </row>
    <row r="156">
      <c r="Q156" s="303">
        <f>IF(OR(A156="",A156="RESULT-TEMPLATE"),"",IF(AND(ISNUMBER(G156),ISNUMBER(H156),ISNUMBER(I156),H156&lt;=G156,G156&lt;=I156),"VALID","INVALID_INTERVAL"))</f>
        <v/>
      </c>
      <c r="R156" s="303">
        <f>IF(OR(A156="",A156="RESULT-TEMPLATE"),"",IF(AND(C156&lt;&gt;"",E156&lt;&gt;"",F156&lt;&gt;"",J156&lt;&gt;"",N156&lt;&gt;"",O156&lt;&gt;"",P156&lt;&gt;"",Q156="VALID"),"VALID","INVALID_OR_INCOMPLETE"))</f>
        <v/>
      </c>
    </row>
    <row r="157">
      <c r="Q157" s="303">
        <f>IF(OR(A157="",A157="RESULT-TEMPLATE"),"",IF(AND(ISNUMBER(G157),ISNUMBER(H157),ISNUMBER(I157),H157&lt;=G157,G157&lt;=I157),"VALID","INVALID_INTERVAL"))</f>
        <v/>
      </c>
      <c r="R157" s="303">
        <f>IF(OR(A157="",A157="RESULT-TEMPLATE"),"",IF(AND(C157&lt;&gt;"",E157&lt;&gt;"",F157&lt;&gt;"",J157&lt;&gt;"",N157&lt;&gt;"",O157&lt;&gt;"",P157&lt;&gt;"",Q157="VALID"),"VALID","INVALID_OR_INCOMPLETE"))</f>
        <v/>
      </c>
    </row>
    <row r="158">
      <c r="Q158" s="303">
        <f>IF(OR(A158="",A158="RESULT-TEMPLATE"),"",IF(AND(ISNUMBER(G158),ISNUMBER(H158),ISNUMBER(I158),H158&lt;=G158,G158&lt;=I158),"VALID","INVALID_INTERVAL"))</f>
        <v/>
      </c>
      <c r="R158" s="303">
        <f>IF(OR(A158="",A158="RESULT-TEMPLATE"),"",IF(AND(C158&lt;&gt;"",E158&lt;&gt;"",F158&lt;&gt;"",J158&lt;&gt;"",N158&lt;&gt;"",O158&lt;&gt;"",P158&lt;&gt;"",Q158="VALID"),"VALID","INVALID_OR_INCOMPLETE"))</f>
        <v/>
      </c>
    </row>
    <row r="159">
      <c r="Q159" s="303">
        <f>IF(OR(A159="",A159="RESULT-TEMPLATE"),"",IF(AND(ISNUMBER(G159),ISNUMBER(H159),ISNUMBER(I159),H159&lt;=G159,G159&lt;=I159),"VALID","INVALID_INTERVAL"))</f>
        <v/>
      </c>
      <c r="R159" s="303">
        <f>IF(OR(A159="",A159="RESULT-TEMPLATE"),"",IF(AND(C159&lt;&gt;"",E159&lt;&gt;"",F159&lt;&gt;"",J159&lt;&gt;"",N159&lt;&gt;"",O159&lt;&gt;"",P159&lt;&gt;"",Q159="VALID"),"VALID","INVALID_OR_INCOMPLETE"))</f>
        <v/>
      </c>
    </row>
    <row r="160">
      <c r="Q160" s="303">
        <f>IF(OR(A160="",A160="RESULT-TEMPLATE"),"",IF(AND(ISNUMBER(G160),ISNUMBER(H160),ISNUMBER(I160),H160&lt;=G160,G160&lt;=I160),"VALID","INVALID_INTERVAL"))</f>
        <v/>
      </c>
      <c r="R160" s="303">
        <f>IF(OR(A160="",A160="RESULT-TEMPLATE"),"",IF(AND(C160&lt;&gt;"",E160&lt;&gt;"",F160&lt;&gt;"",J160&lt;&gt;"",N160&lt;&gt;"",O160&lt;&gt;"",P160&lt;&gt;"",Q160="VALID"),"VALID","INVALID_OR_INCOMPLETE"))</f>
        <v/>
      </c>
    </row>
    <row r="161">
      <c r="Q161" s="303">
        <f>IF(OR(A161="",A161="RESULT-TEMPLATE"),"",IF(AND(ISNUMBER(G161),ISNUMBER(H161),ISNUMBER(I161),H161&lt;=G161,G161&lt;=I161),"VALID","INVALID_INTERVAL"))</f>
        <v/>
      </c>
      <c r="R161" s="303">
        <f>IF(OR(A161="",A161="RESULT-TEMPLATE"),"",IF(AND(C161&lt;&gt;"",E161&lt;&gt;"",F161&lt;&gt;"",J161&lt;&gt;"",N161&lt;&gt;"",O161&lt;&gt;"",P161&lt;&gt;"",Q161="VALID"),"VALID","INVALID_OR_INCOMPLETE"))</f>
        <v/>
      </c>
    </row>
    <row r="162">
      <c r="Q162" s="303">
        <f>IF(OR(A162="",A162="RESULT-TEMPLATE"),"",IF(AND(ISNUMBER(G162),ISNUMBER(H162),ISNUMBER(I162),H162&lt;=G162,G162&lt;=I162),"VALID","INVALID_INTERVAL"))</f>
        <v/>
      </c>
      <c r="R162" s="303">
        <f>IF(OR(A162="",A162="RESULT-TEMPLATE"),"",IF(AND(C162&lt;&gt;"",E162&lt;&gt;"",F162&lt;&gt;"",J162&lt;&gt;"",N162&lt;&gt;"",O162&lt;&gt;"",P162&lt;&gt;"",Q162="VALID"),"VALID","INVALID_OR_INCOMPLETE"))</f>
        <v/>
      </c>
    </row>
    <row r="163">
      <c r="Q163" s="303">
        <f>IF(OR(A163="",A163="RESULT-TEMPLATE"),"",IF(AND(ISNUMBER(G163),ISNUMBER(H163),ISNUMBER(I163),H163&lt;=G163,G163&lt;=I163),"VALID","INVALID_INTERVAL"))</f>
        <v/>
      </c>
      <c r="R163" s="303">
        <f>IF(OR(A163="",A163="RESULT-TEMPLATE"),"",IF(AND(C163&lt;&gt;"",E163&lt;&gt;"",F163&lt;&gt;"",J163&lt;&gt;"",N163&lt;&gt;"",O163&lt;&gt;"",P163&lt;&gt;"",Q163="VALID"),"VALID","INVALID_OR_INCOMPLETE"))</f>
        <v/>
      </c>
    </row>
    <row r="164">
      <c r="Q164" s="303">
        <f>IF(OR(A164="",A164="RESULT-TEMPLATE"),"",IF(AND(ISNUMBER(G164),ISNUMBER(H164),ISNUMBER(I164),H164&lt;=G164,G164&lt;=I164),"VALID","INVALID_INTERVAL"))</f>
        <v/>
      </c>
      <c r="R164" s="303">
        <f>IF(OR(A164="",A164="RESULT-TEMPLATE"),"",IF(AND(C164&lt;&gt;"",E164&lt;&gt;"",F164&lt;&gt;"",J164&lt;&gt;"",N164&lt;&gt;"",O164&lt;&gt;"",P164&lt;&gt;"",Q164="VALID"),"VALID","INVALID_OR_INCOMPLETE"))</f>
        <v/>
      </c>
    </row>
    <row r="165">
      <c r="Q165" s="303">
        <f>IF(OR(A165="",A165="RESULT-TEMPLATE"),"",IF(AND(ISNUMBER(G165),ISNUMBER(H165),ISNUMBER(I165),H165&lt;=G165,G165&lt;=I165),"VALID","INVALID_INTERVAL"))</f>
        <v/>
      </c>
      <c r="R165" s="303">
        <f>IF(OR(A165="",A165="RESULT-TEMPLATE"),"",IF(AND(C165&lt;&gt;"",E165&lt;&gt;"",F165&lt;&gt;"",J165&lt;&gt;"",N165&lt;&gt;"",O165&lt;&gt;"",P165&lt;&gt;"",Q165="VALID"),"VALID","INVALID_OR_INCOMPLETE"))</f>
        <v/>
      </c>
    </row>
    <row r="166">
      <c r="Q166" s="303">
        <f>IF(OR(A166="",A166="RESULT-TEMPLATE"),"",IF(AND(ISNUMBER(G166),ISNUMBER(H166),ISNUMBER(I166),H166&lt;=G166,G166&lt;=I166),"VALID","INVALID_INTERVAL"))</f>
        <v/>
      </c>
      <c r="R166" s="303">
        <f>IF(OR(A166="",A166="RESULT-TEMPLATE"),"",IF(AND(C166&lt;&gt;"",E166&lt;&gt;"",F166&lt;&gt;"",J166&lt;&gt;"",N166&lt;&gt;"",O166&lt;&gt;"",P166&lt;&gt;"",Q166="VALID"),"VALID","INVALID_OR_INCOMPLETE"))</f>
        <v/>
      </c>
    </row>
    <row r="167">
      <c r="Q167" s="303">
        <f>IF(OR(A167="",A167="RESULT-TEMPLATE"),"",IF(AND(ISNUMBER(G167),ISNUMBER(H167),ISNUMBER(I167),H167&lt;=G167,G167&lt;=I167),"VALID","INVALID_INTERVAL"))</f>
        <v/>
      </c>
      <c r="R167" s="303">
        <f>IF(OR(A167="",A167="RESULT-TEMPLATE"),"",IF(AND(C167&lt;&gt;"",E167&lt;&gt;"",F167&lt;&gt;"",J167&lt;&gt;"",N167&lt;&gt;"",O167&lt;&gt;"",P167&lt;&gt;"",Q167="VALID"),"VALID","INVALID_OR_INCOMPLETE"))</f>
        <v/>
      </c>
    </row>
    <row r="168">
      <c r="Q168" s="303">
        <f>IF(OR(A168="",A168="RESULT-TEMPLATE"),"",IF(AND(ISNUMBER(G168),ISNUMBER(H168),ISNUMBER(I168),H168&lt;=G168,G168&lt;=I168),"VALID","INVALID_INTERVAL"))</f>
        <v/>
      </c>
      <c r="R168" s="303">
        <f>IF(OR(A168="",A168="RESULT-TEMPLATE"),"",IF(AND(C168&lt;&gt;"",E168&lt;&gt;"",F168&lt;&gt;"",J168&lt;&gt;"",N168&lt;&gt;"",O168&lt;&gt;"",P168&lt;&gt;"",Q168="VALID"),"VALID","INVALID_OR_INCOMPLETE"))</f>
        <v/>
      </c>
    </row>
    <row r="169">
      <c r="Q169" s="303">
        <f>IF(OR(A169="",A169="RESULT-TEMPLATE"),"",IF(AND(ISNUMBER(G169),ISNUMBER(H169),ISNUMBER(I169),H169&lt;=G169,G169&lt;=I169),"VALID","INVALID_INTERVAL"))</f>
        <v/>
      </c>
      <c r="R169" s="303">
        <f>IF(OR(A169="",A169="RESULT-TEMPLATE"),"",IF(AND(C169&lt;&gt;"",E169&lt;&gt;"",F169&lt;&gt;"",J169&lt;&gt;"",N169&lt;&gt;"",O169&lt;&gt;"",P169&lt;&gt;"",Q169="VALID"),"VALID","INVALID_OR_INCOMPLETE"))</f>
        <v/>
      </c>
    </row>
    <row r="170">
      <c r="Q170" s="303">
        <f>IF(OR(A170="",A170="RESULT-TEMPLATE"),"",IF(AND(ISNUMBER(G170),ISNUMBER(H170),ISNUMBER(I170),H170&lt;=G170,G170&lt;=I170),"VALID","INVALID_INTERVAL"))</f>
        <v/>
      </c>
      <c r="R170" s="303">
        <f>IF(OR(A170="",A170="RESULT-TEMPLATE"),"",IF(AND(C170&lt;&gt;"",E170&lt;&gt;"",F170&lt;&gt;"",J170&lt;&gt;"",N170&lt;&gt;"",O170&lt;&gt;"",P170&lt;&gt;"",Q170="VALID"),"VALID","INVALID_OR_INCOMPLETE"))</f>
        <v/>
      </c>
    </row>
    <row r="171">
      <c r="Q171" s="303">
        <f>IF(OR(A171="",A171="RESULT-TEMPLATE"),"",IF(AND(ISNUMBER(G171),ISNUMBER(H171),ISNUMBER(I171),H171&lt;=G171,G171&lt;=I171),"VALID","INVALID_INTERVAL"))</f>
        <v/>
      </c>
      <c r="R171" s="303">
        <f>IF(OR(A171="",A171="RESULT-TEMPLATE"),"",IF(AND(C171&lt;&gt;"",E171&lt;&gt;"",F171&lt;&gt;"",J171&lt;&gt;"",N171&lt;&gt;"",O171&lt;&gt;"",P171&lt;&gt;"",Q171="VALID"),"VALID","INVALID_OR_INCOMPLETE"))</f>
        <v/>
      </c>
    </row>
    <row r="172">
      <c r="Q172" s="303">
        <f>IF(OR(A172="",A172="RESULT-TEMPLATE"),"",IF(AND(ISNUMBER(G172),ISNUMBER(H172),ISNUMBER(I172),H172&lt;=G172,G172&lt;=I172),"VALID","INVALID_INTERVAL"))</f>
        <v/>
      </c>
      <c r="R172" s="303">
        <f>IF(OR(A172="",A172="RESULT-TEMPLATE"),"",IF(AND(C172&lt;&gt;"",E172&lt;&gt;"",F172&lt;&gt;"",J172&lt;&gt;"",N172&lt;&gt;"",O172&lt;&gt;"",P172&lt;&gt;"",Q172="VALID"),"VALID","INVALID_OR_INCOMPLETE"))</f>
        <v/>
      </c>
    </row>
    <row r="173">
      <c r="Q173" s="303">
        <f>IF(OR(A173="",A173="RESULT-TEMPLATE"),"",IF(AND(ISNUMBER(G173),ISNUMBER(H173),ISNUMBER(I173),H173&lt;=G173,G173&lt;=I173),"VALID","INVALID_INTERVAL"))</f>
        <v/>
      </c>
      <c r="R173" s="303">
        <f>IF(OR(A173="",A173="RESULT-TEMPLATE"),"",IF(AND(C173&lt;&gt;"",E173&lt;&gt;"",F173&lt;&gt;"",J173&lt;&gt;"",N173&lt;&gt;"",O173&lt;&gt;"",P173&lt;&gt;"",Q173="VALID"),"VALID","INVALID_OR_INCOMPLETE"))</f>
        <v/>
      </c>
    </row>
    <row r="174">
      <c r="Q174" s="303">
        <f>IF(OR(A174="",A174="RESULT-TEMPLATE"),"",IF(AND(ISNUMBER(G174),ISNUMBER(H174),ISNUMBER(I174),H174&lt;=G174,G174&lt;=I174),"VALID","INVALID_INTERVAL"))</f>
        <v/>
      </c>
      <c r="R174" s="303">
        <f>IF(OR(A174="",A174="RESULT-TEMPLATE"),"",IF(AND(C174&lt;&gt;"",E174&lt;&gt;"",F174&lt;&gt;"",J174&lt;&gt;"",N174&lt;&gt;"",O174&lt;&gt;"",P174&lt;&gt;"",Q174="VALID"),"VALID","INVALID_OR_INCOMPLETE"))</f>
        <v/>
      </c>
    </row>
    <row r="175">
      <c r="Q175" s="303">
        <f>IF(OR(A175="",A175="RESULT-TEMPLATE"),"",IF(AND(ISNUMBER(G175),ISNUMBER(H175),ISNUMBER(I175),H175&lt;=G175,G175&lt;=I175),"VALID","INVALID_INTERVAL"))</f>
        <v/>
      </c>
      <c r="R175" s="303">
        <f>IF(OR(A175="",A175="RESULT-TEMPLATE"),"",IF(AND(C175&lt;&gt;"",E175&lt;&gt;"",F175&lt;&gt;"",J175&lt;&gt;"",N175&lt;&gt;"",O175&lt;&gt;"",P175&lt;&gt;"",Q175="VALID"),"VALID","INVALID_OR_INCOMPLETE"))</f>
        <v/>
      </c>
    </row>
    <row r="176">
      <c r="Q176" s="303">
        <f>IF(OR(A176="",A176="RESULT-TEMPLATE"),"",IF(AND(ISNUMBER(G176),ISNUMBER(H176),ISNUMBER(I176),H176&lt;=G176,G176&lt;=I176),"VALID","INVALID_INTERVAL"))</f>
        <v/>
      </c>
      <c r="R176" s="303">
        <f>IF(OR(A176="",A176="RESULT-TEMPLATE"),"",IF(AND(C176&lt;&gt;"",E176&lt;&gt;"",F176&lt;&gt;"",J176&lt;&gt;"",N176&lt;&gt;"",O176&lt;&gt;"",P176&lt;&gt;"",Q176="VALID"),"VALID","INVALID_OR_INCOMPLETE"))</f>
        <v/>
      </c>
    </row>
    <row r="177">
      <c r="Q177" s="303">
        <f>IF(OR(A177="",A177="RESULT-TEMPLATE"),"",IF(AND(ISNUMBER(G177),ISNUMBER(H177),ISNUMBER(I177),H177&lt;=G177,G177&lt;=I177),"VALID","INVALID_INTERVAL"))</f>
        <v/>
      </c>
      <c r="R177" s="303">
        <f>IF(OR(A177="",A177="RESULT-TEMPLATE"),"",IF(AND(C177&lt;&gt;"",E177&lt;&gt;"",F177&lt;&gt;"",J177&lt;&gt;"",N177&lt;&gt;"",O177&lt;&gt;"",P177&lt;&gt;"",Q177="VALID"),"VALID","INVALID_OR_INCOMPLETE"))</f>
        <v/>
      </c>
    </row>
    <row r="178">
      <c r="Q178" s="303">
        <f>IF(OR(A178="",A178="RESULT-TEMPLATE"),"",IF(AND(ISNUMBER(G178),ISNUMBER(H178),ISNUMBER(I178),H178&lt;=G178,G178&lt;=I178),"VALID","INVALID_INTERVAL"))</f>
        <v/>
      </c>
      <c r="R178" s="303">
        <f>IF(OR(A178="",A178="RESULT-TEMPLATE"),"",IF(AND(C178&lt;&gt;"",E178&lt;&gt;"",F178&lt;&gt;"",J178&lt;&gt;"",N178&lt;&gt;"",O178&lt;&gt;"",P178&lt;&gt;"",Q178="VALID"),"VALID","INVALID_OR_INCOMPLETE"))</f>
        <v/>
      </c>
    </row>
    <row r="179">
      <c r="Q179" s="303">
        <f>IF(OR(A179="",A179="RESULT-TEMPLATE"),"",IF(AND(ISNUMBER(G179),ISNUMBER(H179),ISNUMBER(I179),H179&lt;=G179,G179&lt;=I179),"VALID","INVALID_INTERVAL"))</f>
        <v/>
      </c>
      <c r="R179" s="303">
        <f>IF(OR(A179="",A179="RESULT-TEMPLATE"),"",IF(AND(C179&lt;&gt;"",E179&lt;&gt;"",F179&lt;&gt;"",J179&lt;&gt;"",N179&lt;&gt;"",O179&lt;&gt;"",P179&lt;&gt;"",Q179="VALID"),"VALID","INVALID_OR_INCOMPLETE"))</f>
        <v/>
      </c>
    </row>
    <row r="180">
      <c r="Q180" s="303">
        <f>IF(OR(A180="",A180="RESULT-TEMPLATE"),"",IF(AND(ISNUMBER(G180),ISNUMBER(H180),ISNUMBER(I180),H180&lt;=G180,G180&lt;=I180),"VALID","INVALID_INTERVAL"))</f>
        <v/>
      </c>
      <c r="R180" s="303">
        <f>IF(OR(A180="",A180="RESULT-TEMPLATE"),"",IF(AND(C180&lt;&gt;"",E180&lt;&gt;"",F180&lt;&gt;"",J180&lt;&gt;"",N180&lt;&gt;"",O180&lt;&gt;"",P180&lt;&gt;"",Q180="VALID"),"VALID","INVALID_OR_INCOMPLETE"))</f>
        <v/>
      </c>
    </row>
    <row r="181">
      <c r="Q181" s="303">
        <f>IF(OR(A181="",A181="RESULT-TEMPLATE"),"",IF(AND(ISNUMBER(G181),ISNUMBER(H181),ISNUMBER(I181),H181&lt;=G181,G181&lt;=I181),"VALID","INVALID_INTERVAL"))</f>
        <v/>
      </c>
      <c r="R181" s="303">
        <f>IF(OR(A181="",A181="RESULT-TEMPLATE"),"",IF(AND(C181&lt;&gt;"",E181&lt;&gt;"",F181&lt;&gt;"",J181&lt;&gt;"",N181&lt;&gt;"",O181&lt;&gt;"",P181&lt;&gt;"",Q181="VALID"),"VALID","INVALID_OR_INCOMPLETE"))</f>
        <v/>
      </c>
    </row>
    <row r="182">
      <c r="Q182" s="303">
        <f>IF(OR(A182="",A182="RESULT-TEMPLATE"),"",IF(AND(ISNUMBER(G182),ISNUMBER(H182),ISNUMBER(I182),H182&lt;=G182,G182&lt;=I182),"VALID","INVALID_INTERVAL"))</f>
        <v/>
      </c>
      <c r="R182" s="303">
        <f>IF(OR(A182="",A182="RESULT-TEMPLATE"),"",IF(AND(C182&lt;&gt;"",E182&lt;&gt;"",F182&lt;&gt;"",J182&lt;&gt;"",N182&lt;&gt;"",O182&lt;&gt;"",P182&lt;&gt;"",Q182="VALID"),"VALID","INVALID_OR_INCOMPLETE"))</f>
        <v/>
      </c>
    </row>
    <row r="183">
      <c r="Q183" s="303">
        <f>IF(OR(A183="",A183="RESULT-TEMPLATE"),"",IF(AND(ISNUMBER(G183),ISNUMBER(H183),ISNUMBER(I183),H183&lt;=G183,G183&lt;=I183),"VALID","INVALID_INTERVAL"))</f>
        <v/>
      </c>
      <c r="R183" s="303">
        <f>IF(OR(A183="",A183="RESULT-TEMPLATE"),"",IF(AND(C183&lt;&gt;"",E183&lt;&gt;"",F183&lt;&gt;"",J183&lt;&gt;"",N183&lt;&gt;"",O183&lt;&gt;"",P183&lt;&gt;"",Q183="VALID"),"VALID","INVALID_OR_INCOMPLETE"))</f>
        <v/>
      </c>
    </row>
    <row r="184">
      <c r="Q184" s="303">
        <f>IF(OR(A184="",A184="RESULT-TEMPLATE"),"",IF(AND(ISNUMBER(G184),ISNUMBER(H184),ISNUMBER(I184),H184&lt;=G184,G184&lt;=I184),"VALID","INVALID_INTERVAL"))</f>
        <v/>
      </c>
      <c r="R184" s="303">
        <f>IF(OR(A184="",A184="RESULT-TEMPLATE"),"",IF(AND(C184&lt;&gt;"",E184&lt;&gt;"",F184&lt;&gt;"",J184&lt;&gt;"",N184&lt;&gt;"",O184&lt;&gt;"",P184&lt;&gt;"",Q184="VALID"),"VALID","INVALID_OR_INCOMPLETE"))</f>
        <v/>
      </c>
    </row>
    <row r="185">
      <c r="Q185" s="303">
        <f>IF(OR(A185="",A185="RESULT-TEMPLATE"),"",IF(AND(ISNUMBER(G185),ISNUMBER(H185),ISNUMBER(I185),H185&lt;=G185,G185&lt;=I185),"VALID","INVALID_INTERVAL"))</f>
        <v/>
      </c>
      <c r="R185" s="303">
        <f>IF(OR(A185="",A185="RESULT-TEMPLATE"),"",IF(AND(C185&lt;&gt;"",E185&lt;&gt;"",F185&lt;&gt;"",J185&lt;&gt;"",N185&lt;&gt;"",O185&lt;&gt;"",P185&lt;&gt;"",Q185="VALID"),"VALID","INVALID_OR_INCOMPLETE"))</f>
        <v/>
      </c>
    </row>
    <row r="186">
      <c r="Q186" s="303">
        <f>IF(OR(A186="",A186="RESULT-TEMPLATE"),"",IF(AND(ISNUMBER(G186),ISNUMBER(H186),ISNUMBER(I186),H186&lt;=G186,G186&lt;=I186),"VALID","INVALID_INTERVAL"))</f>
        <v/>
      </c>
      <c r="R186" s="303">
        <f>IF(OR(A186="",A186="RESULT-TEMPLATE"),"",IF(AND(C186&lt;&gt;"",E186&lt;&gt;"",F186&lt;&gt;"",J186&lt;&gt;"",N186&lt;&gt;"",O186&lt;&gt;"",P186&lt;&gt;"",Q186="VALID"),"VALID","INVALID_OR_INCOMPLETE"))</f>
        <v/>
      </c>
    </row>
    <row r="187">
      <c r="Q187" s="303">
        <f>IF(OR(A187="",A187="RESULT-TEMPLATE"),"",IF(AND(ISNUMBER(G187),ISNUMBER(H187),ISNUMBER(I187),H187&lt;=G187,G187&lt;=I187),"VALID","INVALID_INTERVAL"))</f>
        <v/>
      </c>
      <c r="R187" s="303">
        <f>IF(OR(A187="",A187="RESULT-TEMPLATE"),"",IF(AND(C187&lt;&gt;"",E187&lt;&gt;"",F187&lt;&gt;"",J187&lt;&gt;"",N187&lt;&gt;"",O187&lt;&gt;"",P187&lt;&gt;"",Q187="VALID"),"VALID","INVALID_OR_INCOMPLETE"))</f>
        <v/>
      </c>
    </row>
    <row r="188">
      <c r="Q188" s="303">
        <f>IF(OR(A188="",A188="RESULT-TEMPLATE"),"",IF(AND(ISNUMBER(G188),ISNUMBER(H188),ISNUMBER(I188),H188&lt;=G188,G188&lt;=I188),"VALID","INVALID_INTERVAL"))</f>
        <v/>
      </c>
      <c r="R188" s="303">
        <f>IF(OR(A188="",A188="RESULT-TEMPLATE"),"",IF(AND(C188&lt;&gt;"",E188&lt;&gt;"",F188&lt;&gt;"",J188&lt;&gt;"",N188&lt;&gt;"",O188&lt;&gt;"",P188&lt;&gt;"",Q188="VALID"),"VALID","INVALID_OR_INCOMPLETE"))</f>
        <v/>
      </c>
    </row>
    <row r="189">
      <c r="Q189" s="303">
        <f>IF(OR(A189="",A189="RESULT-TEMPLATE"),"",IF(AND(ISNUMBER(G189),ISNUMBER(H189),ISNUMBER(I189),H189&lt;=G189,G189&lt;=I189),"VALID","INVALID_INTERVAL"))</f>
        <v/>
      </c>
      <c r="R189" s="303">
        <f>IF(OR(A189="",A189="RESULT-TEMPLATE"),"",IF(AND(C189&lt;&gt;"",E189&lt;&gt;"",F189&lt;&gt;"",J189&lt;&gt;"",N189&lt;&gt;"",O189&lt;&gt;"",P189&lt;&gt;"",Q189="VALID"),"VALID","INVALID_OR_INCOMPLETE"))</f>
        <v/>
      </c>
    </row>
    <row r="190">
      <c r="Q190" s="303">
        <f>IF(OR(A190="",A190="RESULT-TEMPLATE"),"",IF(AND(ISNUMBER(G190),ISNUMBER(H190),ISNUMBER(I190),H190&lt;=G190,G190&lt;=I190),"VALID","INVALID_INTERVAL"))</f>
        <v/>
      </c>
      <c r="R190" s="303">
        <f>IF(OR(A190="",A190="RESULT-TEMPLATE"),"",IF(AND(C190&lt;&gt;"",E190&lt;&gt;"",F190&lt;&gt;"",J190&lt;&gt;"",N190&lt;&gt;"",O190&lt;&gt;"",P190&lt;&gt;"",Q190="VALID"),"VALID","INVALID_OR_INCOMPLETE"))</f>
        <v/>
      </c>
    </row>
    <row r="191">
      <c r="Q191" s="303">
        <f>IF(OR(A191="",A191="RESULT-TEMPLATE"),"",IF(AND(ISNUMBER(G191),ISNUMBER(H191),ISNUMBER(I191),H191&lt;=G191,G191&lt;=I191),"VALID","INVALID_INTERVAL"))</f>
        <v/>
      </c>
      <c r="R191" s="303">
        <f>IF(OR(A191="",A191="RESULT-TEMPLATE"),"",IF(AND(C191&lt;&gt;"",E191&lt;&gt;"",F191&lt;&gt;"",J191&lt;&gt;"",N191&lt;&gt;"",O191&lt;&gt;"",P191&lt;&gt;"",Q191="VALID"),"VALID","INVALID_OR_INCOMPLETE"))</f>
        <v/>
      </c>
    </row>
    <row r="192">
      <c r="Q192" s="303">
        <f>IF(OR(A192="",A192="RESULT-TEMPLATE"),"",IF(AND(ISNUMBER(G192),ISNUMBER(H192),ISNUMBER(I192),H192&lt;=G192,G192&lt;=I192),"VALID","INVALID_INTERVAL"))</f>
        <v/>
      </c>
      <c r="R192" s="303">
        <f>IF(OR(A192="",A192="RESULT-TEMPLATE"),"",IF(AND(C192&lt;&gt;"",E192&lt;&gt;"",F192&lt;&gt;"",J192&lt;&gt;"",N192&lt;&gt;"",O192&lt;&gt;"",P192&lt;&gt;"",Q192="VALID"),"VALID","INVALID_OR_INCOMPLETE"))</f>
        <v/>
      </c>
    </row>
    <row r="193">
      <c r="Q193" s="303">
        <f>IF(OR(A193="",A193="RESULT-TEMPLATE"),"",IF(AND(ISNUMBER(G193),ISNUMBER(H193),ISNUMBER(I193),H193&lt;=G193,G193&lt;=I193),"VALID","INVALID_INTERVAL"))</f>
        <v/>
      </c>
      <c r="R193" s="303">
        <f>IF(OR(A193="",A193="RESULT-TEMPLATE"),"",IF(AND(C193&lt;&gt;"",E193&lt;&gt;"",F193&lt;&gt;"",J193&lt;&gt;"",N193&lt;&gt;"",O193&lt;&gt;"",P193&lt;&gt;"",Q193="VALID"),"VALID","INVALID_OR_INCOMPLETE"))</f>
        <v/>
      </c>
    </row>
    <row r="194">
      <c r="Q194" s="303">
        <f>IF(OR(A194="",A194="RESULT-TEMPLATE"),"",IF(AND(ISNUMBER(G194),ISNUMBER(H194),ISNUMBER(I194),H194&lt;=G194,G194&lt;=I194),"VALID","INVALID_INTERVAL"))</f>
        <v/>
      </c>
      <c r="R194" s="303">
        <f>IF(OR(A194="",A194="RESULT-TEMPLATE"),"",IF(AND(C194&lt;&gt;"",E194&lt;&gt;"",F194&lt;&gt;"",J194&lt;&gt;"",N194&lt;&gt;"",O194&lt;&gt;"",P194&lt;&gt;"",Q194="VALID"),"VALID","INVALID_OR_INCOMPLETE"))</f>
        <v/>
      </c>
    </row>
    <row r="195">
      <c r="Q195" s="303">
        <f>IF(OR(A195="",A195="RESULT-TEMPLATE"),"",IF(AND(ISNUMBER(G195),ISNUMBER(H195),ISNUMBER(I195),H195&lt;=G195,G195&lt;=I195),"VALID","INVALID_INTERVAL"))</f>
        <v/>
      </c>
      <c r="R195" s="303">
        <f>IF(OR(A195="",A195="RESULT-TEMPLATE"),"",IF(AND(C195&lt;&gt;"",E195&lt;&gt;"",F195&lt;&gt;"",J195&lt;&gt;"",N195&lt;&gt;"",O195&lt;&gt;"",P195&lt;&gt;"",Q195="VALID"),"VALID","INVALID_OR_INCOMPLETE"))</f>
        <v/>
      </c>
    </row>
    <row r="196">
      <c r="Q196" s="303">
        <f>IF(OR(A196="",A196="RESULT-TEMPLATE"),"",IF(AND(ISNUMBER(G196),ISNUMBER(H196),ISNUMBER(I196),H196&lt;=G196,G196&lt;=I196),"VALID","INVALID_INTERVAL"))</f>
        <v/>
      </c>
      <c r="R196" s="303">
        <f>IF(OR(A196="",A196="RESULT-TEMPLATE"),"",IF(AND(C196&lt;&gt;"",E196&lt;&gt;"",F196&lt;&gt;"",J196&lt;&gt;"",N196&lt;&gt;"",O196&lt;&gt;"",P196&lt;&gt;"",Q196="VALID"),"VALID","INVALID_OR_INCOMPLETE"))</f>
        <v/>
      </c>
    </row>
    <row r="197">
      <c r="Q197" s="303">
        <f>IF(OR(A197="",A197="RESULT-TEMPLATE"),"",IF(AND(ISNUMBER(G197),ISNUMBER(H197),ISNUMBER(I197),H197&lt;=G197,G197&lt;=I197),"VALID","INVALID_INTERVAL"))</f>
        <v/>
      </c>
      <c r="R197" s="303">
        <f>IF(OR(A197="",A197="RESULT-TEMPLATE"),"",IF(AND(C197&lt;&gt;"",E197&lt;&gt;"",F197&lt;&gt;"",J197&lt;&gt;"",N197&lt;&gt;"",O197&lt;&gt;"",P197&lt;&gt;"",Q197="VALID"),"VALID","INVALID_OR_INCOMPLETE"))</f>
        <v/>
      </c>
    </row>
    <row r="198">
      <c r="Q198" s="303">
        <f>IF(OR(A198="",A198="RESULT-TEMPLATE"),"",IF(AND(ISNUMBER(G198),ISNUMBER(H198),ISNUMBER(I198),H198&lt;=G198,G198&lt;=I198),"VALID","INVALID_INTERVAL"))</f>
        <v/>
      </c>
      <c r="R198" s="303">
        <f>IF(OR(A198="",A198="RESULT-TEMPLATE"),"",IF(AND(C198&lt;&gt;"",E198&lt;&gt;"",F198&lt;&gt;"",J198&lt;&gt;"",N198&lt;&gt;"",O198&lt;&gt;"",P198&lt;&gt;"",Q198="VALID"),"VALID","INVALID_OR_INCOMPLETE"))</f>
        <v/>
      </c>
    </row>
    <row r="199">
      <c r="Q199" s="303">
        <f>IF(OR(A199="",A199="RESULT-TEMPLATE"),"",IF(AND(ISNUMBER(G199),ISNUMBER(H199),ISNUMBER(I199),H199&lt;=G199,G199&lt;=I199),"VALID","INVALID_INTERVAL"))</f>
        <v/>
      </c>
      <c r="R199" s="303">
        <f>IF(OR(A199="",A199="RESULT-TEMPLATE"),"",IF(AND(C199&lt;&gt;"",E199&lt;&gt;"",F199&lt;&gt;"",J199&lt;&gt;"",N199&lt;&gt;"",O199&lt;&gt;"",P199&lt;&gt;"",Q199="VALID"),"VALID","INVALID_OR_INCOMPLETE"))</f>
        <v/>
      </c>
    </row>
    <row r="200">
      <c r="Q200" s="303">
        <f>IF(OR(A200="",A200="RESULT-TEMPLATE"),"",IF(AND(ISNUMBER(G200),ISNUMBER(H200),ISNUMBER(I200),H200&lt;=G200,G200&lt;=I200),"VALID","INVALID_INTERVAL"))</f>
        <v/>
      </c>
      <c r="R200" s="303">
        <f>IF(OR(A200="",A200="RESULT-TEMPLATE"),"",IF(AND(C200&lt;&gt;"",E200&lt;&gt;"",F200&lt;&gt;"",J200&lt;&gt;"",N200&lt;&gt;"",O200&lt;&gt;"",P200&lt;&gt;"",Q200="VALID"),"VALID","INVALID_OR_INCOMPLETE"))</f>
        <v/>
      </c>
    </row>
    <row r="201">
      <c r="Q201" s="303">
        <f>IF(OR(A201="",A201="RESULT-TEMPLATE"),"",IF(AND(ISNUMBER(G201),ISNUMBER(H201),ISNUMBER(I201),H201&lt;=G201,G201&lt;=I201),"VALID","INVALID_INTERVAL"))</f>
        <v/>
      </c>
      <c r="R201" s="303">
        <f>IF(OR(A201="",A201="RESULT-TEMPLATE"),"",IF(AND(C201&lt;&gt;"",E201&lt;&gt;"",F201&lt;&gt;"",J201&lt;&gt;"",N201&lt;&gt;"",O201&lt;&gt;"",P201&lt;&gt;"",Q201="VALID"),"VALID","INVALID_OR_INCOMPLETE"))</f>
        <v/>
      </c>
    </row>
    <row r="202">
      <c r="Q202" s="303">
        <f>IF(OR(A202="",A202="RESULT-TEMPLATE"),"",IF(AND(ISNUMBER(G202),ISNUMBER(H202),ISNUMBER(I202),H202&lt;=G202,G202&lt;=I202),"VALID","INVALID_INTERVAL"))</f>
        <v/>
      </c>
      <c r="R202" s="303">
        <f>IF(OR(A202="",A202="RESULT-TEMPLATE"),"",IF(AND(C202&lt;&gt;"",E202&lt;&gt;"",F202&lt;&gt;"",J202&lt;&gt;"",N202&lt;&gt;"",O202&lt;&gt;"",P202&lt;&gt;"",Q202="VALID"),"VALID","INVALID_OR_INCOMPLETE"))</f>
        <v/>
      </c>
    </row>
    <row r="203">
      <c r="Q203" s="303">
        <f>IF(OR(A203="",A203="RESULT-TEMPLATE"),"",IF(AND(ISNUMBER(G203),ISNUMBER(H203),ISNUMBER(I203),H203&lt;=G203,G203&lt;=I203),"VALID","INVALID_INTERVAL"))</f>
        <v/>
      </c>
      <c r="R203" s="303">
        <f>IF(OR(A203="",A203="RESULT-TEMPLATE"),"",IF(AND(C203&lt;&gt;"",E203&lt;&gt;"",F203&lt;&gt;"",J203&lt;&gt;"",N203&lt;&gt;"",O203&lt;&gt;"",P203&lt;&gt;"",Q203="VALID"),"VALID","INVALID_OR_INCOMPLETE"))</f>
        <v/>
      </c>
    </row>
    <row r="204">
      <c r="Q204" s="303">
        <f>IF(OR(A204="",A204="RESULT-TEMPLATE"),"",IF(AND(ISNUMBER(G204),ISNUMBER(H204),ISNUMBER(I204),H204&lt;=G204,G204&lt;=I204),"VALID","INVALID_INTERVAL"))</f>
        <v/>
      </c>
      <c r="R204" s="303">
        <f>IF(OR(A204="",A204="RESULT-TEMPLATE"),"",IF(AND(C204&lt;&gt;"",E204&lt;&gt;"",F204&lt;&gt;"",J204&lt;&gt;"",N204&lt;&gt;"",O204&lt;&gt;"",P204&lt;&gt;"",Q204="VALID"),"VALID","INVALID_OR_INCOMPLETE"))</f>
        <v/>
      </c>
    </row>
    <row r="205">
      <c r="Q205" s="303">
        <f>IF(OR(A205="",A205="RESULT-TEMPLATE"),"",IF(AND(ISNUMBER(G205),ISNUMBER(H205),ISNUMBER(I205),H205&lt;=G205,G205&lt;=I205),"VALID","INVALID_INTERVAL"))</f>
        <v/>
      </c>
      <c r="R205" s="303">
        <f>IF(OR(A205="",A205="RESULT-TEMPLATE"),"",IF(AND(C205&lt;&gt;"",E205&lt;&gt;"",F205&lt;&gt;"",J205&lt;&gt;"",N205&lt;&gt;"",O205&lt;&gt;"",P205&lt;&gt;"",Q205="VALID"),"VALID","INVALID_OR_INCOMPLETE"))</f>
        <v/>
      </c>
    </row>
    <row r="206">
      <c r="Q206" s="303">
        <f>IF(OR(A206="",A206="RESULT-TEMPLATE"),"",IF(AND(ISNUMBER(G206),ISNUMBER(H206),ISNUMBER(I206),H206&lt;=G206,G206&lt;=I206),"VALID","INVALID_INTERVAL"))</f>
        <v/>
      </c>
      <c r="R206" s="303">
        <f>IF(OR(A206="",A206="RESULT-TEMPLATE"),"",IF(AND(C206&lt;&gt;"",E206&lt;&gt;"",F206&lt;&gt;"",J206&lt;&gt;"",N206&lt;&gt;"",O206&lt;&gt;"",P206&lt;&gt;"",Q206="VALID"),"VALID","INVALID_OR_INCOMPLETE"))</f>
        <v/>
      </c>
    </row>
    <row r="207">
      <c r="Q207" s="303">
        <f>IF(OR(A207="",A207="RESULT-TEMPLATE"),"",IF(AND(ISNUMBER(G207),ISNUMBER(H207),ISNUMBER(I207),H207&lt;=G207,G207&lt;=I207),"VALID","INVALID_INTERVAL"))</f>
        <v/>
      </c>
      <c r="R207" s="303">
        <f>IF(OR(A207="",A207="RESULT-TEMPLATE"),"",IF(AND(C207&lt;&gt;"",E207&lt;&gt;"",F207&lt;&gt;"",J207&lt;&gt;"",N207&lt;&gt;"",O207&lt;&gt;"",P207&lt;&gt;"",Q207="VALID"),"VALID","INVALID_OR_INCOMPLETE"))</f>
        <v/>
      </c>
    </row>
    <row r="208">
      <c r="Q208" s="303">
        <f>IF(OR(A208="",A208="RESULT-TEMPLATE"),"",IF(AND(ISNUMBER(G208),ISNUMBER(H208),ISNUMBER(I208),H208&lt;=G208,G208&lt;=I208),"VALID","INVALID_INTERVAL"))</f>
        <v/>
      </c>
      <c r="R208" s="303">
        <f>IF(OR(A208="",A208="RESULT-TEMPLATE"),"",IF(AND(C208&lt;&gt;"",E208&lt;&gt;"",F208&lt;&gt;"",J208&lt;&gt;"",N208&lt;&gt;"",O208&lt;&gt;"",P208&lt;&gt;"",Q208="VALID"),"VALID","INVALID_OR_INCOMPLETE"))</f>
        <v/>
      </c>
    </row>
    <row r="209">
      <c r="Q209" s="303">
        <f>IF(OR(A209="",A209="RESULT-TEMPLATE"),"",IF(AND(ISNUMBER(G209),ISNUMBER(H209),ISNUMBER(I209),H209&lt;=G209,G209&lt;=I209),"VALID","INVALID_INTERVAL"))</f>
        <v/>
      </c>
      <c r="R209" s="303">
        <f>IF(OR(A209="",A209="RESULT-TEMPLATE"),"",IF(AND(C209&lt;&gt;"",E209&lt;&gt;"",F209&lt;&gt;"",J209&lt;&gt;"",N209&lt;&gt;"",O209&lt;&gt;"",P209&lt;&gt;"",Q209="VALID"),"VALID","INVALID_OR_INCOMPLETE"))</f>
        <v/>
      </c>
    </row>
    <row r="210">
      <c r="Q210" s="303">
        <f>IF(OR(A210="",A210="RESULT-TEMPLATE"),"",IF(AND(ISNUMBER(G210),ISNUMBER(H210),ISNUMBER(I210),H210&lt;=G210,G210&lt;=I210),"VALID","INVALID_INTERVAL"))</f>
        <v/>
      </c>
      <c r="R210" s="303">
        <f>IF(OR(A210="",A210="RESULT-TEMPLATE"),"",IF(AND(C210&lt;&gt;"",E210&lt;&gt;"",F210&lt;&gt;"",J210&lt;&gt;"",N210&lt;&gt;"",O210&lt;&gt;"",P210&lt;&gt;"",Q210="VALID"),"VALID","INVALID_OR_INCOMPLETE"))</f>
        <v/>
      </c>
    </row>
    <row r="211">
      <c r="Q211" s="303">
        <f>IF(OR(A211="",A211="RESULT-TEMPLATE"),"",IF(AND(ISNUMBER(G211),ISNUMBER(H211),ISNUMBER(I211),H211&lt;=G211,G211&lt;=I211),"VALID","INVALID_INTERVAL"))</f>
        <v/>
      </c>
      <c r="R211" s="303">
        <f>IF(OR(A211="",A211="RESULT-TEMPLATE"),"",IF(AND(C211&lt;&gt;"",E211&lt;&gt;"",F211&lt;&gt;"",J211&lt;&gt;"",N211&lt;&gt;"",O211&lt;&gt;"",P211&lt;&gt;"",Q211="VALID"),"VALID","INVALID_OR_INCOMPLETE"))</f>
        <v/>
      </c>
    </row>
    <row r="212">
      <c r="Q212" s="303">
        <f>IF(OR(A212="",A212="RESULT-TEMPLATE"),"",IF(AND(ISNUMBER(G212),ISNUMBER(H212),ISNUMBER(I212),H212&lt;=G212,G212&lt;=I212),"VALID","INVALID_INTERVAL"))</f>
        <v/>
      </c>
      <c r="R212" s="303">
        <f>IF(OR(A212="",A212="RESULT-TEMPLATE"),"",IF(AND(C212&lt;&gt;"",E212&lt;&gt;"",F212&lt;&gt;"",J212&lt;&gt;"",N212&lt;&gt;"",O212&lt;&gt;"",P212&lt;&gt;"",Q212="VALID"),"VALID","INVALID_OR_INCOMPLETE"))</f>
        <v/>
      </c>
    </row>
    <row r="213">
      <c r="Q213" s="303">
        <f>IF(OR(A213="",A213="RESULT-TEMPLATE"),"",IF(AND(ISNUMBER(G213),ISNUMBER(H213),ISNUMBER(I213),H213&lt;=G213,G213&lt;=I213),"VALID","INVALID_INTERVAL"))</f>
        <v/>
      </c>
      <c r="R213" s="303">
        <f>IF(OR(A213="",A213="RESULT-TEMPLATE"),"",IF(AND(C213&lt;&gt;"",E213&lt;&gt;"",F213&lt;&gt;"",J213&lt;&gt;"",N213&lt;&gt;"",O213&lt;&gt;"",P213&lt;&gt;"",Q213="VALID"),"VALID","INVALID_OR_INCOMPLETE"))</f>
        <v/>
      </c>
    </row>
    <row r="214">
      <c r="Q214" s="303">
        <f>IF(OR(A214="",A214="RESULT-TEMPLATE"),"",IF(AND(ISNUMBER(G214),ISNUMBER(H214),ISNUMBER(I214),H214&lt;=G214,G214&lt;=I214),"VALID","INVALID_INTERVAL"))</f>
        <v/>
      </c>
      <c r="R214" s="303">
        <f>IF(OR(A214="",A214="RESULT-TEMPLATE"),"",IF(AND(C214&lt;&gt;"",E214&lt;&gt;"",F214&lt;&gt;"",J214&lt;&gt;"",N214&lt;&gt;"",O214&lt;&gt;"",P214&lt;&gt;"",Q214="VALID"),"VALID","INVALID_OR_INCOMPLETE"))</f>
        <v/>
      </c>
    </row>
    <row r="215">
      <c r="Q215" s="303">
        <f>IF(OR(A215="",A215="RESULT-TEMPLATE"),"",IF(AND(ISNUMBER(G215),ISNUMBER(H215),ISNUMBER(I215),H215&lt;=G215,G215&lt;=I215),"VALID","INVALID_INTERVAL"))</f>
        <v/>
      </c>
      <c r="R215" s="303">
        <f>IF(OR(A215="",A215="RESULT-TEMPLATE"),"",IF(AND(C215&lt;&gt;"",E215&lt;&gt;"",F215&lt;&gt;"",J215&lt;&gt;"",N215&lt;&gt;"",O215&lt;&gt;"",P215&lt;&gt;"",Q215="VALID"),"VALID","INVALID_OR_INCOMPLETE"))</f>
        <v/>
      </c>
    </row>
    <row r="216">
      <c r="Q216" s="303">
        <f>IF(OR(A216="",A216="RESULT-TEMPLATE"),"",IF(AND(ISNUMBER(G216),ISNUMBER(H216),ISNUMBER(I216),H216&lt;=G216,G216&lt;=I216),"VALID","INVALID_INTERVAL"))</f>
        <v/>
      </c>
      <c r="R216" s="303">
        <f>IF(OR(A216="",A216="RESULT-TEMPLATE"),"",IF(AND(C216&lt;&gt;"",E216&lt;&gt;"",F216&lt;&gt;"",J216&lt;&gt;"",N216&lt;&gt;"",O216&lt;&gt;"",P216&lt;&gt;"",Q216="VALID"),"VALID","INVALID_OR_INCOMPLETE"))</f>
        <v/>
      </c>
    </row>
    <row r="217">
      <c r="Q217" s="303">
        <f>IF(OR(A217="",A217="RESULT-TEMPLATE"),"",IF(AND(ISNUMBER(G217),ISNUMBER(H217),ISNUMBER(I217),H217&lt;=G217,G217&lt;=I217),"VALID","INVALID_INTERVAL"))</f>
        <v/>
      </c>
      <c r="R217" s="303">
        <f>IF(OR(A217="",A217="RESULT-TEMPLATE"),"",IF(AND(C217&lt;&gt;"",E217&lt;&gt;"",F217&lt;&gt;"",J217&lt;&gt;"",N217&lt;&gt;"",O217&lt;&gt;"",P217&lt;&gt;"",Q217="VALID"),"VALID","INVALID_OR_INCOMPLETE"))</f>
        <v/>
      </c>
    </row>
    <row r="218">
      <c r="Q218" s="303">
        <f>IF(OR(A218="",A218="RESULT-TEMPLATE"),"",IF(AND(ISNUMBER(G218),ISNUMBER(H218),ISNUMBER(I218),H218&lt;=G218,G218&lt;=I218),"VALID","INVALID_INTERVAL"))</f>
        <v/>
      </c>
      <c r="R218" s="303">
        <f>IF(OR(A218="",A218="RESULT-TEMPLATE"),"",IF(AND(C218&lt;&gt;"",E218&lt;&gt;"",F218&lt;&gt;"",J218&lt;&gt;"",N218&lt;&gt;"",O218&lt;&gt;"",P218&lt;&gt;"",Q218="VALID"),"VALID","INVALID_OR_INCOMPLETE"))</f>
        <v/>
      </c>
    </row>
    <row r="219">
      <c r="Q219" s="303">
        <f>IF(OR(A219="",A219="RESULT-TEMPLATE"),"",IF(AND(ISNUMBER(G219),ISNUMBER(H219),ISNUMBER(I219),H219&lt;=G219,G219&lt;=I219),"VALID","INVALID_INTERVAL"))</f>
        <v/>
      </c>
      <c r="R219" s="303">
        <f>IF(OR(A219="",A219="RESULT-TEMPLATE"),"",IF(AND(C219&lt;&gt;"",E219&lt;&gt;"",F219&lt;&gt;"",J219&lt;&gt;"",N219&lt;&gt;"",O219&lt;&gt;"",P219&lt;&gt;"",Q219="VALID"),"VALID","INVALID_OR_INCOMPLETE"))</f>
        <v/>
      </c>
    </row>
    <row r="220">
      <c r="Q220" s="303">
        <f>IF(OR(A220="",A220="RESULT-TEMPLATE"),"",IF(AND(ISNUMBER(G220),ISNUMBER(H220),ISNUMBER(I220),H220&lt;=G220,G220&lt;=I220),"VALID","INVALID_INTERVAL"))</f>
        <v/>
      </c>
      <c r="R220" s="303">
        <f>IF(OR(A220="",A220="RESULT-TEMPLATE"),"",IF(AND(C220&lt;&gt;"",E220&lt;&gt;"",F220&lt;&gt;"",J220&lt;&gt;"",N220&lt;&gt;"",O220&lt;&gt;"",P220&lt;&gt;"",Q220="VALID"),"VALID","INVALID_OR_INCOMPLETE"))</f>
        <v/>
      </c>
    </row>
    <row r="221">
      <c r="Q221" s="303">
        <f>IF(OR(A221="",A221="RESULT-TEMPLATE"),"",IF(AND(ISNUMBER(G221),ISNUMBER(H221),ISNUMBER(I221),H221&lt;=G221,G221&lt;=I221),"VALID","INVALID_INTERVAL"))</f>
        <v/>
      </c>
      <c r="R221" s="303">
        <f>IF(OR(A221="",A221="RESULT-TEMPLATE"),"",IF(AND(C221&lt;&gt;"",E221&lt;&gt;"",F221&lt;&gt;"",J221&lt;&gt;"",N221&lt;&gt;"",O221&lt;&gt;"",P221&lt;&gt;"",Q221="VALID"),"VALID","INVALID_OR_INCOMPLETE"))</f>
        <v/>
      </c>
    </row>
    <row r="222">
      <c r="Q222" s="303">
        <f>IF(OR(A222="",A222="RESULT-TEMPLATE"),"",IF(AND(ISNUMBER(G222),ISNUMBER(H222),ISNUMBER(I222),H222&lt;=G222,G222&lt;=I222),"VALID","INVALID_INTERVAL"))</f>
        <v/>
      </c>
      <c r="R222" s="303">
        <f>IF(OR(A222="",A222="RESULT-TEMPLATE"),"",IF(AND(C222&lt;&gt;"",E222&lt;&gt;"",F222&lt;&gt;"",J222&lt;&gt;"",N222&lt;&gt;"",O222&lt;&gt;"",P222&lt;&gt;"",Q222="VALID"),"VALID","INVALID_OR_INCOMPLETE"))</f>
        <v/>
      </c>
    </row>
    <row r="223">
      <c r="Q223" s="303">
        <f>IF(OR(A223="",A223="RESULT-TEMPLATE"),"",IF(AND(ISNUMBER(G223),ISNUMBER(H223),ISNUMBER(I223),H223&lt;=G223,G223&lt;=I223),"VALID","INVALID_INTERVAL"))</f>
        <v/>
      </c>
      <c r="R223" s="303">
        <f>IF(OR(A223="",A223="RESULT-TEMPLATE"),"",IF(AND(C223&lt;&gt;"",E223&lt;&gt;"",F223&lt;&gt;"",J223&lt;&gt;"",N223&lt;&gt;"",O223&lt;&gt;"",P223&lt;&gt;"",Q223="VALID"),"VALID","INVALID_OR_INCOMPLETE"))</f>
        <v/>
      </c>
    </row>
    <row r="224">
      <c r="Q224" s="303">
        <f>IF(OR(A224="",A224="RESULT-TEMPLATE"),"",IF(AND(ISNUMBER(G224),ISNUMBER(H224),ISNUMBER(I224),H224&lt;=G224,G224&lt;=I224),"VALID","INVALID_INTERVAL"))</f>
        <v/>
      </c>
      <c r="R224" s="303">
        <f>IF(OR(A224="",A224="RESULT-TEMPLATE"),"",IF(AND(C224&lt;&gt;"",E224&lt;&gt;"",F224&lt;&gt;"",J224&lt;&gt;"",N224&lt;&gt;"",O224&lt;&gt;"",P224&lt;&gt;"",Q224="VALID"),"VALID","INVALID_OR_INCOMPLETE"))</f>
        <v/>
      </c>
    </row>
    <row r="225">
      <c r="Q225" s="303">
        <f>IF(OR(A225="",A225="RESULT-TEMPLATE"),"",IF(AND(ISNUMBER(G225),ISNUMBER(H225),ISNUMBER(I225),H225&lt;=G225,G225&lt;=I225),"VALID","INVALID_INTERVAL"))</f>
        <v/>
      </c>
      <c r="R225" s="303">
        <f>IF(OR(A225="",A225="RESULT-TEMPLATE"),"",IF(AND(C225&lt;&gt;"",E225&lt;&gt;"",F225&lt;&gt;"",J225&lt;&gt;"",N225&lt;&gt;"",O225&lt;&gt;"",P225&lt;&gt;"",Q225="VALID"),"VALID","INVALID_OR_INCOMPLETE"))</f>
        <v/>
      </c>
    </row>
    <row r="226">
      <c r="Q226" s="303">
        <f>IF(OR(A226="",A226="RESULT-TEMPLATE"),"",IF(AND(ISNUMBER(G226),ISNUMBER(H226),ISNUMBER(I226),H226&lt;=G226,G226&lt;=I226),"VALID","INVALID_INTERVAL"))</f>
        <v/>
      </c>
      <c r="R226" s="303">
        <f>IF(OR(A226="",A226="RESULT-TEMPLATE"),"",IF(AND(C226&lt;&gt;"",E226&lt;&gt;"",F226&lt;&gt;"",J226&lt;&gt;"",N226&lt;&gt;"",O226&lt;&gt;"",P226&lt;&gt;"",Q226="VALID"),"VALID","INVALID_OR_INCOMPLETE"))</f>
        <v/>
      </c>
    </row>
    <row r="227">
      <c r="Q227" s="303">
        <f>IF(OR(A227="",A227="RESULT-TEMPLATE"),"",IF(AND(ISNUMBER(G227),ISNUMBER(H227),ISNUMBER(I227),H227&lt;=G227,G227&lt;=I227),"VALID","INVALID_INTERVAL"))</f>
        <v/>
      </c>
      <c r="R227" s="303">
        <f>IF(OR(A227="",A227="RESULT-TEMPLATE"),"",IF(AND(C227&lt;&gt;"",E227&lt;&gt;"",F227&lt;&gt;"",J227&lt;&gt;"",N227&lt;&gt;"",O227&lt;&gt;"",P227&lt;&gt;"",Q227="VALID"),"VALID","INVALID_OR_INCOMPLETE"))</f>
        <v/>
      </c>
    </row>
    <row r="228">
      <c r="Q228" s="303">
        <f>IF(OR(A228="",A228="RESULT-TEMPLATE"),"",IF(AND(ISNUMBER(G228),ISNUMBER(H228),ISNUMBER(I228),H228&lt;=G228,G228&lt;=I228),"VALID","INVALID_INTERVAL"))</f>
        <v/>
      </c>
      <c r="R228" s="303">
        <f>IF(OR(A228="",A228="RESULT-TEMPLATE"),"",IF(AND(C228&lt;&gt;"",E228&lt;&gt;"",F228&lt;&gt;"",J228&lt;&gt;"",N228&lt;&gt;"",O228&lt;&gt;"",P228&lt;&gt;"",Q228="VALID"),"VALID","INVALID_OR_INCOMPLETE"))</f>
        <v/>
      </c>
    </row>
    <row r="229">
      <c r="Q229" s="303">
        <f>IF(OR(A229="",A229="RESULT-TEMPLATE"),"",IF(AND(ISNUMBER(G229),ISNUMBER(H229),ISNUMBER(I229),H229&lt;=G229,G229&lt;=I229),"VALID","INVALID_INTERVAL"))</f>
        <v/>
      </c>
      <c r="R229" s="303">
        <f>IF(OR(A229="",A229="RESULT-TEMPLATE"),"",IF(AND(C229&lt;&gt;"",E229&lt;&gt;"",F229&lt;&gt;"",J229&lt;&gt;"",N229&lt;&gt;"",O229&lt;&gt;"",P229&lt;&gt;"",Q229="VALID"),"VALID","INVALID_OR_INCOMPLETE"))</f>
        <v/>
      </c>
    </row>
    <row r="230">
      <c r="Q230" s="303">
        <f>IF(OR(A230="",A230="RESULT-TEMPLATE"),"",IF(AND(ISNUMBER(G230),ISNUMBER(H230),ISNUMBER(I230),H230&lt;=G230,G230&lt;=I230),"VALID","INVALID_INTERVAL"))</f>
        <v/>
      </c>
      <c r="R230" s="303">
        <f>IF(OR(A230="",A230="RESULT-TEMPLATE"),"",IF(AND(C230&lt;&gt;"",E230&lt;&gt;"",F230&lt;&gt;"",J230&lt;&gt;"",N230&lt;&gt;"",O230&lt;&gt;"",P230&lt;&gt;"",Q230="VALID"),"VALID","INVALID_OR_INCOMPLETE"))</f>
        <v/>
      </c>
    </row>
    <row r="231">
      <c r="Q231" s="303">
        <f>IF(OR(A231="",A231="RESULT-TEMPLATE"),"",IF(AND(ISNUMBER(G231),ISNUMBER(H231),ISNUMBER(I231),H231&lt;=G231,G231&lt;=I231),"VALID","INVALID_INTERVAL"))</f>
        <v/>
      </c>
      <c r="R231" s="303">
        <f>IF(OR(A231="",A231="RESULT-TEMPLATE"),"",IF(AND(C231&lt;&gt;"",E231&lt;&gt;"",F231&lt;&gt;"",J231&lt;&gt;"",N231&lt;&gt;"",O231&lt;&gt;"",P231&lt;&gt;"",Q231="VALID"),"VALID","INVALID_OR_INCOMPLETE"))</f>
        <v/>
      </c>
    </row>
    <row r="232">
      <c r="Q232" s="303">
        <f>IF(OR(A232="",A232="RESULT-TEMPLATE"),"",IF(AND(ISNUMBER(G232),ISNUMBER(H232),ISNUMBER(I232),H232&lt;=G232,G232&lt;=I232),"VALID","INVALID_INTERVAL"))</f>
        <v/>
      </c>
      <c r="R232" s="303">
        <f>IF(OR(A232="",A232="RESULT-TEMPLATE"),"",IF(AND(C232&lt;&gt;"",E232&lt;&gt;"",F232&lt;&gt;"",J232&lt;&gt;"",N232&lt;&gt;"",O232&lt;&gt;"",P232&lt;&gt;"",Q232="VALID"),"VALID","INVALID_OR_INCOMPLETE"))</f>
        <v/>
      </c>
    </row>
    <row r="233">
      <c r="Q233" s="303">
        <f>IF(OR(A233="",A233="RESULT-TEMPLATE"),"",IF(AND(ISNUMBER(G233),ISNUMBER(H233),ISNUMBER(I233),H233&lt;=G233,G233&lt;=I233),"VALID","INVALID_INTERVAL"))</f>
        <v/>
      </c>
      <c r="R233" s="303">
        <f>IF(OR(A233="",A233="RESULT-TEMPLATE"),"",IF(AND(C233&lt;&gt;"",E233&lt;&gt;"",F233&lt;&gt;"",J233&lt;&gt;"",N233&lt;&gt;"",O233&lt;&gt;"",P233&lt;&gt;"",Q233="VALID"),"VALID","INVALID_OR_INCOMPLETE"))</f>
        <v/>
      </c>
    </row>
    <row r="234">
      <c r="Q234" s="303">
        <f>IF(OR(A234="",A234="RESULT-TEMPLATE"),"",IF(AND(ISNUMBER(G234),ISNUMBER(H234),ISNUMBER(I234),H234&lt;=G234,G234&lt;=I234),"VALID","INVALID_INTERVAL"))</f>
        <v/>
      </c>
      <c r="R234" s="303">
        <f>IF(OR(A234="",A234="RESULT-TEMPLATE"),"",IF(AND(C234&lt;&gt;"",E234&lt;&gt;"",F234&lt;&gt;"",J234&lt;&gt;"",N234&lt;&gt;"",O234&lt;&gt;"",P234&lt;&gt;"",Q234="VALID"),"VALID","INVALID_OR_INCOMPLETE"))</f>
        <v/>
      </c>
    </row>
    <row r="235">
      <c r="Q235" s="303">
        <f>IF(OR(A235="",A235="RESULT-TEMPLATE"),"",IF(AND(ISNUMBER(G235),ISNUMBER(H235),ISNUMBER(I235),H235&lt;=G235,G235&lt;=I235),"VALID","INVALID_INTERVAL"))</f>
        <v/>
      </c>
      <c r="R235" s="303">
        <f>IF(OR(A235="",A235="RESULT-TEMPLATE"),"",IF(AND(C235&lt;&gt;"",E235&lt;&gt;"",F235&lt;&gt;"",J235&lt;&gt;"",N235&lt;&gt;"",O235&lt;&gt;"",P235&lt;&gt;"",Q235="VALID"),"VALID","INVALID_OR_INCOMPLETE"))</f>
        <v/>
      </c>
    </row>
    <row r="236">
      <c r="Q236" s="303">
        <f>IF(OR(A236="",A236="RESULT-TEMPLATE"),"",IF(AND(ISNUMBER(G236),ISNUMBER(H236),ISNUMBER(I236),H236&lt;=G236,G236&lt;=I236),"VALID","INVALID_INTERVAL"))</f>
        <v/>
      </c>
      <c r="R236" s="303">
        <f>IF(OR(A236="",A236="RESULT-TEMPLATE"),"",IF(AND(C236&lt;&gt;"",E236&lt;&gt;"",F236&lt;&gt;"",J236&lt;&gt;"",N236&lt;&gt;"",O236&lt;&gt;"",P236&lt;&gt;"",Q236="VALID"),"VALID","INVALID_OR_INCOMPLETE"))</f>
        <v/>
      </c>
    </row>
    <row r="237">
      <c r="Q237" s="303">
        <f>IF(OR(A237="",A237="RESULT-TEMPLATE"),"",IF(AND(ISNUMBER(G237),ISNUMBER(H237),ISNUMBER(I237),H237&lt;=G237,G237&lt;=I237),"VALID","INVALID_INTERVAL"))</f>
        <v/>
      </c>
      <c r="R237" s="303">
        <f>IF(OR(A237="",A237="RESULT-TEMPLATE"),"",IF(AND(C237&lt;&gt;"",E237&lt;&gt;"",F237&lt;&gt;"",J237&lt;&gt;"",N237&lt;&gt;"",O237&lt;&gt;"",P237&lt;&gt;"",Q237="VALID"),"VALID","INVALID_OR_INCOMPLETE"))</f>
        <v/>
      </c>
    </row>
    <row r="238">
      <c r="Q238" s="303">
        <f>IF(OR(A238="",A238="RESULT-TEMPLATE"),"",IF(AND(ISNUMBER(G238),ISNUMBER(H238),ISNUMBER(I238),H238&lt;=G238,G238&lt;=I238),"VALID","INVALID_INTERVAL"))</f>
        <v/>
      </c>
      <c r="R238" s="303">
        <f>IF(OR(A238="",A238="RESULT-TEMPLATE"),"",IF(AND(C238&lt;&gt;"",E238&lt;&gt;"",F238&lt;&gt;"",J238&lt;&gt;"",N238&lt;&gt;"",O238&lt;&gt;"",P238&lt;&gt;"",Q238="VALID"),"VALID","INVALID_OR_INCOMPLETE"))</f>
        <v/>
      </c>
    </row>
    <row r="239">
      <c r="Q239" s="303">
        <f>IF(OR(A239="",A239="RESULT-TEMPLATE"),"",IF(AND(ISNUMBER(G239),ISNUMBER(H239),ISNUMBER(I239),H239&lt;=G239,G239&lt;=I239),"VALID","INVALID_INTERVAL"))</f>
        <v/>
      </c>
      <c r="R239" s="303">
        <f>IF(OR(A239="",A239="RESULT-TEMPLATE"),"",IF(AND(C239&lt;&gt;"",E239&lt;&gt;"",F239&lt;&gt;"",J239&lt;&gt;"",N239&lt;&gt;"",O239&lt;&gt;"",P239&lt;&gt;"",Q239="VALID"),"VALID","INVALID_OR_INCOMPLETE"))</f>
        <v/>
      </c>
    </row>
    <row r="240">
      <c r="Q240" s="303">
        <f>IF(OR(A240="",A240="RESULT-TEMPLATE"),"",IF(AND(ISNUMBER(G240),ISNUMBER(H240),ISNUMBER(I240),H240&lt;=G240,G240&lt;=I240),"VALID","INVALID_INTERVAL"))</f>
        <v/>
      </c>
      <c r="R240" s="303">
        <f>IF(OR(A240="",A240="RESULT-TEMPLATE"),"",IF(AND(C240&lt;&gt;"",E240&lt;&gt;"",F240&lt;&gt;"",J240&lt;&gt;"",N240&lt;&gt;"",O240&lt;&gt;"",P240&lt;&gt;"",Q240="VALID"),"VALID","INVALID_OR_INCOMPLETE"))</f>
        <v/>
      </c>
    </row>
    <row r="241">
      <c r="Q241" s="303">
        <f>IF(OR(A241="",A241="RESULT-TEMPLATE"),"",IF(AND(ISNUMBER(G241),ISNUMBER(H241),ISNUMBER(I241),H241&lt;=G241,G241&lt;=I241),"VALID","INVALID_INTERVAL"))</f>
        <v/>
      </c>
      <c r="R241" s="303">
        <f>IF(OR(A241="",A241="RESULT-TEMPLATE"),"",IF(AND(C241&lt;&gt;"",E241&lt;&gt;"",F241&lt;&gt;"",J241&lt;&gt;"",N241&lt;&gt;"",O241&lt;&gt;"",P241&lt;&gt;"",Q241="VALID"),"VALID","INVALID_OR_INCOMPLETE"))</f>
        <v/>
      </c>
    </row>
    <row r="242">
      <c r="Q242" s="303">
        <f>IF(OR(A242="",A242="RESULT-TEMPLATE"),"",IF(AND(ISNUMBER(G242),ISNUMBER(H242),ISNUMBER(I242),H242&lt;=G242,G242&lt;=I242),"VALID","INVALID_INTERVAL"))</f>
        <v/>
      </c>
      <c r="R242" s="303">
        <f>IF(OR(A242="",A242="RESULT-TEMPLATE"),"",IF(AND(C242&lt;&gt;"",E242&lt;&gt;"",F242&lt;&gt;"",J242&lt;&gt;"",N242&lt;&gt;"",O242&lt;&gt;"",P242&lt;&gt;"",Q242="VALID"),"VALID","INVALID_OR_INCOMPLETE"))</f>
        <v/>
      </c>
    </row>
    <row r="243">
      <c r="Q243" s="303">
        <f>IF(OR(A243="",A243="RESULT-TEMPLATE"),"",IF(AND(ISNUMBER(G243),ISNUMBER(H243),ISNUMBER(I243),H243&lt;=G243,G243&lt;=I243),"VALID","INVALID_INTERVAL"))</f>
        <v/>
      </c>
      <c r="R243" s="303">
        <f>IF(OR(A243="",A243="RESULT-TEMPLATE"),"",IF(AND(C243&lt;&gt;"",E243&lt;&gt;"",F243&lt;&gt;"",J243&lt;&gt;"",N243&lt;&gt;"",O243&lt;&gt;"",P243&lt;&gt;"",Q243="VALID"),"VALID","INVALID_OR_INCOMPLETE"))</f>
        <v/>
      </c>
    </row>
    <row r="244">
      <c r="Q244" s="303">
        <f>IF(OR(A244="",A244="RESULT-TEMPLATE"),"",IF(AND(ISNUMBER(G244),ISNUMBER(H244),ISNUMBER(I244),H244&lt;=G244,G244&lt;=I244),"VALID","INVALID_INTERVAL"))</f>
        <v/>
      </c>
      <c r="R244" s="303">
        <f>IF(OR(A244="",A244="RESULT-TEMPLATE"),"",IF(AND(C244&lt;&gt;"",E244&lt;&gt;"",F244&lt;&gt;"",J244&lt;&gt;"",N244&lt;&gt;"",O244&lt;&gt;"",P244&lt;&gt;"",Q244="VALID"),"VALID","INVALID_OR_INCOMPLETE"))</f>
        <v/>
      </c>
    </row>
    <row r="245">
      <c r="Q245" s="303">
        <f>IF(OR(A245="",A245="RESULT-TEMPLATE"),"",IF(AND(ISNUMBER(G245),ISNUMBER(H245),ISNUMBER(I245),H245&lt;=G245,G245&lt;=I245),"VALID","INVALID_INTERVAL"))</f>
        <v/>
      </c>
      <c r="R245" s="303">
        <f>IF(OR(A245="",A245="RESULT-TEMPLATE"),"",IF(AND(C245&lt;&gt;"",E245&lt;&gt;"",F245&lt;&gt;"",J245&lt;&gt;"",N245&lt;&gt;"",O245&lt;&gt;"",P245&lt;&gt;"",Q245="VALID"),"VALID","INVALID_OR_INCOMPLETE"))</f>
        <v/>
      </c>
    </row>
    <row r="246">
      <c r="Q246" s="303">
        <f>IF(OR(A246="",A246="RESULT-TEMPLATE"),"",IF(AND(ISNUMBER(G246),ISNUMBER(H246),ISNUMBER(I246),H246&lt;=G246,G246&lt;=I246),"VALID","INVALID_INTERVAL"))</f>
        <v/>
      </c>
      <c r="R246" s="303">
        <f>IF(OR(A246="",A246="RESULT-TEMPLATE"),"",IF(AND(C246&lt;&gt;"",E246&lt;&gt;"",F246&lt;&gt;"",J246&lt;&gt;"",N246&lt;&gt;"",O246&lt;&gt;"",P246&lt;&gt;"",Q246="VALID"),"VALID","INVALID_OR_INCOMPLETE"))</f>
        <v/>
      </c>
    </row>
    <row r="247">
      <c r="Q247" s="303">
        <f>IF(OR(A247="",A247="RESULT-TEMPLATE"),"",IF(AND(ISNUMBER(G247),ISNUMBER(H247),ISNUMBER(I247),H247&lt;=G247,G247&lt;=I247),"VALID","INVALID_INTERVAL"))</f>
        <v/>
      </c>
      <c r="R247" s="303">
        <f>IF(OR(A247="",A247="RESULT-TEMPLATE"),"",IF(AND(C247&lt;&gt;"",E247&lt;&gt;"",F247&lt;&gt;"",J247&lt;&gt;"",N247&lt;&gt;"",O247&lt;&gt;"",P247&lt;&gt;"",Q247="VALID"),"VALID","INVALID_OR_INCOMPLETE"))</f>
        <v/>
      </c>
    </row>
    <row r="248">
      <c r="Q248" s="303">
        <f>IF(OR(A248="",A248="RESULT-TEMPLATE"),"",IF(AND(ISNUMBER(G248),ISNUMBER(H248),ISNUMBER(I248),H248&lt;=G248,G248&lt;=I248),"VALID","INVALID_INTERVAL"))</f>
        <v/>
      </c>
      <c r="R248" s="303">
        <f>IF(OR(A248="",A248="RESULT-TEMPLATE"),"",IF(AND(C248&lt;&gt;"",E248&lt;&gt;"",F248&lt;&gt;"",J248&lt;&gt;"",N248&lt;&gt;"",O248&lt;&gt;"",P248&lt;&gt;"",Q248="VALID"),"VALID","INVALID_OR_INCOMPLETE"))</f>
        <v/>
      </c>
    </row>
    <row r="249">
      <c r="Q249" s="303">
        <f>IF(OR(A249="",A249="RESULT-TEMPLATE"),"",IF(AND(ISNUMBER(G249),ISNUMBER(H249),ISNUMBER(I249),H249&lt;=G249,G249&lt;=I249),"VALID","INVALID_INTERVAL"))</f>
        <v/>
      </c>
      <c r="R249" s="303">
        <f>IF(OR(A249="",A249="RESULT-TEMPLATE"),"",IF(AND(C249&lt;&gt;"",E249&lt;&gt;"",F249&lt;&gt;"",J249&lt;&gt;"",N249&lt;&gt;"",O249&lt;&gt;"",P249&lt;&gt;"",Q249="VALID"),"VALID","INVALID_OR_INCOMPLETE"))</f>
        <v/>
      </c>
    </row>
    <row r="250">
      <c r="Q250" s="303">
        <f>IF(OR(A250="",A250="RESULT-TEMPLATE"),"",IF(AND(ISNUMBER(G250),ISNUMBER(H250),ISNUMBER(I250),H250&lt;=G250,G250&lt;=I250),"VALID","INVALID_INTERVAL"))</f>
        <v/>
      </c>
      <c r="R250" s="303">
        <f>IF(OR(A250="",A250="RESULT-TEMPLATE"),"",IF(AND(C250&lt;&gt;"",E250&lt;&gt;"",F250&lt;&gt;"",J250&lt;&gt;"",N250&lt;&gt;"",O250&lt;&gt;"",P250&lt;&gt;"",Q250="VALID"),"VALID","INVALID_OR_INCOMPLETE"))</f>
        <v/>
      </c>
    </row>
  </sheetData>
  <mergeCells count="2">
    <mergeCell ref="A2:R2"/>
    <mergeCell ref="A1:R1"/>
  </mergeCells>
  <conditionalFormatting sqref="Q5:R250">
    <cfRule type="expression" priority="1" dxfId="0">
      <formula>OR(Q5="INVALID_INTERVAL",R5="INVALID_OR_INCOMPLETE")</formula>
    </cfRule>
    <cfRule type="expression" priority="2" dxfId="1">
      <formula>AND(Q5="VALID",R5="VALID")</formula>
    </cfRule>
  </conditionalFormatting>
  <dataValidations count="17">
    <dataValidation sqref="G5:G100" showDropDown="0" showInputMessage="0" showErrorMessage="1" allowBlank="0" errorTitle="Value out of range" error="Enter a decimal from 0 to 1." type="decimal" errorStyle="stop" operator="between">
      <formula1>0</formula1>
      <formula2>1</formula2>
    </dataValidation>
    <dataValidation sqref="H5:H100" showDropDown="0" showInputMessage="0" showErrorMessage="1" allowBlank="0" errorTitle="Value out of range" error="Enter a decimal from 0 to 1." type="decimal" errorStyle="stop" operator="between">
      <formula1>0</formula1>
      <formula2>1</formula2>
    </dataValidation>
    <dataValidation sqref="I5:I100" showDropDown="0" showInputMessage="0" showErrorMessage="1" allowBlank="0" errorTitle="Value out of range" error="Enter a decimal from 0 to 1." type="decimal" errorStyle="stop" operator="between">
      <formula1>0</formula1>
      <formula2>1</formula2>
    </dataValidation>
    <dataValidation sqref="J5:J100" showDropDown="0" showInputMessage="0" showErrorMessage="1" allowBlank="0" errorTitle="Value out of range" error="Enter a decimal from 0 to 1." type="decimal" errorStyle="stop" operator="between">
      <formula1>0</formula1>
      <formula2>1</formula2>
    </dataValidation>
    <dataValidation sqref="K5:K100" showDropDown="0" showInputMessage="0" showErrorMessage="1" allowBlank="0" errorTitle="Whole number required" error="Enter a whole number greater than or equal to zero." type="whole" errorStyle="stop" operator="greaterThanOrEqual">
      <formula1>0</formula1>
    </dataValidation>
    <dataValidation sqref="L5:L100" showDropDown="0" showInputMessage="0" showErrorMessage="1" allowBlank="0" errorTitle="Whole number required" error="Enter a whole number greater than or equal to zero." type="whole" errorStyle="stop" operator="greaterThanOrEqual">
      <formula1>0</formula1>
    </dataValidation>
    <dataValidation sqref="M5:M100" showDropDown="0" showInputMessage="0" showErrorMessage="1" allowBlank="0" errorTitle="Whole number required" error="Enter a whole number greater than or equal to zero." type="whole" errorStyle="stop" operator="greaterThanOrEqual">
      <formula1>0</formula1>
    </dataValidation>
    <dataValidation sqref="C5:C250" showDropDown="0" showInputMessage="0" showErrorMessage="1" allowBlank="0" errorTitle="Invalid reliability decision layer" error="Select an exact controlled value from the Vocabulary sheet." type="list" errorStyle="stop">
      <formula1>INDIRECT("Vocabulary!$AH$5:$AH$8")</formula1>
    </dataValidation>
    <dataValidation sqref="E5:E250" showDropDown="0" showInputMessage="0" showErrorMessage="1" allowBlank="0" errorTitle="Invalid reliability coefficient" error="Select an exact controlled value from the Vocabulary sheet." type="list" errorStyle="stop">
      <formula1>INDIRECT("Vocabulary!$AR$5:$AR$9")</formula1>
    </dataValidation>
    <dataValidation sqref="F5:F250" showDropDown="0" showInputMessage="0" showErrorMessage="1" allowBlank="0" errorTitle="Invalid coefficient weighting" error="Select an exact controlled value from the Vocabulary sheet." type="list" errorStyle="stop">
      <formula1>INDIRECT("Vocabulary!$AS$5:$AS$8")</formula1>
    </dataValidation>
    <dataValidation sqref="G5:G250" showDropDown="0" showInputMessage="0" showErrorMessage="1" allowBlank="0" errorTitle="Coefficient or interval value out of range" error="Enter a value from -1 to 1. Negative adverse results are permitted and must not be suppressed." type="decimal" errorStyle="stop" operator="between">
      <formula1>-1</formula1>
      <formula2>1</formula2>
    </dataValidation>
    <dataValidation sqref="H5:H250" showDropDown="0" showInputMessage="0" showErrorMessage="1" allowBlank="0" errorTitle="Coefficient or interval value out of range" error="Enter a value from -1 to 1. Negative adverse results are permitted and must not be suppressed." type="decimal" errorStyle="stop" operator="between">
      <formula1>-1</formula1>
      <formula2>1</formula2>
    </dataValidation>
    <dataValidation sqref="I5:I250" showDropDown="0" showInputMessage="0" showErrorMessage="1" allowBlank="0" errorTitle="Coefficient or interval value out of range" error="Enter a value from -1 to 1. Negative adverse results are permitted and must not be suppressed." type="decimal" errorStyle="stop" operator="between">
      <formula1>-1</formula1>
      <formula2>1</formula2>
    </dataValidation>
    <dataValidation sqref="J5:J250" showDropDown="0" showInputMessage="0" showErrorMessage="1" allowBlank="0" errorTitle="Confidence level out of range" error="Enter the confidence level as a proportion from 0 to 1, for example 0.95." type="decimal" errorStyle="stop" operator="between">
      <formula1>0</formula1>
      <formula2>1</formula2>
    </dataValidation>
    <dataValidation sqref="K5:K250" showDropDown="0" showInputMessage="0" showErrorMessage="1" allowBlank="0" errorTitle="Whole number required" error="Enter a non-negative whole number." type="whole" errorStyle="stop" operator="greaterThanOrEqual">
      <formula1>0</formula1>
    </dataValidation>
    <dataValidation sqref="L5:L250" showDropDown="0" showInputMessage="0" showErrorMessage="1" allowBlank="0" errorTitle="Whole number required" error="Enter a non-negative whole number." type="whole" errorStyle="stop" operator="greaterThanOrEqual">
      <formula1>0</formula1>
    </dataValidation>
    <dataValidation sqref="M5:M250" showDropDown="0" showInputMessage="0" showErrorMessage="1" allowBlank="0" errorTitle="Whole number required" error="Enter a non-negative whole number." type="whole" errorStyle="stop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cols>
    <col width="20" customWidth="1" style="215" min="1" max="1"/>
    <col width="52" customWidth="1" style="215" min="2" max="2"/>
    <col width="28" customWidth="1" style="215" min="3" max="3"/>
    <col width="30" customWidth="1" style="215" min="4" max="4"/>
    <col width="18" customWidth="1" style="215" min="5" max="5"/>
    <col width="18" customWidth="1" style="215" min="6" max="6"/>
    <col width="18" customWidth="1" style="215" min="7" max="7"/>
  </cols>
  <sheetData>
    <row r="1" ht="28" customHeight="1" s="215">
      <c r="A1" s="536" t="inlineStr">
        <is>
          <t>AF v6.2 Study Readiness and Material-Construction Gate</t>
        </is>
      </c>
      <c r="B1" s="442" t="n"/>
      <c r="C1" s="442" t="n"/>
      <c r="D1" s="442" t="n"/>
      <c r="E1" s="442" t="n"/>
      <c r="F1" s="442" t="n"/>
      <c r="G1" s="442" t="n"/>
    </row>
    <row r="2"/>
    <row r="3" ht="34" customHeight="1" s="215">
      <c r="A3" s="484" t="inlineStr">
        <is>
          <t>Tier</t>
        </is>
      </c>
      <c r="B3" s="485" t="inlineStr">
        <is>
          <t>Minimum_Required_Objects</t>
        </is>
      </c>
      <c r="C3" s="485" t="inlineStr">
        <is>
          <t>Current_AF_v6_2_State</t>
        </is>
      </c>
      <c r="D3" s="485" t="inlineStr">
        <is>
          <t>Evidence_Refs</t>
        </is>
      </c>
      <c r="E3" s="485" t="inlineStr">
        <is>
          <t>Derived_Status</t>
        </is>
      </c>
      <c r="F3" s="485" t="inlineStr">
        <is>
          <t>Recorded_Status</t>
        </is>
      </c>
      <c r="G3" s="486" t="inlineStr">
        <is>
          <t>Status_Match</t>
        </is>
      </c>
    </row>
    <row r="4">
      <c r="A4" s="405" t="inlineStr">
        <is>
          <t>Design-ready</t>
        </is>
      </c>
      <c r="B4" s="303" t="inlineStr">
        <is>
          <t>Protocol; templates; scenario governance; training, analysis, burden and publication specifications</t>
        </is>
      </c>
      <c r="C4" s="303" t="inlineStr">
        <is>
          <t>Present</t>
        </is>
      </c>
      <c r="D4" s="303" t="inlineStr">
        <is>
          <t>AF v6.2 package</t>
        </is>
      </c>
      <c r="E4" s="303">
        <f>IF(A4="","",IF(C4="Present","Ready","Not ready"))</f>
        <v/>
      </c>
      <c r="F4" s="303" t="inlineStr">
        <is>
          <t>Ready</t>
        </is>
      </c>
      <c r="G4" s="406">
        <f>IF(OR(E4="",F4=""),"",IF(E4=F4,"MATCH","MISMATCH"))</f>
        <v/>
      </c>
    </row>
    <row r="5">
      <c r="A5" s="405" t="inlineStr">
        <is>
          <t>Materials-ready</t>
        </is>
      </c>
      <c r="B5" s="303" t="inlineStr">
        <is>
          <t>Frozen 20-case library; hashes; practice bank; qualification rubric; deposit system; scripts; capacity plan</t>
        </is>
      </c>
      <c r="C5" s="303" t="inlineStr">
        <is>
          <t>Not constituted</t>
        </is>
      </c>
      <c r="D5" s="303" t="str"/>
      <c r="E5" s="303">
        <f>IF(A5="","",IF(C5="Present","Ready","Not ready"))</f>
        <v/>
      </c>
      <c r="F5" s="303" t="inlineStr">
        <is>
          <t>Not ready</t>
        </is>
      </c>
      <c r="G5" s="406">
        <f>IF(OR(E5="",F5=""),"",IF(E5=F5,"MATCH","MISMATCH"))</f>
        <v/>
      </c>
    </row>
    <row r="6">
      <c r="A6" s="405" t="inlineStr">
        <is>
          <t>Shadow-ready</t>
        </is>
      </c>
      <c r="B6" s="303" t="inlineStr">
        <is>
          <t>Independent host; qualified reviewers; conflicts; custody; deposits; appeal; unconditional publication</t>
        </is>
      </c>
      <c r="C6" s="303" t="inlineStr">
        <is>
          <t>Not constituted</t>
        </is>
      </c>
      <c r="D6" s="303" t="str"/>
      <c r="E6" s="303">
        <f>IF(A6="","",IF(C6="Present","Ready","Not ready"))</f>
        <v/>
      </c>
      <c r="F6" s="303" t="inlineStr">
        <is>
          <t>Not ready</t>
        </is>
      </c>
      <c r="G6" s="406">
        <f>IF(OR(E6="",F6=""),"",IF(E6=F6,"MATCH","MISMATCH"))</f>
        <v/>
      </c>
    </row>
    <row r="7">
      <c r="A7" s="405" t="inlineStr">
        <is>
          <t>Pilot-ready</t>
        </is>
      </c>
      <c r="B7" s="303" t="inlineStr">
        <is>
          <t>Live-scope legal/ethical/affected-party review; protected reporting; adverse-event plan; remedies; funded stopping rules</t>
        </is>
      </c>
      <c r="C7" s="303" t="inlineStr">
        <is>
          <t>Not constituted</t>
        </is>
      </c>
      <c r="D7" s="303" t="str"/>
      <c r="E7" s="303">
        <f>IF(A7="","",IF(C7="Present","Ready","Not ready"))</f>
        <v/>
      </c>
      <c r="F7" s="303" t="inlineStr">
        <is>
          <t>Not ready</t>
        </is>
      </c>
      <c r="G7" s="406">
        <f>IF(OR(E7="",F7=""),"",IF(E7=F7,"MATCH","MISMATCH"))</f>
        <v/>
      </c>
    </row>
    <row r="8">
      <c r="A8" s="405" t="inlineStr">
        <is>
          <t>Replication-ready</t>
        </is>
      </c>
      <c r="B8" s="303" t="inlineStr">
        <is>
          <t>Frozen post-pilot package; second-host plan; transport verification</t>
        </is>
      </c>
      <c r="C8" s="303" t="inlineStr">
        <is>
          <t>Not applicable before pilot</t>
        </is>
      </c>
      <c r="D8" s="303" t="str"/>
      <c r="E8" s="303">
        <f>IF(A8="","",IF(C8="Present","Ready","Not ready"))</f>
        <v/>
      </c>
      <c r="F8" s="303" t="inlineStr">
        <is>
          <t>Not ready</t>
        </is>
      </c>
      <c r="G8" s="406">
        <f>IF(OR(E8="",F8=""),"",IF(E8=F8,"MATCH","MISMATCH"))</f>
        <v/>
      </c>
    </row>
    <row r="9">
      <c r="A9" s="405" t="n"/>
      <c r="B9" s="303" t="n"/>
      <c r="C9" s="303" t="n"/>
      <c r="D9" s="303" t="n"/>
      <c r="E9" s="303">
        <f>IF(A9="","",IF(C9="Present","Ready","Not ready"))</f>
        <v/>
      </c>
      <c r="F9" s="303" t="n"/>
      <c r="G9" s="406">
        <f>IF(OR(E9="",F9=""),"",IF(E9=F9,"MATCH","MISMATCH"))</f>
        <v/>
      </c>
    </row>
    <row r="10">
      <c r="A10" s="405" t="n"/>
      <c r="B10" s="303" t="n"/>
      <c r="C10" s="303" t="n"/>
      <c r="D10" s="303" t="n"/>
      <c r="E10" s="303">
        <f>IF(A10="","",IF(C10="Present","Ready","Not ready"))</f>
        <v/>
      </c>
      <c r="F10" s="303" t="n"/>
      <c r="G10" s="406">
        <f>IF(OR(E10="",F10=""),"",IF(E10=F10,"MATCH","MISMATCH"))</f>
        <v/>
      </c>
    </row>
    <row r="11">
      <c r="A11" s="405" t="n"/>
      <c r="B11" s="303" t="n"/>
      <c r="C11" s="303" t="n"/>
      <c r="D11" s="303" t="n"/>
      <c r="E11" s="303">
        <f>IF(A11="","",IF(C11="Present","Ready","Not ready"))</f>
        <v/>
      </c>
      <c r="F11" s="303" t="n"/>
      <c r="G11" s="406">
        <f>IF(OR(E11="",F11=""),"",IF(E11=F11,"MATCH","MISMATCH"))</f>
        <v/>
      </c>
    </row>
    <row r="12">
      <c r="A12" s="405" t="n"/>
      <c r="B12" s="303" t="n"/>
      <c r="C12" s="303" t="n"/>
      <c r="D12" s="303" t="n"/>
      <c r="E12" s="303">
        <f>IF(A12="","",IF(C12="Present","Ready","Not ready"))</f>
        <v/>
      </c>
      <c r="F12" s="303" t="n"/>
      <c r="G12" s="406">
        <f>IF(OR(E12="",F12=""),"",IF(E12=F12,"MATCH","MISMATCH"))</f>
        <v/>
      </c>
    </row>
    <row r="13">
      <c r="A13" s="405" t="n"/>
      <c r="B13" s="303" t="n"/>
      <c r="C13" s="303" t="n"/>
      <c r="D13" s="303" t="n"/>
      <c r="E13" s="303">
        <f>IF(A13="","",IF(C13="Present","Ready","Not ready"))</f>
        <v/>
      </c>
      <c r="F13" s="303" t="n"/>
      <c r="G13" s="406">
        <f>IF(OR(E13="",F13=""),"",IF(E13=F13,"MATCH","MISMATCH"))</f>
        <v/>
      </c>
    </row>
    <row r="14">
      <c r="A14" s="405" t="n"/>
      <c r="B14" s="303" t="n"/>
      <c r="C14" s="303" t="n"/>
      <c r="D14" s="303" t="n"/>
      <c r="E14" s="303">
        <f>IF(A14="","",IF(C14="Present","Ready","Not ready"))</f>
        <v/>
      </c>
      <c r="F14" s="303" t="n"/>
      <c r="G14" s="406">
        <f>IF(OR(E14="",F14=""),"",IF(E14=F14,"MATCH","MISMATCH"))</f>
        <v/>
      </c>
    </row>
    <row r="15">
      <c r="A15" s="405" t="n"/>
      <c r="B15" s="303" t="n"/>
      <c r="C15" s="303" t="n"/>
      <c r="D15" s="303" t="n"/>
      <c r="E15" s="303">
        <f>IF(A15="","",IF(C15="Present","Ready","Not ready"))</f>
        <v/>
      </c>
      <c r="F15" s="303" t="n"/>
      <c r="G15" s="406">
        <f>IF(OR(E15="",F15=""),"",IF(E15=F15,"MATCH","MISMATCH"))</f>
        <v/>
      </c>
    </row>
    <row r="16">
      <c r="A16" s="405" t="n"/>
      <c r="B16" s="303" t="n"/>
      <c r="C16" s="303" t="n"/>
      <c r="D16" s="303" t="n"/>
      <c r="E16" s="303">
        <f>IF(A16="","",IF(C16="Present","Ready","Not ready"))</f>
        <v/>
      </c>
      <c r="F16" s="303" t="n"/>
      <c r="G16" s="406">
        <f>IF(OR(E16="",F16=""),"",IF(E16=F16,"MATCH","MISMATCH"))</f>
        <v/>
      </c>
    </row>
    <row r="17">
      <c r="A17" s="405" t="n"/>
      <c r="B17" s="303" t="n"/>
      <c r="C17" s="303" t="n"/>
      <c r="D17" s="303" t="n"/>
      <c r="E17" s="303">
        <f>IF(A17="","",IF(C17="Present","Ready","Not ready"))</f>
        <v/>
      </c>
      <c r="F17" s="303" t="n"/>
      <c r="G17" s="406">
        <f>IF(OR(E17="",F17=""),"",IF(E17=F17,"MATCH","MISMATCH"))</f>
        <v/>
      </c>
    </row>
    <row r="18">
      <c r="A18" s="405" t="n"/>
      <c r="B18" s="303" t="n"/>
      <c r="C18" s="303" t="n"/>
      <c r="D18" s="303" t="n"/>
      <c r="E18" s="303">
        <f>IF(A18="","",IF(C18="Present","Ready","Not ready"))</f>
        <v/>
      </c>
      <c r="F18" s="303" t="n"/>
      <c r="G18" s="406">
        <f>IF(OR(E18="",F18=""),"",IF(E18=F18,"MATCH","MISMATCH"))</f>
        <v/>
      </c>
    </row>
    <row r="19">
      <c r="A19" s="405" t="n"/>
      <c r="B19" s="303" t="n"/>
      <c r="C19" s="303" t="n"/>
      <c r="D19" s="303" t="n"/>
      <c r="E19" s="303">
        <f>IF(A19="","",IF(C19="Present","Ready","Not ready"))</f>
        <v/>
      </c>
      <c r="F19" s="303" t="n"/>
      <c r="G19" s="406">
        <f>IF(OR(E19="",F19=""),"",IF(E19=F19,"MATCH","MISMATCH"))</f>
        <v/>
      </c>
    </row>
    <row r="20">
      <c r="A20" s="405" t="n"/>
      <c r="B20" s="303" t="n"/>
      <c r="C20" s="303" t="n"/>
      <c r="D20" s="303" t="n"/>
      <c r="E20" s="303">
        <f>IF(A20="","",IF(C20="Present","Ready","Not ready"))</f>
        <v/>
      </c>
      <c r="F20" s="303" t="n"/>
      <c r="G20" s="406">
        <f>IF(OR(E20="",F20=""),"",IF(E20=F20,"MATCH","MISMATCH"))</f>
        <v/>
      </c>
    </row>
    <row r="21">
      <c r="A21" s="405" t="n"/>
      <c r="B21" s="303" t="n"/>
      <c r="C21" s="303" t="n"/>
      <c r="D21" s="303" t="n"/>
      <c r="E21" s="303">
        <f>IF(A21="","",IF(C21="Present","Ready","Not ready"))</f>
        <v/>
      </c>
      <c r="F21" s="303" t="n"/>
      <c r="G21" s="406">
        <f>IF(OR(E21="",F21=""),"",IF(E21=F21,"MATCH","MISMATCH"))</f>
        <v/>
      </c>
    </row>
    <row r="22">
      <c r="A22" s="405" t="n"/>
      <c r="B22" s="303" t="n"/>
      <c r="C22" s="303" t="n"/>
      <c r="D22" s="303" t="n"/>
      <c r="E22" s="303">
        <f>IF(A22="","",IF(C22="Present","Ready","Not ready"))</f>
        <v/>
      </c>
      <c r="F22" s="303" t="n"/>
      <c r="G22" s="406">
        <f>IF(OR(E22="",F22=""),"",IF(E22=F22,"MATCH","MISMATCH"))</f>
        <v/>
      </c>
    </row>
    <row r="23">
      <c r="A23" s="405" t="n"/>
      <c r="B23" s="303" t="n"/>
      <c r="C23" s="303" t="n"/>
      <c r="D23" s="303" t="n"/>
      <c r="E23" s="303">
        <f>IF(A23="","",IF(C23="Present","Ready","Not ready"))</f>
        <v/>
      </c>
      <c r="F23" s="303" t="n"/>
      <c r="G23" s="406">
        <f>IF(OR(E23="",F23=""),"",IF(E23=F23,"MATCH","MISMATCH"))</f>
        <v/>
      </c>
    </row>
    <row r="24">
      <c r="A24" s="405" t="n"/>
      <c r="B24" s="303" t="n"/>
      <c r="C24" s="303" t="n"/>
      <c r="D24" s="303" t="n"/>
      <c r="E24" s="303">
        <f>IF(A24="","",IF(C24="Present","Ready","Not ready"))</f>
        <v/>
      </c>
      <c r="F24" s="303" t="n"/>
      <c r="G24" s="406">
        <f>IF(OR(E24="",F24=""),"",IF(E24=F24,"MATCH","MISMATCH"))</f>
        <v/>
      </c>
    </row>
    <row r="25">
      <c r="A25" s="405" t="n"/>
      <c r="B25" s="303" t="n"/>
      <c r="C25" s="303" t="n"/>
      <c r="D25" s="303" t="n"/>
      <c r="E25" s="303">
        <f>IF(A25="","",IF(C25="Present","Ready","Not ready"))</f>
        <v/>
      </c>
      <c r="F25" s="303" t="n"/>
      <c r="G25" s="406">
        <f>IF(OR(E25="",F25=""),"",IF(E25=F25,"MATCH","MISMATCH"))</f>
        <v/>
      </c>
    </row>
    <row r="26">
      <c r="A26" s="405" t="n"/>
      <c r="B26" s="303" t="n"/>
      <c r="C26" s="303" t="n"/>
      <c r="D26" s="303" t="n"/>
      <c r="E26" s="303">
        <f>IF(A26="","",IF(C26="Present","Ready","Not ready"))</f>
        <v/>
      </c>
      <c r="F26" s="303" t="n"/>
      <c r="G26" s="406">
        <f>IF(OR(E26="",F26=""),"",IF(E26=F26,"MATCH","MISMATCH"))</f>
        <v/>
      </c>
    </row>
    <row r="27">
      <c r="A27" s="405" t="n"/>
      <c r="B27" s="303" t="n"/>
      <c r="C27" s="303" t="n"/>
      <c r="D27" s="303" t="n"/>
      <c r="E27" s="303">
        <f>IF(A27="","",IF(C27="Present","Ready","Not ready"))</f>
        <v/>
      </c>
      <c r="F27" s="303" t="n"/>
      <c r="G27" s="406">
        <f>IF(OR(E27="",F27=""),"",IF(E27=F27,"MATCH","MISMATCH"))</f>
        <v/>
      </c>
    </row>
    <row r="28">
      <c r="A28" s="405" t="n"/>
      <c r="B28" s="303" t="n"/>
      <c r="C28" s="303" t="n"/>
      <c r="D28" s="303" t="n"/>
      <c r="E28" s="303">
        <f>IF(A28="","",IF(C28="Present","Ready","Not ready"))</f>
        <v/>
      </c>
      <c r="F28" s="303" t="n"/>
      <c r="G28" s="406">
        <f>IF(OR(E28="",F28=""),"",IF(E28=F28,"MATCH","MISMATCH"))</f>
        <v/>
      </c>
    </row>
    <row r="29">
      <c r="A29" s="405" t="n"/>
      <c r="B29" s="303" t="n"/>
      <c r="C29" s="303" t="n"/>
      <c r="D29" s="303" t="n"/>
      <c r="E29" s="303">
        <f>IF(A29="","",IF(C29="Present","Ready","Not ready"))</f>
        <v/>
      </c>
      <c r="F29" s="303" t="n"/>
      <c r="G29" s="406">
        <f>IF(OR(E29="",F29=""),"",IF(E29=F29,"MATCH","MISMATCH"))</f>
        <v/>
      </c>
    </row>
    <row r="30">
      <c r="A30" s="405" t="n"/>
      <c r="B30" s="303" t="n"/>
      <c r="C30" s="303" t="n"/>
      <c r="D30" s="303" t="n"/>
      <c r="E30" s="303">
        <f>IF(A30="","",IF(C30="Present","Ready","Not ready"))</f>
        <v/>
      </c>
      <c r="F30" s="303" t="n"/>
      <c r="G30" s="406">
        <f>IF(OR(E30="",F30=""),"",IF(E30=F30,"MATCH","MISMATCH"))</f>
        <v/>
      </c>
    </row>
    <row r="31">
      <c r="A31" s="405" t="n"/>
      <c r="B31" s="303" t="n"/>
      <c r="C31" s="303" t="n"/>
      <c r="D31" s="303" t="n"/>
      <c r="E31" s="303">
        <f>IF(A31="","",IF(C31="Present","Ready","Not ready"))</f>
        <v/>
      </c>
      <c r="F31" s="303" t="n"/>
      <c r="G31" s="406">
        <f>IF(OR(E31="",F31=""),"",IF(E31=F31,"MATCH","MISMATCH"))</f>
        <v/>
      </c>
    </row>
    <row r="32">
      <c r="A32" s="405" t="n"/>
      <c r="B32" s="303" t="n"/>
      <c r="C32" s="303" t="n"/>
      <c r="D32" s="303" t="n"/>
      <c r="E32" s="303">
        <f>IF(A32="","",IF(C32="Present","Ready","Not ready"))</f>
        <v/>
      </c>
      <c r="F32" s="303" t="n"/>
      <c r="G32" s="406">
        <f>IF(OR(E32="",F32=""),"",IF(E32=F32,"MATCH","MISMATCH"))</f>
        <v/>
      </c>
    </row>
    <row r="33">
      <c r="A33" s="405" t="n"/>
      <c r="B33" s="303" t="n"/>
      <c r="C33" s="303" t="n"/>
      <c r="D33" s="303" t="n"/>
      <c r="E33" s="303">
        <f>IF(A33="","",IF(C33="Present","Ready","Not ready"))</f>
        <v/>
      </c>
      <c r="F33" s="303" t="n"/>
      <c r="G33" s="406">
        <f>IF(OR(E33="",F33=""),"",IF(E33=F33,"MATCH","MISMATCH"))</f>
        <v/>
      </c>
    </row>
    <row r="34">
      <c r="A34" s="405" t="n"/>
      <c r="B34" s="303" t="n"/>
      <c r="C34" s="303" t="n"/>
      <c r="D34" s="303" t="n"/>
      <c r="E34" s="303">
        <f>IF(A34="","",IF(C34="Present","Ready","Not ready"))</f>
        <v/>
      </c>
      <c r="F34" s="303" t="n"/>
      <c r="G34" s="406">
        <f>IF(OR(E34="",F34=""),"",IF(E34=F34,"MATCH","MISMATCH"))</f>
        <v/>
      </c>
    </row>
    <row r="35">
      <c r="A35" s="405" t="n"/>
      <c r="B35" s="303" t="n"/>
      <c r="C35" s="303" t="n"/>
      <c r="D35" s="303" t="n"/>
      <c r="E35" s="303">
        <f>IF(A35="","",IF(C35="Present","Ready","Not ready"))</f>
        <v/>
      </c>
      <c r="F35" s="303" t="n"/>
      <c r="G35" s="406">
        <f>IF(OR(E35="",F35=""),"",IF(E35=F35,"MATCH","MISMATCH"))</f>
        <v/>
      </c>
    </row>
    <row r="36">
      <c r="A36" s="405" t="n"/>
      <c r="B36" s="303" t="n"/>
      <c r="C36" s="303" t="n"/>
      <c r="D36" s="303" t="n"/>
      <c r="E36" s="303">
        <f>IF(A36="","",IF(C36="Present","Ready","Not ready"))</f>
        <v/>
      </c>
      <c r="F36" s="303" t="n"/>
      <c r="G36" s="406">
        <f>IF(OR(E36="",F36=""),"",IF(E36=F36,"MATCH","MISMATCH"))</f>
        <v/>
      </c>
    </row>
    <row r="37">
      <c r="A37" s="405" t="n"/>
      <c r="B37" s="303" t="n"/>
      <c r="C37" s="303" t="n"/>
      <c r="D37" s="303" t="n"/>
      <c r="E37" s="303">
        <f>IF(A37="","",IF(C37="Present","Ready","Not ready"))</f>
        <v/>
      </c>
      <c r="F37" s="303" t="n"/>
      <c r="G37" s="406">
        <f>IF(OR(E37="",F37=""),"",IF(E37=F37,"MATCH","MISMATCH"))</f>
        <v/>
      </c>
    </row>
    <row r="38">
      <c r="A38" s="405" t="n"/>
      <c r="B38" s="303" t="n"/>
      <c r="C38" s="303" t="n"/>
      <c r="D38" s="303" t="n"/>
      <c r="E38" s="303">
        <f>IF(A38="","",IF(C38="Present","Ready","Not ready"))</f>
        <v/>
      </c>
      <c r="F38" s="303" t="n"/>
      <c r="G38" s="406">
        <f>IF(OR(E38="",F38=""),"",IF(E38=F38,"MATCH","MISMATCH"))</f>
        <v/>
      </c>
    </row>
    <row r="39">
      <c r="A39" s="405" t="n"/>
      <c r="B39" s="303" t="n"/>
      <c r="C39" s="303" t="n"/>
      <c r="D39" s="303" t="n"/>
      <c r="E39" s="303">
        <f>IF(A39="","",IF(C39="Present","Ready","Not ready"))</f>
        <v/>
      </c>
      <c r="F39" s="303" t="n"/>
      <c r="G39" s="406">
        <f>IF(OR(E39="",F39=""),"",IF(E39=F39,"MATCH","MISMATCH"))</f>
        <v/>
      </c>
    </row>
    <row r="40">
      <c r="A40" s="405" t="n"/>
      <c r="B40" s="303" t="n"/>
      <c r="C40" s="303" t="n"/>
      <c r="D40" s="303" t="n"/>
      <c r="E40" s="303">
        <f>IF(A40="","",IF(C40="Present","Ready","Not ready"))</f>
        <v/>
      </c>
      <c r="F40" s="303" t="n"/>
      <c r="G40" s="406">
        <f>IF(OR(E40="",F40=""),"",IF(E40=F40,"MATCH","MISMATCH"))</f>
        <v/>
      </c>
    </row>
    <row r="41">
      <c r="A41" s="405" t="n"/>
      <c r="B41" s="303" t="n"/>
      <c r="C41" s="303" t="n"/>
      <c r="D41" s="303" t="n"/>
      <c r="E41" s="303">
        <f>IF(A41="","",IF(C41="Present","Ready","Not ready"))</f>
        <v/>
      </c>
      <c r="F41" s="303" t="n"/>
      <c r="G41" s="406">
        <f>IF(OR(E41="",F41=""),"",IF(E41=F41,"MATCH","MISMATCH"))</f>
        <v/>
      </c>
    </row>
    <row r="42">
      <c r="A42" s="405" t="n"/>
      <c r="B42" s="303" t="n"/>
      <c r="C42" s="303" t="n"/>
      <c r="D42" s="303" t="n"/>
      <c r="E42" s="303">
        <f>IF(A42="","",IF(C42="Present","Ready","Not ready"))</f>
        <v/>
      </c>
      <c r="F42" s="303" t="n"/>
      <c r="G42" s="406">
        <f>IF(OR(E42="",F42=""),"",IF(E42=F42,"MATCH","MISMATCH"))</f>
        <v/>
      </c>
    </row>
    <row r="43">
      <c r="A43" s="405" t="n"/>
      <c r="B43" s="303" t="n"/>
      <c r="C43" s="303" t="n"/>
      <c r="D43" s="303" t="n"/>
      <c r="E43" s="303">
        <f>IF(A43="","",IF(C43="Present","Ready","Not ready"))</f>
        <v/>
      </c>
      <c r="F43" s="303" t="n"/>
      <c r="G43" s="406">
        <f>IF(OR(E43="",F43=""),"",IF(E43=F43,"MATCH","MISMATCH"))</f>
        <v/>
      </c>
    </row>
    <row r="44">
      <c r="A44" s="405" t="n"/>
      <c r="B44" s="303" t="n"/>
      <c r="C44" s="303" t="n"/>
      <c r="D44" s="303" t="n"/>
      <c r="E44" s="303">
        <f>IF(A44="","",IF(C44="Present","Ready","Not ready"))</f>
        <v/>
      </c>
      <c r="F44" s="303" t="n"/>
      <c r="G44" s="406">
        <f>IF(OR(E44="",F44=""),"",IF(E44=F44,"MATCH","MISMATCH"))</f>
        <v/>
      </c>
    </row>
    <row r="45">
      <c r="A45" s="405" t="n"/>
      <c r="B45" s="303" t="n"/>
      <c r="C45" s="303" t="n"/>
      <c r="D45" s="303" t="n"/>
      <c r="E45" s="303">
        <f>IF(A45="","",IF(C45="Present","Ready","Not ready"))</f>
        <v/>
      </c>
      <c r="F45" s="303" t="n"/>
      <c r="G45" s="406">
        <f>IF(OR(E45="",F45=""),"",IF(E45=F45,"MATCH","MISMATCH"))</f>
        <v/>
      </c>
    </row>
    <row r="46">
      <c r="A46" s="405" t="n"/>
      <c r="B46" s="303" t="n"/>
      <c r="C46" s="303" t="n"/>
      <c r="D46" s="303" t="n"/>
      <c r="E46" s="303">
        <f>IF(A46="","",IF(C46="Present","Ready","Not ready"))</f>
        <v/>
      </c>
      <c r="F46" s="303" t="n"/>
      <c r="G46" s="406">
        <f>IF(OR(E46="",F46=""),"",IF(E46=F46,"MATCH","MISMATCH"))</f>
        <v/>
      </c>
    </row>
    <row r="47">
      <c r="A47" s="405" t="n"/>
      <c r="B47" s="303" t="n"/>
      <c r="C47" s="303" t="n"/>
      <c r="D47" s="303" t="n"/>
      <c r="E47" s="303">
        <f>IF(A47="","",IF(C47="Present","Ready","Not ready"))</f>
        <v/>
      </c>
      <c r="F47" s="303" t="n"/>
      <c r="G47" s="406">
        <f>IF(OR(E47="",F47=""),"",IF(E47=F47,"MATCH","MISMATCH"))</f>
        <v/>
      </c>
    </row>
    <row r="48">
      <c r="A48" s="405" t="n"/>
      <c r="B48" s="303" t="n"/>
      <c r="C48" s="303" t="n"/>
      <c r="D48" s="303" t="n"/>
      <c r="E48" s="303">
        <f>IF(A48="","",IF(C48="Present","Ready","Not ready"))</f>
        <v/>
      </c>
      <c r="F48" s="303" t="n"/>
      <c r="G48" s="406">
        <f>IF(OR(E48="",F48=""),"",IF(E48=F48,"MATCH","MISMATCH"))</f>
        <v/>
      </c>
    </row>
    <row r="49">
      <c r="A49" s="405" t="n"/>
      <c r="B49" s="303" t="n"/>
      <c r="C49" s="303" t="n"/>
      <c r="D49" s="303" t="n"/>
      <c r="E49" s="303">
        <f>IF(A49="","",IF(C49="Present","Ready","Not ready"))</f>
        <v/>
      </c>
      <c r="F49" s="303" t="n"/>
      <c r="G49" s="406">
        <f>IF(OR(E49="",F49=""),"",IF(E49=F49,"MATCH","MISMATCH"))</f>
        <v/>
      </c>
    </row>
    <row r="50">
      <c r="A50" s="405" t="n"/>
      <c r="B50" s="303" t="n"/>
      <c r="C50" s="303" t="n"/>
      <c r="D50" s="303" t="n"/>
      <c r="E50" s="303">
        <f>IF(A50="","",IF(C50="Present","Ready","Not ready"))</f>
        <v/>
      </c>
      <c r="F50" s="303" t="n"/>
      <c r="G50" s="406">
        <f>IF(OR(E50="",F50=""),"",IF(E50=F50,"MATCH","MISMATCH"))</f>
        <v/>
      </c>
    </row>
    <row r="51">
      <c r="A51" s="405" t="n"/>
      <c r="B51" s="303" t="n"/>
      <c r="C51" s="303" t="n"/>
      <c r="D51" s="303" t="n"/>
      <c r="E51" s="303">
        <f>IF(A51="","",IF(C51="Present","Ready","Not ready"))</f>
        <v/>
      </c>
      <c r="F51" s="303" t="n"/>
      <c r="G51" s="406">
        <f>IF(OR(E51="",F51=""),"",IF(E51=F51,"MATCH","MISMATCH"))</f>
        <v/>
      </c>
    </row>
    <row r="52">
      <c r="A52" s="405" t="n"/>
      <c r="B52" s="303" t="n"/>
      <c r="C52" s="303" t="n"/>
      <c r="D52" s="303" t="n"/>
      <c r="E52" s="303">
        <f>IF(A52="","",IF(C52="Present","Ready","Not ready"))</f>
        <v/>
      </c>
      <c r="F52" s="303" t="n"/>
      <c r="G52" s="406">
        <f>IF(OR(E52="",F52=""),"",IF(E52=F52,"MATCH","MISMATCH"))</f>
        <v/>
      </c>
    </row>
    <row r="53">
      <c r="A53" s="405" t="n"/>
      <c r="B53" s="303" t="n"/>
      <c r="C53" s="303" t="n"/>
      <c r="D53" s="303" t="n"/>
      <c r="E53" s="303">
        <f>IF(A53="","",IF(C53="Present","Ready","Not ready"))</f>
        <v/>
      </c>
      <c r="F53" s="303" t="n"/>
      <c r="G53" s="406">
        <f>IF(OR(E53="",F53=""),"",IF(E53=F53,"MATCH","MISMATCH"))</f>
        <v/>
      </c>
    </row>
    <row r="54">
      <c r="A54" s="405" t="n"/>
      <c r="B54" s="303" t="n"/>
      <c r="C54" s="303" t="n"/>
      <c r="D54" s="303" t="n"/>
      <c r="E54" s="303">
        <f>IF(A54="","",IF(C54="Present","Ready","Not ready"))</f>
        <v/>
      </c>
      <c r="F54" s="303" t="n"/>
      <c r="G54" s="406">
        <f>IF(OR(E54="",F54=""),"",IF(E54=F54,"MATCH","MISMATCH"))</f>
        <v/>
      </c>
    </row>
    <row r="55">
      <c r="A55" s="405" t="n"/>
      <c r="B55" s="303" t="n"/>
      <c r="C55" s="303" t="n"/>
      <c r="D55" s="303" t="n"/>
      <c r="E55" s="303">
        <f>IF(A55="","",IF(C55="Present","Ready","Not ready"))</f>
        <v/>
      </c>
      <c r="F55" s="303" t="n"/>
      <c r="G55" s="406">
        <f>IF(OR(E55="",F55=""),"",IF(E55=F55,"MATCH","MISMATCH"))</f>
        <v/>
      </c>
    </row>
    <row r="56">
      <c r="A56" s="405" t="n"/>
      <c r="B56" s="303" t="n"/>
      <c r="C56" s="303" t="n"/>
      <c r="D56" s="303" t="n"/>
      <c r="E56" s="303">
        <f>IF(A56="","",IF(C56="Present","Ready","Not ready"))</f>
        <v/>
      </c>
      <c r="F56" s="303" t="n"/>
      <c r="G56" s="406">
        <f>IF(OR(E56="",F56=""),"",IF(E56=F56,"MATCH","MISMATCH"))</f>
        <v/>
      </c>
    </row>
    <row r="57">
      <c r="A57" s="405" t="n"/>
      <c r="B57" s="303" t="n"/>
      <c r="C57" s="303" t="n"/>
      <c r="D57" s="303" t="n"/>
      <c r="E57" s="303">
        <f>IF(A57="","",IF(C57="Present","Ready","Not ready"))</f>
        <v/>
      </c>
      <c r="F57" s="303" t="n"/>
      <c r="G57" s="406">
        <f>IF(OR(E57="",F57=""),"",IF(E57=F57,"MATCH","MISMATCH"))</f>
        <v/>
      </c>
    </row>
    <row r="58">
      <c r="A58" s="405" t="n"/>
      <c r="B58" s="303" t="n"/>
      <c r="C58" s="303" t="n"/>
      <c r="D58" s="303" t="n"/>
      <c r="E58" s="303">
        <f>IF(A58="","",IF(C58="Present","Ready","Not ready"))</f>
        <v/>
      </c>
      <c r="F58" s="303" t="n"/>
      <c r="G58" s="406">
        <f>IF(OR(E58="",F58=""),"",IF(E58=F58,"MATCH","MISMATCH"))</f>
        <v/>
      </c>
    </row>
    <row r="59">
      <c r="A59" s="405" t="n"/>
      <c r="B59" s="303" t="n"/>
      <c r="C59" s="303" t="n"/>
      <c r="D59" s="303" t="n"/>
      <c r="E59" s="303">
        <f>IF(A59="","",IF(C59="Present","Ready","Not ready"))</f>
        <v/>
      </c>
      <c r="F59" s="303" t="n"/>
      <c r="G59" s="406">
        <f>IF(OR(E59="",F59=""),"",IF(E59=F59,"MATCH","MISMATCH"))</f>
        <v/>
      </c>
    </row>
    <row r="60">
      <c r="A60" s="407" t="n"/>
      <c r="B60" s="408" t="n"/>
      <c r="C60" s="408" t="n"/>
      <c r="D60" s="408" t="n"/>
      <c r="E60" s="408">
        <f>IF(A60="","",IF(C60="Present","Ready","Not ready"))</f>
        <v/>
      </c>
      <c r="F60" s="408" t="n"/>
      <c r="G60" s="409">
        <f>IF(OR(E60="",F60=""),"",IF(E60=F60,"MATCH","MISMATCH"))</f>
        <v/>
      </c>
    </row>
    <row r="61">
      <c r="E61">
        <f>IF(A61="","",IF(C61="Present","Ready","Not ready"))</f>
        <v/>
      </c>
      <c r="G61">
        <f>IF(OR(E61="",F61=""),"",IF(E61=F61,"MATCH","MISMATCH"))</f>
        <v/>
      </c>
    </row>
    <row r="62">
      <c r="E62">
        <f>IF(A62="","",IF(C62="Present","Ready","Not ready"))</f>
        <v/>
      </c>
      <c r="G62">
        <f>IF(OR(E62="",F62=""),"",IF(E62=F62,"MATCH","MISMATCH"))</f>
        <v/>
      </c>
    </row>
    <row r="63">
      <c r="E63">
        <f>IF(A63="","",IF(C63="Present","Ready","Not ready"))</f>
        <v/>
      </c>
      <c r="G63">
        <f>IF(OR(E63="",F63=""),"",IF(E63=F63,"MATCH","MISMATCH"))</f>
        <v/>
      </c>
    </row>
    <row r="64">
      <c r="E64">
        <f>IF(A64="","",IF(C64="Present","Ready","Not ready"))</f>
        <v/>
      </c>
      <c r="G64">
        <f>IF(OR(E64="",F64=""),"",IF(E64=F64,"MATCH","MISMATCH"))</f>
        <v/>
      </c>
    </row>
    <row r="65">
      <c r="E65">
        <f>IF(A65="","",IF(C65="Present","Ready","Not ready"))</f>
        <v/>
      </c>
      <c r="G65">
        <f>IF(OR(E65="",F65=""),"",IF(E65=F65,"MATCH","MISMATCH"))</f>
        <v/>
      </c>
    </row>
    <row r="66">
      <c r="E66">
        <f>IF(A66="","",IF(C66="Present","Ready","Not ready"))</f>
        <v/>
      </c>
      <c r="G66">
        <f>IF(OR(E66="",F66=""),"",IF(E66=F66,"MATCH","MISMATCH"))</f>
        <v/>
      </c>
    </row>
    <row r="67">
      <c r="E67">
        <f>IF(A67="","",IF(C67="Present","Ready","Not ready"))</f>
        <v/>
      </c>
      <c r="G67">
        <f>IF(OR(E67="",F67=""),"",IF(E67=F67,"MATCH","MISMATCH"))</f>
        <v/>
      </c>
    </row>
    <row r="68">
      <c r="E68">
        <f>IF(A68="","",IF(C68="Present","Ready","Not ready"))</f>
        <v/>
      </c>
      <c r="G68">
        <f>IF(OR(E68="",F68=""),"",IF(E68=F68,"MATCH","MISMATCH"))</f>
        <v/>
      </c>
    </row>
    <row r="69">
      <c r="E69">
        <f>IF(A69="","",IF(C69="Present","Ready","Not ready"))</f>
        <v/>
      </c>
      <c r="G69">
        <f>IF(OR(E69="",F69=""),"",IF(E69=F69,"MATCH","MISMATCH"))</f>
        <v/>
      </c>
    </row>
    <row r="70">
      <c r="E70">
        <f>IF(A70="","",IF(C70="Present","Ready","Not ready"))</f>
        <v/>
      </c>
      <c r="G70">
        <f>IF(OR(E70="",F70=""),"",IF(E70=F70,"MATCH","MISMATCH"))</f>
        <v/>
      </c>
    </row>
    <row r="71">
      <c r="E71">
        <f>IF(A71="","",IF(C71="Present","Ready","Not ready"))</f>
        <v/>
      </c>
      <c r="G71">
        <f>IF(OR(E71="",F71=""),"",IF(E71=F71,"MATCH","MISMATCH"))</f>
        <v/>
      </c>
    </row>
    <row r="72">
      <c r="E72">
        <f>IF(A72="","",IF(C72="Present","Ready","Not ready"))</f>
        <v/>
      </c>
      <c r="G72">
        <f>IF(OR(E72="",F72=""),"",IF(E72=F72,"MATCH","MISMATCH"))</f>
        <v/>
      </c>
    </row>
    <row r="73">
      <c r="E73">
        <f>IF(A73="","",IF(C73="Present","Ready","Not ready"))</f>
        <v/>
      </c>
      <c r="G73">
        <f>IF(OR(E73="",F73=""),"",IF(E73=F73,"MATCH","MISMATCH"))</f>
        <v/>
      </c>
    </row>
    <row r="74">
      <c r="E74">
        <f>IF(A74="","",IF(C74="Present","Ready","Not ready"))</f>
        <v/>
      </c>
      <c r="G74">
        <f>IF(OR(E74="",F74=""),"",IF(E74=F74,"MATCH","MISMATCH"))</f>
        <v/>
      </c>
    </row>
    <row r="75">
      <c r="E75">
        <f>IF(A75="","",IF(C75="Present","Ready","Not ready"))</f>
        <v/>
      </c>
      <c r="G75">
        <f>IF(OR(E75="",F75=""),"",IF(E75=F75,"MATCH","MISMATCH"))</f>
        <v/>
      </c>
    </row>
    <row r="76">
      <c r="E76">
        <f>IF(A76="","",IF(C76="Present","Ready","Not ready"))</f>
        <v/>
      </c>
      <c r="G76">
        <f>IF(OR(E76="",F76=""),"",IF(E76=F76,"MATCH","MISMATCH"))</f>
        <v/>
      </c>
    </row>
    <row r="77">
      <c r="E77">
        <f>IF(A77="","",IF(C77="Present","Ready","Not ready"))</f>
        <v/>
      </c>
      <c r="G77">
        <f>IF(OR(E77="",F77=""),"",IF(E77=F77,"MATCH","MISMATCH"))</f>
        <v/>
      </c>
    </row>
    <row r="78">
      <c r="E78">
        <f>IF(A78="","",IF(C78="Present","Ready","Not ready"))</f>
        <v/>
      </c>
      <c r="G78">
        <f>IF(OR(E78="",F78=""),"",IF(E78=F78,"MATCH","MISMATCH"))</f>
        <v/>
      </c>
    </row>
    <row r="79">
      <c r="E79">
        <f>IF(A79="","",IF(C79="Present","Ready","Not ready"))</f>
        <v/>
      </c>
      <c r="G79">
        <f>IF(OR(E79="",F79=""),"",IF(E79=F79,"MATCH","MISMATCH"))</f>
        <v/>
      </c>
    </row>
    <row r="80">
      <c r="E80">
        <f>IF(A80="","",IF(C80="Present","Ready","Not ready"))</f>
        <v/>
      </c>
      <c r="G80">
        <f>IF(OR(E80="",F80=""),"",IF(E80=F80,"MATCH","MISMATCH"))</f>
        <v/>
      </c>
    </row>
    <row r="81">
      <c r="E81">
        <f>IF(A81="","",IF(C81="Present","Ready","Not ready"))</f>
        <v/>
      </c>
      <c r="G81">
        <f>IF(OR(E81="",F81=""),"",IF(E81=F81,"MATCH","MISMATCH"))</f>
        <v/>
      </c>
    </row>
    <row r="82">
      <c r="E82">
        <f>IF(A82="","",IF(C82="Present","Ready","Not ready"))</f>
        <v/>
      </c>
      <c r="G82">
        <f>IF(OR(E82="",F82=""),"",IF(E82=F82,"MATCH","MISMATCH"))</f>
        <v/>
      </c>
    </row>
    <row r="83">
      <c r="E83">
        <f>IF(A83="","",IF(C83="Present","Ready","Not ready"))</f>
        <v/>
      </c>
      <c r="G83">
        <f>IF(OR(E83="",F83=""),"",IF(E83=F83,"MATCH","MISMATCH"))</f>
        <v/>
      </c>
    </row>
    <row r="84">
      <c r="E84">
        <f>IF(A84="","",IF(C84="Present","Ready","Not ready"))</f>
        <v/>
      </c>
      <c r="G84">
        <f>IF(OR(E84="",F84=""),"",IF(E84=F84,"MATCH","MISMATCH"))</f>
        <v/>
      </c>
    </row>
    <row r="85">
      <c r="E85">
        <f>IF(A85="","",IF(C85="Present","Ready","Not ready"))</f>
        <v/>
      </c>
      <c r="G85">
        <f>IF(OR(E85="",F85=""),"",IF(E85=F85,"MATCH","MISMATCH"))</f>
        <v/>
      </c>
    </row>
    <row r="86">
      <c r="E86">
        <f>IF(A86="","",IF(C86="Present","Ready","Not ready"))</f>
        <v/>
      </c>
      <c r="G86">
        <f>IF(OR(E86="",F86=""),"",IF(E86=F86,"MATCH","MISMATCH"))</f>
        <v/>
      </c>
    </row>
    <row r="87">
      <c r="E87">
        <f>IF(A87="","",IF(C87="Present","Ready","Not ready"))</f>
        <v/>
      </c>
      <c r="G87">
        <f>IF(OR(E87="",F87=""),"",IF(E87=F87,"MATCH","MISMATCH"))</f>
        <v/>
      </c>
    </row>
    <row r="88">
      <c r="E88">
        <f>IF(A88="","",IF(C88="Present","Ready","Not ready"))</f>
        <v/>
      </c>
      <c r="G88">
        <f>IF(OR(E88="",F88=""),"",IF(E88=F88,"MATCH","MISMATCH"))</f>
        <v/>
      </c>
    </row>
    <row r="89">
      <c r="E89">
        <f>IF(A89="","",IF(C89="Present","Ready","Not ready"))</f>
        <v/>
      </c>
      <c r="G89">
        <f>IF(OR(E89="",F89=""),"",IF(E89=F89,"MATCH","MISMATCH"))</f>
        <v/>
      </c>
    </row>
    <row r="90">
      <c r="E90">
        <f>IF(A90="","",IF(C90="Present","Ready","Not ready"))</f>
        <v/>
      </c>
      <c r="G90">
        <f>IF(OR(E90="",F90=""),"",IF(E90=F90,"MATCH","MISMATCH"))</f>
        <v/>
      </c>
    </row>
    <row r="91">
      <c r="E91">
        <f>IF(A91="","",IF(C91="Present","Ready","Not ready"))</f>
        <v/>
      </c>
      <c r="G91">
        <f>IF(OR(E91="",F91=""),"",IF(E91=F91,"MATCH","MISMATCH"))</f>
        <v/>
      </c>
    </row>
    <row r="92">
      <c r="E92">
        <f>IF(A92="","",IF(C92="Present","Ready","Not ready"))</f>
        <v/>
      </c>
      <c r="G92">
        <f>IF(OR(E92="",F92=""),"",IF(E92=F92,"MATCH","MISMATCH"))</f>
        <v/>
      </c>
    </row>
    <row r="93">
      <c r="E93">
        <f>IF(A93="","",IF(C93="Present","Ready","Not ready"))</f>
        <v/>
      </c>
      <c r="G93">
        <f>IF(OR(E93="",F93=""),"",IF(E93=F93,"MATCH","MISMATCH"))</f>
        <v/>
      </c>
    </row>
    <row r="94">
      <c r="E94">
        <f>IF(A94="","",IF(C94="Present","Ready","Not ready"))</f>
        <v/>
      </c>
      <c r="G94">
        <f>IF(OR(E94="",F94=""),"",IF(E94=F94,"MATCH","MISMATCH"))</f>
        <v/>
      </c>
    </row>
    <row r="95">
      <c r="E95">
        <f>IF(A95="","",IF(C95="Present","Ready","Not ready"))</f>
        <v/>
      </c>
      <c r="G95">
        <f>IF(OR(E95="",F95=""),"",IF(E95=F95,"MATCH","MISMATCH"))</f>
        <v/>
      </c>
    </row>
    <row r="96">
      <c r="E96">
        <f>IF(A96="","",IF(C96="Present","Ready","Not ready"))</f>
        <v/>
      </c>
      <c r="G96">
        <f>IF(OR(E96="",F96=""),"",IF(E96=F96,"MATCH","MISMATCH"))</f>
        <v/>
      </c>
    </row>
    <row r="97">
      <c r="E97">
        <f>IF(A97="","",IF(C97="Present","Ready","Not ready"))</f>
        <v/>
      </c>
      <c r="G97">
        <f>IF(OR(E97="",F97=""),"",IF(E97=F97,"MATCH","MISMATCH"))</f>
        <v/>
      </c>
    </row>
    <row r="98">
      <c r="E98">
        <f>IF(A98="","",IF(C98="Present","Ready","Not ready"))</f>
        <v/>
      </c>
      <c r="G98">
        <f>IF(OR(E98="",F98=""),"",IF(E98=F98,"MATCH","MISMATCH"))</f>
        <v/>
      </c>
    </row>
    <row r="99">
      <c r="E99">
        <f>IF(A99="","",IF(C99="Present","Ready","Not ready"))</f>
        <v/>
      </c>
      <c r="G99">
        <f>IF(OR(E99="",F99=""),"",IF(E99=F99,"MATCH","MISMATCH"))</f>
        <v/>
      </c>
    </row>
    <row r="100">
      <c r="E100">
        <f>IF(A100="","",IF(C100="Present","Ready","Not ready"))</f>
        <v/>
      </c>
      <c r="G100">
        <f>IF(OR(E100="",F100=""),"",IF(E100=F100,"MATCH","MISMATCH"))</f>
        <v/>
      </c>
    </row>
    <row r="101">
      <c r="E101">
        <f>IF(A101="","",IF(C101="Present","Ready","Not ready"))</f>
        <v/>
      </c>
      <c r="G101">
        <f>IF(OR(E101="",F101=""),"",IF(E101=F101,"MATCH","MISMATCH"))</f>
        <v/>
      </c>
    </row>
    <row r="102">
      <c r="E102">
        <f>IF(A102="","",IF(C102="Present","Ready","Not ready"))</f>
        <v/>
      </c>
      <c r="G102">
        <f>IF(OR(E102="",F102=""),"",IF(E102=F102,"MATCH","MISMATCH"))</f>
        <v/>
      </c>
    </row>
    <row r="103">
      <c r="E103">
        <f>IF(A103="","",IF(C103="Present","Ready","Not ready"))</f>
        <v/>
      </c>
      <c r="G103">
        <f>IF(OR(E103="",F103=""),"",IF(E103=F103,"MATCH","MISMATCH"))</f>
        <v/>
      </c>
    </row>
    <row r="104">
      <c r="E104">
        <f>IF(A104="","",IF(C104="Present","Ready","Not ready"))</f>
        <v/>
      </c>
      <c r="G104">
        <f>IF(OR(E104="",F104=""),"",IF(E104=F104,"MATCH","MISMATCH"))</f>
        <v/>
      </c>
    </row>
    <row r="105">
      <c r="E105">
        <f>IF(A105="","",IF(C105="Present","Ready","Not ready"))</f>
        <v/>
      </c>
      <c r="G105">
        <f>IF(OR(E105="",F105=""),"",IF(E105=F105,"MATCH","MISMATCH"))</f>
        <v/>
      </c>
    </row>
    <row r="106">
      <c r="E106">
        <f>IF(A106="","",IF(C106="Present","Ready","Not ready"))</f>
        <v/>
      </c>
      <c r="G106">
        <f>IF(OR(E106="",F106=""),"",IF(E106=F106,"MATCH","MISMATCH"))</f>
        <v/>
      </c>
    </row>
    <row r="107">
      <c r="E107">
        <f>IF(A107="","",IF(C107="Present","Ready","Not ready"))</f>
        <v/>
      </c>
      <c r="G107">
        <f>IF(OR(E107="",F107=""),"",IF(E107=F107,"MATCH","MISMATCH"))</f>
        <v/>
      </c>
    </row>
    <row r="108">
      <c r="E108">
        <f>IF(A108="","",IF(C108="Present","Ready","Not ready"))</f>
        <v/>
      </c>
      <c r="G108">
        <f>IF(OR(E108="",F108=""),"",IF(E108=F108,"MATCH","MISMATCH"))</f>
        <v/>
      </c>
    </row>
    <row r="109">
      <c r="E109">
        <f>IF(A109="","",IF(C109="Present","Ready","Not ready"))</f>
        <v/>
      </c>
      <c r="G109">
        <f>IF(OR(E109="",F109=""),"",IF(E109=F109,"MATCH","MISMATCH"))</f>
        <v/>
      </c>
    </row>
    <row r="110">
      <c r="E110">
        <f>IF(A110="","",IF(C110="Present","Ready","Not ready"))</f>
        <v/>
      </c>
      <c r="G110">
        <f>IF(OR(E110="",F110=""),"",IF(E110=F110,"MATCH","MISMATCH"))</f>
        <v/>
      </c>
    </row>
    <row r="111">
      <c r="E111">
        <f>IF(A111="","",IF(C111="Present","Ready","Not ready"))</f>
        <v/>
      </c>
      <c r="G111">
        <f>IF(OR(E111="",F111=""),"",IF(E111=F111,"MATCH","MISMATCH"))</f>
        <v/>
      </c>
    </row>
    <row r="112">
      <c r="E112">
        <f>IF(A112="","",IF(C112="Present","Ready","Not ready"))</f>
        <v/>
      </c>
      <c r="G112">
        <f>IF(OR(E112="",F112=""),"",IF(E112=F112,"MATCH","MISMATCH"))</f>
        <v/>
      </c>
    </row>
    <row r="113">
      <c r="E113">
        <f>IF(A113="","",IF(C113="Present","Ready","Not ready"))</f>
        <v/>
      </c>
      <c r="G113">
        <f>IF(OR(E113="",F113=""),"",IF(E113=F113,"MATCH","MISMATCH"))</f>
        <v/>
      </c>
    </row>
    <row r="114">
      <c r="E114">
        <f>IF(A114="","",IF(C114="Present","Ready","Not ready"))</f>
        <v/>
      </c>
      <c r="G114">
        <f>IF(OR(E114="",F114=""),"",IF(E114=F114,"MATCH","MISMATCH"))</f>
        <v/>
      </c>
    </row>
    <row r="115">
      <c r="E115">
        <f>IF(A115="","",IF(C115="Present","Ready","Not ready"))</f>
        <v/>
      </c>
      <c r="G115">
        <f>IF(OR(E115="",F115=""),"",IF(E115=F115,"MATCH","MISMATCH"))</f>
        <v/>
      </c>
    </row>
    <row r="116">
      <c r="E116">
        <f>IF(A116="","",IF(C116="Present","Ready","Not ready"))</f>
        <v/>
      </c>
      <c r="G116">
        <f>IF(OR(E116="",F116=""),"",IF(E116=F116,"MATCH","MISMATCH"))</f>
        <v/>
      </c>
    </row>
    <row r="117">
      <c r="E117">
        <f>IF(A117="","",IF(C117="Present","Ready","Not ready"))</f>
        <v/>
      </c>
      <c r="G117">
        <f>IF(OR(E117="",F117=""),"",IF(E117=F117,"MATCH","MISMATCH"))</f>
        <v/>
      </c>
    </row>
    <row r="118">
      <c r="E118">
        <f>IF(A118="","",IF(C118="Present","Ready","Not ready"))</f>
        <v/>
      </c>
      <c r="G118">
        <f>IF(OR(E118="",F118=""),"",IF(E118=F118,"MATCH","MISMATCH"))</f>
        <v/>
      </c>
    </row>
    <row r="119">
      <c r="E119">
        <f>IF(A119="","",IF(C119="Present","Ready","Not ready"))</f>
        <v/>
      </c>
      <c r="G119">
        <f>IF(OR(E119="",F119=""),"",IF(E119=F119,"MATCH","MISMATCH"))</f>
        <v/>
      </c>
    </row>
    <row r="120">
      <c r="E120">
        <f>IF(A120="","",IF(C120="Present","Ready","Not ready"))</f>
        <v/>
      </c>
      <c r="G120">
        <f>IF(OR(E120="",F120=""),"",IF(E120=F120,"MATCH","MISMATCH"))</f>
        <v/>
      </c>
    </row>
    <row r="121">
      <c r="E121">
        <f>IF(A121="","",IF(C121="Present","Ready","Not ready"))</f>
        <v/>
      </c>
      <c r="G121">
        <f>IF(OR(E121="",F121=""),"",IF(E121=F121,"MATCH","MISMATCH"))</f>
        <v/>
      </c>
    </row>
    <row r="122">
      <c r="E122">
        <f>IF(A122="","",IF(C122="Present","Ready","Not ready"))</f>
        <v/>
      </c>
      <c r="G122">
        <f>IF(OR(E122="",F122=""),"",IF(E122=F122,"MATCH","MISMATCH"))</f>
        <v/>
      </c>
    </row>
    <row r="123">
      <c r="E123">
        <f>IF(A123="","",IF(C123="Present","Ready","Not ready"))</f>
        <v/>
      </c>
      <c r="G123">
        <f>IF(OR(E123="",F123=""),"",IF(E123=F123,"MATCH","MISMATCH"))</f>
        <v/>
      </c>
    </row>
    <row r="124">
      <c r="E124">
        <f>IF(A124="","",IF(C124="Present","Ready","Not ready"))</f>
        <v/>
      </c>
      <c r="G124">
        <f>IF(OR(E124="",F124=""),"",IF(E124=F124,"MATCH","MISMATCH"))</f>
        <v/>
      </c>
    </row>
    <row r="125">
      <c r="E125">
        <f>IF(A125="","",IF(C125="Present","Ready","Not ready"))</f>
        <v/>
      </c>
      <c r="G125">
        <f>IF(OR(E125="",F125=""),"",IF(E125=F125,"MATCH","MISMATCH"))</f>
        <v/>
      </c>
    </row>
    <row r="126">
      <c r="E126">
        <f>IF(A126="","",IF(C126="Present","Ready","Not ready"))</f>
        <v/>
      </c>
      <c r="G126">
        <f>IF(OR(E126="",F126=""),"",IF(E126=F126,"MATCH","MISMATCH"))</f>
        <v/>
      </c>
    </row>
    <row r="127">
      <c r="E127">
        <f>IF(A127="","",IF(C127="Present","Ready","Not ready"))</f>
        <v/>
      </c>
      <c r="G127">
        <f>IF(OR(E127="",F127=""),"",IF(E127=F127,"MATCH","MISMATCH"))</f>
        <v/>
      </c>
    </row>
    <row r="128">
      <c r="E128">
        <f>IF(A128="","",IF(C128="Present","Ready","Not ready"))</f>
        <v/>
      </c>
      <c r="G128">
        <f>IF(OR(E128="",F128=""),"",IF(E128=F128,"MATCH","MISMATCH"))</f>
        <v/>
      </c>
    </row>
    <row r="129">
      <c r="E129">
        <f>IF(A129="","",IF(C129="Present","Ready","Not ready"))</f>
        <v/>
      </c>
      <c r="G129">
        <f>IF(OR(E129="",F129=""),"",IF(E129=F129,"MATCH","MISMATCH"))</f>
        <v/>
      </c>
    </row>
    <row r="130">
      <c r="E130">
        <f>IF(A130="","",IF(C130="Present","Ready","Not ready"))</f>
        <v/>
      </c>
      <c r="G130">
        <f>IF(OR(E130="",F130=""),"",IF(E130=F130,"MATCH","MISMATCH"))</f>
        <v/>
      </c>
    </row>
    <row r="131">
      <c r="E131">
        <f>IF(A131="","",IF(C131="Present","Ready","Not ready"))</f>
        <v/>
      </c>
      <c r="G131">
        <f>IF(OR(E131="",F131=""),"",IF(E131=F131,"MATCH","MISMATCH"))</f>
        <v/>
      </c>
    </row>
    <row r="132">
      <c r="E132">
        <f>IF(A132="","",IF(C132="Present","Ready","Not ready"))</f>
        <v/>
      </c>
      <c r="G132">
        <f>IF(OR(E132="",F132=""),"",IF(E132=F132,"MATCH","MISMATCH"))</f>
        <v/>
      </c>
    </row>
    <row r="133">
      <c r="E133">
        <f>IF(A133="","",IF(C133="Present","Ready","Not ready"))</f>
        <v/>
      </c>
      <c r="G133">
        <f>IF(OR(E133="",F133=""),"",IF(E133=F133,"MATCH","MISMATCH"))</f>
        <v/>
      </c>
    </row>
    <row r="134">
      <c r="E134">
        <f>IF(A134="","",IF(C134="Present","Ready","Not ready"))</f>
        <v/>
      </c>
      <c r="G134">
        <f>IF(OR(E134="",F134=""),"",IF(E134=F134,"MATCH","MISMATCH"))</f>
        <v/>
      </c>
    </row>
    <row r="135">
      <c r="E135">
        <f>IF(A135="","",IF(C135="Present","Ready","Not ready"))</f>
        <v/>
      </c>
      <c r="G135">
        <f>IF(OR(E135="",F135=""),"",IF(E135=F135,"MATCH","MISMATCH"))</f>
        <v/>
      </c>
    </row>
    <row r="136">
      <c r="E136">
        <f>IF(A136="","",IF(C136="Present","Ready","Not ready"))</f>
        <v/>
      </c>
      <c r="G136">
        <f>IF(OR(E136="",F136=""),"",IF(E136=F136,"MATCH","MISMATCH"))</f>
        <v/>
      </c>
    </row>
    <row r="137">
      <c r="E137">
        <f>IF(A137="","",IF(C137="Present","Ready","Not ready"))</f>
        <v/>
      </c>
      <c r="G137">
        <f>IF(OR(E137="",F137=""),"",IF(E137=F137,"MATCH","MISMATCH"))</f>
        <v/>
      </c>
    </row>
    <row r="138">
      <c r="E138">
        <f>IF(A138="","",IF(C138="Present","Ready","Not ready"))</f>
        <v/>
      </c>
      <c r="G138">
        <f>IF(OR(E138="",F138=""),"",IF(E138=F138,"MATCH","MISMATCH"))</f>
        <v/>
      </c>
    </row>
    <row r="139">
      <c r="E139">
        <f>IF(A139="","",IF(C139="Present","Ready","Not ready"))</f>
        <v/>
      </c>
      <c r="G139">
        <f>IF(OR(E139="",F139=""),"",IF(E139=F139,"MATCH","MISMATCH"))</f>
        <v/>
      </c>
    </row>
    <row r="140">
      <c r="E140">
        <f>IF(A140="","",IF(C140="Present","Ready","Not ready"))</f>
        <v/>
      </c>
      <c r="G140">
        <f>IF(OR(E140="",F140=""),"",IF(E140=F140,"MATCH","MISMATCH"))</f>
        <v/>
      </c>
    </row>
    <row r="141">
      <c r="E141">
        <f>IF(A141="","",IF(C141="Present","Ready","Not ready"))</f>
        <v/>
      </c>
      <c r="G141">
        <f>IF(OR(E141="",F141=""),"",IF(E141=F141,"MATCH","MISMATCH"))</f>
        <v/>
      </c>
    </row>
    <row r="142">
      <c r="E142">
        <f>IF(A142="","",IF(C142="Present","Ready","Not ready"))</f>
        <v/>
      </c>
      <c r="G142">
        <f>IF(OR(E142="",F142=""),"",IF(E142=F142,"MATCH","MISMATCH"))</f>
        <v/>
      </c>
    </row>
    <row r="143">
      <c r="E143">
        <f>IF(A143="","",IF(C143="Present","Ready","Not ready"))</f>
        <v/>
      </c>
      <c r="G143">
        <f>IF(OR(E143="",F143=""),"",IF(E143=F143,"MATCH","MISMATCH"))</f>
        <v/>
      </c>
    </row>
    <row r="144">
      <c r="E144">
        <f>IF(A144="","",IF(C144="Present","Ready","Not ready"))</f>
        <v/>
      </c>
      <c r="G144">
        <f>IF(OR(E144="",F144=""),"",IF(E144=F144,"MATCH","MISMATCH"))</f>
        <v/>
      </c>
    </row>
    <row r="145">
      <c r="E145">
        <f>IF(A145="","",IF(C145="Present","Ready","Not ready"))</f>
        <v/>
      </c>
      <c r="G145">
        <f>IF(OR(E145="",F145=""),"",IF(E145=F145,"MATCH","MISMATCH"))</f>
        <v/>
      </c>
    </row>
    <row r="146">
      <c r="E146">
        <f>IF(A146="","",IF(C146="Present","Ready","Not ready"))</f>
        <v/>
      </c>
      <c r="G146">
        <f>IF(OR(E146="",F146=""),"",IF(E146=F146,"MATCH","MISMATCH"))</f>
        <v/>
      </c>
    </row>
    <row r="147">
      <c r="E147">
        <f>IF(A147="","",IF(C147="Present","Ready","Not ready"))</f>
        <v/>
      </c>
      <c r="G147">
        <f>IF(OR(E147="",F147=""),"",IF(E147=F147,"MATCH","MISMATCH"))</f>
        <v/>
      </c>
    </row>
    <row r="148">
      <c r="E148">
        <f>IF(A148="","",IF(C148="Present","Ready","Not ready"))</f>
        <v/>
      </c>
      <c r="G148">
        <f>IF(OR(E148="",F148=""),"",IF(E148=F148,"MATCH","MISMATCH"))</f>
        <v/>
      </c>
    </row>
    <row r="149">
      <c r="E149">
        <f>IF(A149="","",IF(C149="Present","Ready","Not ready"))</f>
        <v/>
      </c>
      <c r="G149">
        <f>IF(OR(E149="",F149=""),"",IF(E149=F149,"MATCH","MISMATCH"))</f>
        <v/>
      </c>
    </row>
    <row r="150">
      <c r="E150">
        <f>IF(A150="","",IF(C150="Present","Ready","Not ready"))</f>
        <v/>
      </c>
      <c r="G150">
        <f>IF(OR(E150="",F150=""),"",IF(E150=F150,"MATCH","MISMATCH"))</f>
        <v/>
      </c>
    </row>
    <row r="151">
      <c r="E151">
        <f>IF(A151="","",IF(C151="Present","Ready","Not ready"))</f>
        <v/>
      </c>
      <c r="G151">
        <f>IF(OR(E151="",F151=""),"",IF(E151=F151,"MATCH","MISMATCH"))</f>
        <v/>
      </c>
    </row>
    <row r="152">
      <c r="E152">
        <f>IF(A152="","",IF(C152="Present","Ready","Not ready"))</f>
        <v/>
      </c>
      <c r="G152">
        <f>IF(OR(E152="",F152=""),"",IF(E152=F152,"MATCH","MISMATCH"))</f>
        <v/>
      </c>
    </row>
    <row r="153">
      <c r="E153">
        <f>IF(A153="","",IF(C153="Present","Ready","Not ready"))</f>
        <v/>
      </c>
      <c r="G153">
        <f>IF(OR(E153="",F153=""),"",IF(E153=F153,"MATCH","MISMATCH"))</f>
        <v/>
      </c>
    </row>
    <row r="154">
      <c r="E154">
        <f>IF(A154="","",IF(C154="Present","Ready","Not ready"))</f>
        <v/>
      </c>
      <c r="G154">
        <f>IF(OR(E154="",F154=""),"",IF(E154=F154,"MATCH","MISMATCH"))</f>
        <v/>
      </c>
    </row>
    <row r="155">
      <c r="E155">
        <f>IF(A155="","",IF(C155="Present","Ready","Not ready"))</f>
        <v/>
      </c>
      <c r="G155">
        <f>IF(OR(E155="",F155=""),"",IF(E155=F155,"MATCH","MISMATCH"))</f>
        <v/>
      </c>
    </row>
    <row r="156">
      <c r="E156">
        <f>IF(A156="","",IF(C156="Present","Ready","Not ready"))</f>
        <v/>
      </c>
      <c r="G156">
        <f>IF(OR(E156="",F156=""),"",IF(E156=F156,"MATCH","MISMATCH"))</f>
        <v/>
      </c>
    </row>
    <row r="157">
      <c r="E157">
        <f>IF(A157="","",IF(C157="Present","Ready","Not ready"))</f>
        <v/>
      </c>
      <c r="G157">
        <f>IF(OR(E157="",F157=""),"",IF(E157=F157,"MATCH","MISMATCH"))</f>
        <v/>
      </c>
    </row>
    <row r="158">
      <c r="E158">
        <f>IF(A158="","",IF(C158="Present","Ready","Not ready"))</f>
        <v/>
      </c>
      <c r="G158">
        <f>IF(OR(E158="",F158=""),"",IF(E158=F158,"MATCH","MISMATCH"))</f>
        <v/>
      </c>
    </row>
    <row r="159">
      <c r="E159">
        <f>IF(A159="","",IF(C159="Present","Ready","Not ready"))</f>
        <v/>
      </c>
      <c r="G159">
        <f>IF(OR(E159="",F159=""),"",IF(E159=F159,"MATCH","MISMATCH"))</f>
        <v/>
      </c>
    </row>
    <row r="160">
      <c r="E160">
        <f>IF(A160="","",IF(C160="Present","Ready","Not ready"))</f>
        <v/>
      </c>
      <c r="G160">
        <f>IF(OR(E160="",F160=""),"",IF(E160=F160,"MATCH","MISMATCH"))</f>
        <v/>
      </c>
    </row>
    <row r="161">
      <c r="E161">
        <f>IF(A161="","",IF(C161="Present","Ready","Not ready"))</f>
        <v/>
      </c>
      <c r="G161">
        <f>IF(OR(E161="",F161=""),"",IF(E161=F161,"MATCH","MISMATCH"))</f>
        <v/>
      </c>
    </row>
    <row r="162">
      <c r="E162">
        <f>IF(A162="","",IF(C162="Present","Ready","Not ready"))</f>
        <v/>
      </c>
      <c r="G162">
        <f>IF(OR(E162="",F162=""),"",IF(E162=F162,"MATCH","MISMATCH"))</f>
        <v/>
      </c>
    </row>
    <row r="163">
      <c r="E163">
        <f>IF(A163="","",IF(C163="Present","Ready","Not ready"))</f>
        <v/>
      </c>
      <c r="G163">
        <f>IF(OR(E163="",F163=""),"",IF(E163=F163,"MATCH","MISMATCH"))</f>
        <v/>
      </c>
    </row>
    <row r="164">
      <c r="E164">
        <f>IF(A164="","",IF(C164="Present","Ready","Not ready"))</f>
        <v/>
      </c>
      <c r="G164">
        <f>IF(OR(E164="",F164=""),"",IF(E164=F164,"MATCH","MISMATCH"))</f>
        <v/>
      </c>
    </row>
    <row r="165">
      <c r="E165">
        <f>IF(A165="","",IF(C165="Present","Ready","Not ready"))</f>
        <v/>
      </c>
      <c r="G165">
        <f>IF(OR(E165="",F165=""),"",IF(E165=F165,"MATCH","MISMATCH"))</f>
        <v/>
      </c>
    </row>
    <row r="166">
      <c r="E166">
        <f>IF(A166="","",IF(C166="Present","Ready","Not ready"))</f>
        <v/>
      </c>
      <c r="G166">
        <f>IF(OR(E166="",F166=""),"",IF(E166=F166,"MATCH","MISMATCH"))</f>
        <v/>
      </c>
    </row>
    <row r="167">
      <c r="E167">
        <f>IF(A167="","",IF(C167="Present","Ready","Not ready"))</f>
        <v/>
      </c>
      <c r="G167">
        <f>IF(OR(E167="",F167=""),"",IF(E167=F167,"MATCH","MISMATCH"))</f>
        <v/>
      </c>
    </row>
    <row r="168">
      <c r="E168">
        <f>IF(A168="","",IF(C168="Present","Ready","Not ready"))</f>
        <v/>
      </c>
      <c r="G168">
        <f>IF(OR(E168="",F168=""),"",IF(E168=F168,"MATCH","MISMATCH"))</f>
        <v/>
      </c>
    </row>
    <row r="169">
      <c r="E169">
        <f>IF(A169="","",IF(C169="Present","Ready","Not ready"))</f>
        <v/>
      </c>
      <c r="G169">
        <f>IF(OR(E169="",F169=""),"",IF(E169=F169,"MATCH","MISMATCH"))</f>
        <v/>
      </c>
    </row>
    <row r="170">
      <c r="E170">
        <f>IF(A170="","",IF(C170="Present","Ready","Not ready"))</f>
        <v/>
      </c>
      <c r="G170">
        <f>IF(OR(E170="",F170=""),"",IF(E170=F170,"MATCH","MISMATCH"))</f>
        <v/>
      </c>
    </row>
    <row r="171">
      <c r="E171">
        <f>IF(A171="","",IF(C171="Present","Ready","Not ready"))</f>
        <v/>
      </c>
      <c r="G171">
        <f>IF(OR(E171="",F171=""),"",IF(E171=F171,"MATCH","MISMATCH"))</f>
        <v/>
      </c>
    </row>
    <row r="172">
      <c r="E172">
        <f>IF(A172="","",IF(C172="Present","Ready","Not ready"))</f>
        <v/>
      </c>
      <c r="G172">
        <f>IF(OR(E172="",F172=""),"",IF(E172=F172,"MATCH","MISMATCH"))</f>
        <v/>
      </c>
    </row>
    <row r="173">
      <c r="E173">
        <f>IF(A173="","",IF(C173="Present","Ready","Not ready"))</f>
        <v/>
      </c>
      <c r="G173">
        <f>IF(OR(E173="",F173=""),"",IF(E173=F173,"MATCH","MISMATCH"))</f>
        <v/>
      </c>
    </row>
    <row r="174">
      <c r="E174">
        <f>IF(A174="","",IF(C174="Present","Ready","Not ready"))</f>
        <v/>
      </c>
      <c r="G174">
        <f>IF(OR(E174="",F174=""),"",IF(E174=F174,"MATCH","MISMATCH"))</f>
        <v/>
      </c>
    </row>
    <row r="175">
      <c r="E175">
        <f>IF(A175="","",IF(C175="Present","Ready","Not ready"))</f>
        <v/>
      </c>
      <c r="G175">
        <f>IF(OR(E175="",F175=""),"",IF(E175=F175,"MATCH","MISMATCH"))</f>
        <v/>
      </c>
    </row>
    <row r="176">
      <c r="E176">
        <f>IF(A176="","",IF(C176="Present","Ready","Not ready"))</f>
        <v/>
      </c>
      <c r="G176">
        <f>IF(OR(E176="",F176=""),"",IF(E176=F176,"MATCH","MISMATCH"))</f>
        <v/>
      </c>
    </row>
    <row r="177">
      <c r="E177">
        <f>IF(A177="","",IF(C177="Present","Ready","Not ready"))</f>
        <v/>
      </c>
      <c r="G177">
        <f>IF(OR(E177="",F177=""),"",IF(E177=F177,"MATCH","MISMATCH"))</f>
        <v/>
      </c>
    </row>
    <row r="178">
      <c r="E178">
        <f>IF(A178="","",IF(C178="Present","Ready","Not ready"))</f>
        <v/>
      </c>
      <c r="G178">
        <f>IF(OR(E178="",F178=""),"",IF(E178=F178,"MATCH","MISMATCH"))</f>
        <v/>
      </c>
    </row>
    <row r="179">
      <c r="E179">
        <f>IF(A179="","",IF(C179="Present","Ready","Not ready"))</f>
        <v/>
      </c>
      <c r="G179">
        <f>IF(OR(E179="",F179=""),"",IF(E179=F179,"MATCH","MISMATCH"))</f>
        <v/>
      </c>
    </row>
    <row r="180">
      <c r="E180">
        <f>IF(A180="","",IF(C180="Present","Ready","Not ready"))</f>
        <v/>
      </c>
      <c r="G180">
        <f>IF(OR(E180="",F180=""),"",IF(E180=F180,"MATCH","MISMATCH"))</f>
        <v/>
      </c>
    </row>
    <row r="181">
      <c r="E181">
        <f>IF(A181="","",IF(C181="Present","Ready","Not ready"))</f>
        <v/>
      </c>
      <c r="G181">
        <f>IF(OR(E181="",F181=""),"",IF(E181=F181,"MATCH","MISMATCH"))</f>
        <v/>
      </c>
    </row>
    <row r="182">
      <c r="E182">
        <f>IF(A182="","",IF(C182="Present","Ready","Not ready"))</f>
        <v/>
      </c>
      <c r="G182">
        <f>IF(OR(E182="",F182=""),"",IF(E182=F182,"MATCH","MISMATCH"))</f>
        <v/>
      </c>
    </row>
    <row r="183">
      <c r="E183">
        <f>IF(A183="","",IF(C183="Present","Ready","Not ready"))</f>
        <v/>
      </c>
      <c r="G183">
        <f>IF(OR(E183="",F183=""),"",IF(E183=F183,"MATCH","MISMATCH"))</f>
        <v/>
      </c>
    </row>
    <row r="184">
      <c r="E184">
        <f>IF(A184="","",IF(C184="Present","Ready","Not ready"))</f>
        <v/>
      </c>
      <c r="G184">
        <f>IF(OR(E184="",F184=""),"",IF(E184=F184,"MATCH","MISMATCH"))</f>
        <v/>
      </c>
    </row>
    <row r="185">
      <c r="E185">
        <f>IF(A185="","",IF(C185="Present","Ready","Not ready"))</f>
        <v/>
      </c>
      <c r="G185">
        <f>IF(OR(E185="",F185=""),"",IF(E185=F185,"MATCH","MISMATCH"))</f>
        <v/>
      </c>
    </row>
    <row r="186">
      <c r="E186">
        <f>IF(A186="","",IF(C186="Present","Ready","Not ready"))</f>
        <v/>
      </c>
      <c r="G186">
        <f>IF(OR(E186="",F186=""),"",IF(E186=F186,"MATCH","MISMATCH"))</f>
        <v/>
      </c>
    </row>
    <row r="187">
      <c r="E187">
        <f>IF(A187="","",IF(C187="Present","Ready","Not ready"))</f>
        <v/>
      </c>
      <c r="G187">
        <f>IF(OR(E187="",F187=""),"",IF(E187=F187,"MATCH","MISMATCH"))</f>
        <v/>
      </c>
    </row>
    <row r="188">
      <c r="E188">
        <f>IF(A188="","",IF(C188="Present","Ready","Not ready"))</f>
        <v/>
      </c>
      <c r="G188">
        <f>IF(OR(E188="",F188=""),"",IF(E188=F188,"MATCH","MISMATCH"))</f>
        <v/>
      </c>
    </row>
    <row r="189">
      <c r="E189">
        <f>IF(A189="","",IF(C189="Present","Ready","Not ready"))</f>
        <v/>
      </c>
      <c r="G189">
        <f>IF(OR(E189="",F189=""),"",IF(E189=F189,"MATCH","MISMATCH"))</f>
        <v/>
      </c>
    </row>
    <row r="190">
      <c r="E190">
        <f>IF(A190="","",IF(C190="Present","Ready","Not ready"))</f>
        <v/>
      </c>
      <c r="G190">
        <f>IF(OR(E190="",F190=""),"",IF(E190=F190,"MATCH","MISMATCH"))</f>
        <v/>
      </c>
    </row>
    <row r="191">
      <c r="E191">
        <f>IF(A191="","",IF(C191="Present","Ready","Not ready"))</f>
        <v/>
      </c>
      <c r="G191">
        <f>IF(OR(E191="",F191=""),"",IF(E191=F191,"MATCH","MISMATCH"))</f>
        <v/>
      </c>
    </row>
    <row r="192">
      <c r="E192">
        <f>IF(A192="","",IF(C192="Present","Ready","Not ready"))</f>
        <v/>
      </c>
      <c r="G192">
        <f>IF(OR(E192="",F192=""),"",IF(E192=F192,"MATCH","MISMATCH"))</f>
        <v/>
      </c>
    </row>
    <row r="193">
      <c r="E193">
        <f>IF(A193="","",IF(C193="Present","Ready","Not ready"))</f>
        <v/>
      </c>
      <c r="G193">
        <f>IF(OR(E193="",F193=""),"",IF(E193=F193,"MATCH","MISMATCH"))</f>
        <v/>
      </c>
    </row>
    <row r="194">
      <c r="E194">
        <f>IF(A194="","",IF(C194="Present","Ready","Not ready"))</f>
        <v/>
      </c>
      <c r="G194">
        <f>IF(OR(E194="",F194=""),"",IF(E194=F194,"MATCH","MISMATCH"))</f>
        <v/>
      </c>
    </row>
    <row r="195">
      <c r="E195">
        <f>IF(A195="","",IF(C195="Present","Ready","Not ready"))</f>
        <v/>
      </c>
      <c r="G195">
        <f>IF(OR(E195="",F195=""),"",IF(E195=F195,"MATCH","MISMATCH"))</f>
        <v/>
      </c>
    </row>
    <row r="196">
      <c r="E196">
        <f>IF(A196="","",IF(C196="Present","Ready","Not ready"))</f>
        <v/>
      </c>
      <c r="G196">
        <f>IF(OR(E196="",F196=""),"",IF(E196=F196,"MATCH","MISMATCH"))</f>
        <v/>
      </c>
    </row>
    <row r="197">
      <c r="E197">
        <f>IF(A197="","",IF(C197="Present","Ready","Not ready"))</f>
        <v/>
      </c>
      <c r="G197">
        <f>IF(OR(E197="",F197=""),"",IF(E197=F197,"MATCH","MISMATCH"))</f>
        <v/>
      </c>
    </row>
    <row r="198">
      <c r="E198">
        <f>IF(A198="","",IF(C198="Present","Ready","Not ready"))</f>
        <v/>
      </c>
      <c r="G198">
        <f>IF(OR(E198="",F198=""),"",IF(E198=F198,"MATCH","MISMATCH"))</f>
        <v/>
      </c>
    </row>
    <row r="199">
      <c r="E199">
        <f>IF(A199="","",IF(C199="Present","Ready","Not ready"))</f>
        <v/>
      </c>
      <c r="G199">
        <f>IF(OR(E199="",F199=""),"",IF(E199=F199,"MATCH","MISMATCH"))</f>
        <v/>
      </c>
    </row>
    <row r="200">
      <c r="E200">
        <f>IF(A200="","",IF(C200="Present","Ready","Not ready"))</f>
        <v/>
      </c>
      <c r="G200">
        <f>IF(OR(E200="",F200=""),"",IF(E200=F200,"MATCH","MISMATCH"))</f>
        <v/>
      </c>
    </row>
    <row r="201">
      <c r="E201">
        <f>IF(A201="","",IF(C201="Present","Ready","Not ready"))</f>
        <v/>
      </c>
      <c r="G201">
        <f>IF(OR(E201="",F201=""),"",IF(E201=F201,"MATCH","MISMATCH"))</f>
        <v/>
      </c>
    </row>
    <row r="202">
      <c r="E202">
        <f>IF(A202="","",IF(C202="Present","Ready","Not ready"))</f>
        <v/>
      </c>
      <c r="G202">
        <f>IF(OR(E202="",F202=""),"",IF(E202=F202,"MATCH","MISMATCH"))</f>
        <v/>
      </c>
    </row>
    <row r="203">
      <c r="E203">
        <f>IF(A203="","",IF(C203="Present","Ready","Not ready"))</f>
        <v/>
      </c>
      <c r="G203">
        <f>IF(OR(E203="",F203=""),"",IF(E203=F203,"MATCH","MISMATCH"))</f>
        <v/>
      </c>
    </row>
    <row r="204">
      <c r="E204">
        <f>IF(A204="","",IF(C204="Present","Ready","Not ready"))</f>
        <v/>
      </c>
      <c r="G204">
        <f>IF(OR(E204="",F204=""),"",IF(E204=F204,"MATCH","MISMATCH"))</f>
        <v/>
      </c>
    </row>
    <row r="205">
      <c r="E205">
        <f>IF(A205="","",IF(C205="Present","Ready","Not ready"))</f>
        <v/>
      </c>
      <c r="G205">
        <f>IF(OR(E205="",F205=""),"",IF(E205=F205,"MATCH","MISMATCH"))</f>
        <v/>
      </c>
    </row>
    <row r="206">
      <c r="E206">
        <f>IF(A206="","",IF(C206="Present","Ready","Not ready"))</f>
        <v/>
      </c>
      <c r="G206">
        <f>IF(OR(E206="",F206=""),"",IF(E206=F206,"MATCH","MISMATCH"))</f>
        <v/>
      </c>
    </row>
    <row r="207">
      <c r="E207">
        <f>IF(A207="","",IF(C207="Present","Ready","Not ready"))</f>
        <v/>
      </c>
      <c r="G207">
        <f>IF(OR(E207="",F207=""),"",IF(E207=F207,"MATCH","MISMATCH"))</f>
        <v/>
      </c>
    </row>
    <row r="208">
      <c r="E208">
        <f>IF(A208="","",IF(C208="Present","Ready","Not ready"))</f>
        <v/>
      </c>
      <c r="G208">
        <f>IF(OR(E208="",F208=""),"",IF(E208=F208,"MATCH","MISMATCH"))</f>
        <v/>
      </c>
    </row>
    <row r="209">
      <c r="E209">
        <f>IF(A209="","",IF(C209="Present","Ready","Not ready"))</f>
        <v/>
      </c>
      <c r="G209">
        <f>IF(OR(E209="",F209=""),"",IF(E209=F209,"MATCH","MISMATCH"))</f>
        <v/>
      </c>
    </row>
    <row r="210">
      <c r="E210">
        <f>IF(A210="","",IF(C210="Present","Ready","Not ready"))</f>
        <v/>
      </c>
      <c r="G210">
        <f>IF(OR(E210="",F210=""),"",IF(E210=F210,"MATCH","MISMATCH"))</f>
        <v/>
      </c>
    </row>
    <row r="211">
      <c r="E211">
        <f>IF(A211="","",IF(C211="Present","Ready","Not ready"))</f>
        <v/>
      </c>
      <c r="G211">
        <f>IF(OR(E211="",F211=""),"",IF(E211=F211,"MATCH","MISMATCH"))</f>
        <v/>
      </c>
    </row>
    <row r="212">
      <c r="E212">
        <f>IF(A212="","",IF(C212="Present","Ready","Not ready"))</f>
        <v/>
      </c>
      <c r="G212">
        <f>IF(OR(E212="",F212=""),"",IF(E212=F212,"MATCH","MISMATCH"))</f>
        <v/>
      </c>
    </row>
    <row r="213">
      <c r="E213">
        <f>IF(A213="","",IF(C213="Present","Ready","Not ready"))</f>
        <v/>
      </c>
      <c r="G213">
        <f>IF(OR(E213="",F213=""),"",IF(E213=F213,"MATCH","MISMATCH"))</f>
        <v/>
      </c>
    </row>
    <row r="214">
      <c r="E214">
        <f>IF(A214="","",IF(C214="Present","Ready","Not ready"))</f>
        <v/>
      </c>
      <c r="G214">
        <f>IF(OR(E214="",F214=""),"",IF(E214=F214,"MATCH","MISMATCH"))</f>
        <v/>
      </c>
    </row>
    <row r="215">
      <c r="E215">
        <f>IF(A215="","",IF(C215="Present","Ready","Not ready"))</f>
        <v/>
      </c>
      <c r="G215">
        <f>IF(OR(E215="",F215=""),"",IF(E215=F215,"MATCH","MISMATCH"))</f>
        <v/>
      </c>
    </row>
    <row r="216">
      <c r="E216">
        <f>IF(A216="","",IF(C216="Present","Ready","Not ready"))</f>
        <v/>
      </c>
      <c r="G216">
        <f>IF(OR(E216="",F216=""),"",IF(E216=F216,"MATCH","MISMATCH"))</f>
        <v/>
      </c>
    </row>
    <row r="217">
      <c r="E217">
        <f>IF(A217="","",IF(C217="Present","Ready","Not ready"))</f>
        <v/>
      </c>
      <c r="G217">
        <f>IF(OR(E217="",F217=""),"",IF(E217=F217,"MATCH","MISMATCH"))</f>
        <v/>
      </c>
    </row>
    <row r="218">
      <c r="E218">
        <f>IF(A218="","",IF(C218="Present","Ready","Not ready"))</f>
        <v/>
      </c>
      <c r="G218">
        <f>IF(OR(E218="",F218=""),"",IF(E218=F218,"MATCH","MISMATCH"))</f>
        <v/>
      </c>
    </row>
    <row r="219">
      <c r="E219">
        <f>IF(A219="","",IF(C219="Present","Ready","Not ready"))</f>
        <v/>
      </c>
      <c r="G219">
        <f>IF(OR(E219="",F219=""),"",IF(E219=F219,"MATCH","MISMATCH"))</f>
        <v/>
      </c>
    </row>
    <row r="220">
      <c r="E220">
        <f>IF(A220="","",IF(C220="Present","Ready","Not ready"))</f>
        <v/>
      </c>
      <c r="G220">
        <f>IF(OR(E220="",F220=""),"",IF(E220=F220,"MATCH","MISMATCH"))</f>
        <v/>
      </c>
    </row>
    <row r="221">
      <c r="E221">
        <f>IF(A221="","",IF(C221="Present","Ready","Not ready"))</f>
        <v/>
      </c>
      <c r="G221">
        <f>IF(OR(E221="",F221=""),"",IF(E221=F221,"MATCH","MISMATCH"))</f>
        <v/>
      </c>
    </row>
    <row r="222">
      <c r="E222">
        <f>IF(A222="","",IF(C222="Present","Ready","Not ready"))</f>
        <v/>
      </c>
      <c r="G222">
        <f>IF(OR(E222="",F222=""),"",IF(E222=F222,"MATCH","MISMATCH"))</f>
        <v/>
      </c>
    </row>
    <row r="223">
      <c r="E223">
        <f>IF(A223="","",IF(C223="Present","Ready","Not ready"))</f>
        <v/>
      </c>
      <c r="G223">
        <f>IF(OR(E223="",F223=""),"",IF(E223=F223,"MATCH","MISMATCH"))</f>
        <v/>
      </c>
    </row>
    <row r="224">
      <c r="E224">
        <f>IF(A224="","",IF(C224="Present","Ready","Not ready"))</f>
        <v/>
      </c>
      <c r="G224">
        <f>IF(OR(E224="",F224=""),"",IF(E224=F224,"MATCH","MISMATCH"))</f>
        <v/>
      </c>
    </row>
    <row r="225">
      <c r="E225">
        <f>IF(A225="","",IF(C225="Present","Ready","Not ready"))</f>
        <v/>
      </c>
      <c r="G225">
        <f>IF(OR(E225="",F225=""),"",IF(E225=F225,"MATCH","MISMATCH"))</f>
        <v/>
      </c>
    </row>
    <row r="226">
      <c r="E226">
        <f>IF(A226="","",IF(C226="Present","Ready","Not ready"))</f>
        <v/>
      </c>
      <c r="G226">
        <f>IF(OR(E226="",F226=""),"",IF(E226=F226,"MATCH","MISMATCH"))</f>
        <v/>
      </c>
    </row>
    <row r="227">
      <c r="E227">
        <f>IF(A227="","",IF(C227="Present","Ready","Not ready"))</f>
        <v/>
      </c>
      <c r="G227">
        <f>IF(OR(E227="",F227=""),"",IF(E227=F227,"MATCH","MISMATCH"))</f>
        <v/>
      </c>
    </row>
    <row r="228">
      <c r="E228">
        <f>IF(A228="","",IF(C228="Present","Ready","Not ready"))</f>
        <v/>
      </c>
      <c r="G228">
        <f>IF(OR(E228="",F228=""),"",IF(E228=F228,"MATCH","MISMATCH"))</f>
        <v/>
      </c>
    </row>
    <row r="229">
      <c r="E229">
        <f>IF(A229="","",IF(C229="Present","Ready","Not ready"))</f>
        <v/>
      </c>
      <c r="G229">
        <f>IF(OR(E229="",F229=""),"",IF(E229=F229,"MATCH","MISMATCH"))</f>
        <v/>
      </c>
    </row>
    <row r="230">
      <c r="E230">
        <f>IF(A230="","",IF(C230="Present","Ready","Not ready"))</f>
        <v/>
      </c>
      <c r="G230">
        <f>IF(OR(E230="",F230=""),"",IF(E230=F230,"MATCH","MISMATCH"))</f>
        <v/>
      </c>
    </row>
    <row r="231">
      <c r="E231">
        <f>IF(A231="","",IF(C231="Present","Ready","Not ready"))</f>
        <v/>
      </c>
      <c r="G231">
        <f>IF(OR(E231="",F231=""),"",IF(E231=F231,"MATCH","MISMATCH"))</f>
        <v/>
      </c>
    </row>
    <row r="232">
      <c r="E232">
        <f>IF(A232="","",IF(C232="Present","Ready","Not ready"))</f>
        <v/>
      </c>
      <c r="G232">
        <f>IF(OR(E232="",F232=""),"",IF(E232=F232,"MATCH","MISMATCH"))</f>
        <v/>
      </c>
    </row>
    <row r="233">
      <c r="E233">
        <f>IF(A233="","",IF(C233="Present","Ready","Not ready"))</f>
        <v/>
      </c>
      <c r="G233">
        <f>IF(OR(E233="",F233=""),"",IF(E233=F233,"MATCH","MISMATCH"))</f>
        <v/>
      </c>
    </row>
    <row r="234">
      <c r="E234">
        <f>IF(A234="","",IF(C234="Present","Ready","Not ready"))</f>
        <v/>
      </c>
      <c r="G234">
        <f>IF(OR(E234="",F234=""),"",IF(E234=F234,"MATCH","MISMATCH"))</f>
        <v/>
      </c>
    </row>
    <row r="235">
      <c r="E235">
        <f>IF(A235="","",IF(C235="Present","Ready","Not ready"))</f>
        <v/>
      </c>
      <c r="G235">
        <f>IF(OR(E235="",F235=""),"",IF(E235=F235,"MATCH","MISMATCH"))</f>
        <v/>
      </c>
    </row>
    <row r="236">
      <c r="E236">
        <f>IF(A236="","",IF(C236="Present","Ready","Not ready"))</f>
        <v/>
      </c>
      <c r="G236">
        <f>IF(OR(E236="",F236=""),"",IF(E236=F236,"MATCH","MISMATCH"))</f>
        <v/>
      </c>
    </row>
    <row r="237">
      <c r="E237">
        <f>IF(A237="","",IF(C237="Present","Ready","Not ready"))</f>
        <v/>
      </c>
      <c r="G237">
        <f>IF(OR(E237="",F237=""),"",IF(E237=F237,"MATCH","MISMATCH"))</f>
        <v/>
      </c>
    </row>
    <row r="238">
      <c r="E238">
        <f>IF(A238="","",IF(C238="Present","Ready","Not ready"))</f>
        <v/>
      </c>
      <c r="G238">
        <f>IF(OR(E238="",F238=""),"",IF(E238=F238,"MATCH","MISMATCH"))</f>
        <v/>
      </c>
    </row>
    <row r="239">
      <c r="E239">
        <f>IF(A239="","",IF(C239="Present","Ready","Not ready"))</f>
        <v/>
      </c>
      <c r="G239">
        <f>IF(OR(E239="",F239=""),"",IF(E239=F239,"MATCH","MISMATCH"))</f>
        <v/>
      </c>
    </row>
    <row r="240">
      <c r="E240">
        <f>IF(A240="","",IF(C240="Present","Ready","Not ready"))</f>
        <v/>
      </c>
      <c r="G240">
        <f>IF(OR(E240="",F240=""),"",IF(E240=F240,"MATCH","MISMATCH"))</f>
        <v/>
      </c>
    </row>
    <row r="241">
      <c r="E241">
        <f>IF(A241="","",IF(C241="Present","Ready","Not ready"))</f>
        <v/>
      </c>
      <c r="G241">
        <f>IF(OR(E241="",F241=""),"",IF(E241=F241,"MATCH","MISMATCH"))</f>
        <v/>
      </c>
    </row>
    <row r="242">
      <c r="E242">
        <f>IF(A242="","",IF(C242="Present","Ready","Not ready"))</f>
        <v/>
      </c>
      <c r="G242">
        <f>IF(OR(E242="",F242=""),"",IF(E242=F242,"MATCH","MISMATCH"))</f>
        <v/>
      </c>
    </row>
    <row r="243">
      <c r="E243">
        <f>IF(A243="","",IF(C243="Present","Ready","Not ready"))</f>
        <v/>
      </c>
      <c r="G243">
        <f>IF(OR(E243="",F243=""),"",IF(E243=F243,"MATCH","MISMATCH"))</f>
        <v/>
      </c>
    </row>
    <row r="244">
      <c r="E244">
        <f>IF(A244="","",IF(C244="Present","Ready","Not ready"))</f>
        <v/>
      </c>
      <c r="G244">
        <f>IF(OR(E244="",F244=""),"",IF(E244=F244,"MATCH","MISMATCH"))</f>
        <v/>
      </c>
    </row>
    <row r="245">
      <c r="E245">
        <f>IF(A245="","",IF(C245="Present","Ready","Not ready"))</f>
        <v/>
      </c>
      <c r="G245">
        <f>IF(OR(E245="",F245=""),"",IF(E245=F245,"MATCH","MISMATCH"))</f>
        <v/>
      </c>
    </row>
    <row r="246">
      <c r="E246">
        <f>IF(A246="","",IF(C246="Present","Ready","Not ready"))</f>
        <v/>
      </c>
      <c r="G246">
        <f>IF(OR(E246="",F246=""),"",IF(E246=F246,"MATCH","MISMATCH"))</f>
        <v/>
      </c>
    </row>
    <row r="247">
      <c r="E247">
        <f>IF(A247="","",IF(C247="Present","Ready","Not ready"))</f>
        <v/>
      </c>
      <c r="G247">
        <f>IF(OR(E247="",F247=""),"",IF(E247=F247,"MATCH","MISMATCH"))</f>
        <v/>
      </c>
    </row>
    <row r="248">
      <c r="E248">
        <f>IF(A248="","",IF(C248="Present","Ready","Not ready"))</f>
        <v/>
      </c>
      <c r="G248">
        <f>IF(OR(E248="",F248=""),"",IF(E248=F248,"MATCH","MISMATCH"))</f>
        <v/>
      </c>
    </row>
    <row r="249">
      <c r="E249">
        <f>IF(A249="","",IF(C249="Present","Ready","Not ready"))</f>
        <v/>
      </c>
      <c r="G249">
        <f>IF(OR(E249="",F249=""),"",IF(E249=F249,"MATCH","MISMATCH"))</f>
        <v/>
      </c>
    </row>
    <row r="250">
      <c r="E250">
        <f>IF(A250="","",IF(C250="Present","Ready","Not ready"))</f>
        <v/>
      </c>
      <c r="G250">
        <f>IF(OR(E250="",F250=""),"",IF(E250=F250,"MATCH","MISMATCH"))</f>
        <v/>
      </c>
    </row>
  </sheetData>
  <mergeCells count="1">
    <mergeCell ref="A1:G1"/>
  </mergeCells>
  <dataValidations count="2">
    <dataValidation sqref="F4:F60" showDropDown="0" showInputMessage="0" showErrorMessage="1" allowBlank="0" errorTitle="Invalid study-readiness status" error="Select an exact controlled value from the Vocabulary sheet." type="list" errorStyle="stop">
      <formula1>INDIRECT("Vocabulary!$AO$5:$AO$7")</formula1>
    </dataValidation>
    <dataValidation sqref="F4:F250" showDropDown="0" showInputMessage="0" showErrorMessage="1" allowBlank="0" errorTitle="Invalid study-readiness status" error="Select an exact controlled value from the Vocabulary sheet." type="list" errorStyle="stop">
      <formula1>INDIRECT("Vocabulary!$AO$5:$AO$7")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50"/>
  <sheetViews>
    <sheetView workbookViewId="0">
      <selection activeCell="A1" sqref="A1"/>
    </sheetView>
  </sheetViews>
  <sheetFormatPr baseColWidth="8" defaultRowHeight="15"/>
  <cols>
    <col width="18" customWidth="1" style="215" min="1" max="1"/>
    <col width="18" customWidth="1" style="215" min="2" max="2"/>
    <col width="20" customWidth="1" style="215" min="3" max="3"/>
    <col width="18" customWidth="1" style="215" min="4" max="4"/>
    <col width="26" customWidth="1" style="215" min="5" max="5"/>
    <col width="18" customWidth="1" style="215" min="6" max="6"/>
    <col width="18" customWidth="1" style="215" min="7" max="7"/>
    <col width="36" customWidth="1" style="215" min="8" max="8"/>
    <col width="24" customWidth="1" style="215" min="9" max="9"/>
    <col width="20" customWidth="1" style="215" min="10" max="10"/>
    <col width="16" customWidth="1" style="215" min="11" max="11"/>
    <col width="24" customWidth="1" style="215" min="12" max="12"/>
    <col width="20" customWidth="1" style="215" min="13" max="13"/>
    <col width="18" customWidth="1" style="215" min="14" max="14"/>
    <col width="18" customWidth="1" style="215" min="15" max="15"/>
    <col width="40" customWidth="1" style="215" min="16" max="16"/>
    <col width="20" customWidth="1" style="215" min="17" max="17"/>
    <col width="20" customWidth="1" style="215" min="18" max="18"/>
    <col width="20" customWidth="1" style="215" min="19" max="19"/>
    <col width="20" customWidth="1" style="215" min="20" max="20"/>
    <col width="18" customWidth="1" style="215" min="21" max="21"/>
    <col width="22" customWidth="1" style="215" min="22" max="22"/>
    <col width="18" customWidth="1" style="215" min="23" max="23"/>
    <col width="24" customWidth="1" style="215" min="24" max="24"/>
    <col width="30" customWidth="1" style="215" min="25" max="25"/>
  </cols>
  <sheetData>
    <row r="1" ht="28" customHeight="1" s="215">
      <c r="A1" s="536" t="inlineStr">
        <is>
          <t>AF v6.2 Perturbation Proposal, Admission, and Replay Register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  <c r="U1" s="442" t="n"/>
      <c r="V1" s="442" t="n"/>
      <c r="W1" s="442" t="n"/>
      <c r="X1" s="442" t="n"/>
      <c r="Y1" s="442" t="n"/>
    </row>
    <row r="2">
      <c r="A2" s="442" t="inlineStr">
        <is>
          <t>A proposal is not self-executing. Only admitted alternatives enter the relation set. Admission requires evidence plus second independent reviewer concurrence or a non-proposing independent adjudicator.</t>
        </is>
      </c>
      <c r="B2" s="442" t="n"/>
      <c r="C2" s="442" t="n"/>
      <c r="D2" s="442" t="n"/>
      <c r="E2" s="442" t="n"/>
      <c r="F2" s="442" t="n"/>
      <c r="G2" s="442" t="n"/>
      <c r="H2" s="442" t="n"/>
      <c r="I2" s="442" t="n"/>
      <c r="J2" s="442" t="n"/>
      <c r="K2" s="442" t="n"/>
      <c r="L2" s="442" t="n"/>
      <c r="M2" s="442" t="n"/>
      <c r="N2" s="442" t="n"/>
      <c r="O2" s="442" t="n"/>
      <c r="P2" s="442" t="n"/>
      <c r="Q2" s="442" t="n"/>
      <c r="R2" s="442" t="n"/>
      <c r="S2" s="442" t="n"/>
      <c r="T2" s="442" t="n"/>
      <c r="U2" s="442" t="n"/>
      <c r="V2" s="442" t="n"/>
      <c r="W2" s="442" t="n"/>
      <c r="X2" s="442" t="n"/>
      <c r="Y2" s="442" t="n"/>
    </row>
    <row r="3"/>
    <row r="4" ht="34" customHeight="1" s="215">
      <c r="A4" s="484" t="inlineStr">
        <is>
          <t>Proposal_ID</t>
        </is>
      </c>
      <c r="B4" s="485" t="inlineStr">
        <is>
          <t>Study_ID</t>
        </is>
      </c>
      <c r="C4" s="485" t="inlineStr">
        <is>
          <t>Comparison_ID</t>
        </is>
      </c>
      <c r="D4" s="485" t="inlineStr">
        <is>
          <t>Candidate_ID</t>
        </is>
      </c>
      <c r="E4" s="485" t="inlineStr">
        <is>
          <t>Dimension</t>
        </is>
      </c>
      <c r="F4" s="485" t="inlineStr">
        <is>
          <t>Recorded_Category</t>
        </is>
      </c>
      <c r="G4" s="485" t="inlineStr">
        <is>
          <t>Proposed_Category</t>
        </is>
      </c>
      <c r="H4" s="485" t="inlineStr">
        <is>
          <t>Anchor_Conflict</t>
        </is>
      </c>
      <c r="I4" s="485" t="inlineStr">
        <is>
          <t>Evidence_Ref</t>
        </is>
      </c>
      <c r="J4" s="485" t="inlineStr">
        <is>
          <t>Material_To_Relation</t>
        </is>
      </c>
      <c r="K4" s="485" t="inlineStr">
        <is>
          <t>Proposer_ID</t>
        </is>
      </c>
      <c r="L4" s="485" t="inlineStr">
        <is>
          <t>Proposed_At_UTC</t>
        </is>
      </c>
      <c r="M4" s="485" t="inlineStr">
        <is>
          <t>Second_Reviewer_ID</t>
        </is>
      </c>
      <c r="N4" s="485" t="inlineStr">
        <is>
          <t>Adjudicator_ID</t>
        </is>
      </c>
      <c r="O4" s="485" t="inlineStr">
        <is>
          <t>Admission_Status</t>
        </is>
      </c>
      <c r="P4" s="485" t="inlineStr">
        <is>
          <t>Admission_Reason</t>
        </is>
      </c>
      <c r="Q4" s="485" t="inlineStr">
        <is>
          <t>Dependence_Group_ID</t>
        </is>
      </c>
      <c r="R4" s="485" t="inlineStr">
        <is>
          <t>Reversal_Capable</t>
        </is>
      </c>
      <c r="S4" s="485" t="inlineStr">
        <is>
          <t>Base_Relation</t>
        </is>
      </c>
      <c r="T4" s="485" t="inlineStr">
        <is>
          <t>Perturbed_Relation</t>
        </is>
      </c>
      <c r="U4" s="485" t="inlineStr">
        <is>
          <t>Relation_Changed</t>
        </is>
      </c>
      <c r="V4" s="485" t="inlineStr">
        <is>
          <t>Appeal_Status</t>
        </is>
      </c>
      <c r="W4" s="485" t="inlineStr">
        <is>
          <t>Final_Record_Status</t>
        </is>
      </c>
      <c r="X4" s="485" t="inlineStr">
        <is>
          <t>Duplicate_or_Strategic_Flag</t>
        </is>
      </c>
      <c r="Y4" s="486" t="inlineStr">
        <is>
          <t>C2_D05_Status</t>
        </is>
      </c>
    </row>
    <row r="5">
      <c r="A5" s="405" t="inlineStr">
        <is>
          <t>P-ILL-001</t>
        </is>
      </c>
      <c r="B5" s="303" t="inlineStr">
        <is>
          <t>AF-P0-ILL</t>
        </is>
      </c>
      <c r="C5" s="303" t="inlineStr">
        <is>
          <t>CMP-ILL-001</t>
        </is>
      </c>
      <c r="D5" s="303" t="inlineStr">
        <is>
          <t>CAND-E</t>
        </is>
      </c>
      <c r="E5" s="303" t="inlineStr">
        <is>
          <t>Audit completeness</t>
        </is>
      </c>
      <c r="F5" s="303" t="n">
        <v>4</v>
      </c>
      <c r="G5" s="303" t="n">
        <v>3</v>
      </c>
      <c r="H5" s="303" t="inlineStr">
        <is>
          <t>Narrower interpretation of replay evidence</t>
        </is>
      </c>
      <c r="I5" s="303" t="inlineStr">
        <is>
          <t>EVID-ILL-101</t>
        </is>
      </c>
      <c r="J5" s="303" t="inlineStr">
        <is>
          <t>Yes</t>
        </is>
      </c>
      <c r="K5" s="303" t="inlineStr">
        <is>
          <t>R-01</t>
        </is>
      </c>
      <c r="L5" s="553" t="inlineStr">
        <is>
          <t>'2026-08-12T08:00:00Z</t>
        </is>
      </c>
      <c r="M5" s="303" t="inlineStr">
        <is>
          <t>R-03</t>
        </is>
      </c>
      <c r="N5" s="303" t="str"/>
      <c r="O5" s="303" t="inlineStr">
        <is>
          <t>Admitted</t>
        </is>
      </c>
      <c r="P5" s="303" t="inlineStr">
        <is>
          <t>Second reviewer confirms anchor tension</t>
        </is>
      </c>
      <c r="Q5" s="303" t="str"/>
      <c r="R5" s="303" t="inlineStr">
        <is>
          <t>No</t>
        </is>
      </c>
      <c r="S5" s="303" t="inlineStr">
        <is>
          <t>A dominates B</t>
        </is>
      </c>
      <c r="T5" s="303" t="inlineStr">
        <is>
          <t>A dominates B</t>
        </is>
      </c>
      <c r="U5" s="303">
        <f>IF(OR(S5="",T5=""),"",IF(S5=T5,"No","Yes"))</f>
        <v/>
      </c>
      <c r="V5" s="303" t="inlineStr">
        <is>
          <t>Not appealed</t>
        </is>
      </c>
      <c r="W5" s="303" t="inlineStr">
        <is>
          <t>Illustrative</t>
        </is>
      </c>
      <c r="X5" s="303" t="inlineStr">
        <is>
          <t>No</t>
        </is>
      </c>
      <c r="Y5" s="406">
        <f>IF(A5="","",IF(AND(O5="Rejected",X5="Yes"),"Potential unsupported-perturbation inflation",IF(AND(O5="Admitted",OR(M5&lt;&gt;"",N5&lt;&gt;"")),"No unsupported-perturbation defect indicated","Admission integrity incomplete")))</f>
        <v/>
      </c>
    </row>
    <row r="6">
      <c r="A6" s="405" t="inlineStr">
        <is>
          <t>P-ILL-002</t>
        </is>
      </c>
      <c r="B6" s="303" t="inlineStr">
        <is>
          <t>AF-P0-ILL</t>
        </is>
      </c>
      <c r="C6" s="303" t="inlineStr">
        <is>
          <t>CMP-ILL-001</t>
        </is>
      </c>
      <c r="D6" s="303" t="inlineStr">
        <is>
          <t>CAND-F</t>
        </is>
      </c>
      <c r="E6" s="303" t="inlineStr">
        <is>
          <t>Ecological adequacy</t>
        </is>
      </c>
      <c r="F6" s="303" t="n">
        <v>3</v>
      </c>
      <c r="G6" s="303" t="n">
        <v>4</v>
      </c>
      <c r="H6" s="303" t="inlineStr">
        <is>
          <t>Additional verified horizon evidence</t>
        </is>
      </c>
      <c r="I6" s="303" t="inlineStr">
        <is>
          <t>EVID-ILL-102</t>
        </is>
      </c>
      <c r="J6" s="303" t="inlineStr">
        <is>
          <t>Yes</t>
        </is>
      </c>
      <c r="K6" s="303" t="inlineStr">
        <is>
          <t>R-02</t>
        </is>
      </c>
      <c r="L6" s="553" t="inlineStr">
        <is>
          <t>'2026-08-12T08:05:00Z</t>
        </is>
      </c>
      <c r="M6" s="303" t="str"/>
      <c r="N6" s="303" t="inlineStr">
        <is>
          <t>ADJ-01</t>
        </is>
      </c>
      <c r="O6" s="303" t="inlineStr">
        <is>
          <t>Admitted</t>
        </is>
      </c>
      <c r="P6" s="303" t="inlineStr">
        <is>
          <t>Independent adjudicator finds proposal evidence-supported</t>
        </is>
      </c>
      <c r="Q6" s="303" t="str"/>
      <c r="R6" s="303" t="inlineStr">
        <is>
          <t>Yes</t>
        </is>
      </c>
      <c r="S6" s="303" t="inlineStr">
        <is>
          <t>A dominates B</t>
        </is>
      </c>
      <c r="T6" s="303" t="inlineStr">
        <is>
          <t>Crossing</t>
        </is>
      </c>
      <c r="U6" s="303">
        <f>IF(OR(S6="",T6=""),"",IF(S6=T6,"No","Yes"))</f>
        <v/>
      </c>
      <c r="V6" s="303" t="inlineStr">
        <is>
          <t>Not appealed</t>
        </is>
      </c>
      <c r="W6" s="303" t="inlineStr">
        <is>
          <t>Illustrative</t>
        </is>
      </c>
      <c r="X6" s="303" t="inlineStr">
        <is>
          <t>No</t>
        </is>
      </c>
      <c r="Y6" s="406">
        <f>IF(A6="","",IF(AND(O6="Rejected",X6="Yes"),"Potential unsupported-perturbation inflation",IF(AND(O6="Admitted",OR(M6&lt;&gt;"",N6&lt;&gt;"")),"No unsupported-perturbation defect indicated","Admission integrity incomplete")))</f>
        <v/>
      </c>
    </row>
    <row r="7">
      <c r="A7" s="405" t="inlineStr">
        <is>
          <t>P-ILL-003</t>
        </is>
      </c>
      <c r="B7" s="303" t="inlineStr">
        <is>
          <t>AF-P0-ILL</t>
        </is>
      </c>
      <c r="C7" s="303" t="inlineStr">
        <is>
          <t>CMP-ILL-001</t>
        </is>
      </c>
      <c r="D7" s="303" t="inlineStr">
        <is>
          <t>CAND-F</t>
        </is>
      </c>
      <c r="E7" s="303" t="inlineStr">
        <is>
          <t>Ecological adequacy</t>
        </is>
      </c>
      <c r="F7" s="303" t="n">
        <v>3</v>
      </c>
      <c r="G7" s="303" t="n">
        <v>4</v>
      </c>
      <c r="H7" s="303" t="inlineStr">
        <is>
          <t>Duplicate of P-ILL-002</t>
        </is>
      </c>
      <c r="I7" s="303" t="inlineStr">
        <is>
          <t>EVID-ILL-102</t>
        </is>
      </c>
      <c r="J7" s="303" t="inlineStr">
        <is>
          <t>Yes</t>
        </is>
      </c>
      <c r="K7" s="303" t="inlineStr">
        <is>
          <t>R-04</t>
        </is>
      </c>
      <c r="L7" s="553" t="inlineStr">
        <is>
          <t>'2026-08-12T08:06:00Z</t>
        </is>
      </c>
      <c r="M7" s="303" t="str"/>
      <c r="N7" s="303" t="inlineStr">
        <is>
          <t>ADJ-01</t>
        </is>
      </c>
      <c r="O7" s="303" t="inlineStr">
        <is>
          <t>Rejected</t>
        </is>
      </c>
      <c r="P7" s="303" t="inlineStr">
        <is>
          <t>Duplicate causal proposal</t>
        </is>
      </c>
      <c r="Q7" s="303" t="inlineStr">
        <is>
          <t>DG-ILL-01</t>
        </is>
      </c>
      <c r="R7" s="303" t="inlineStr">
        <is>
          <t>Yes</t>
        </is>
      </c>
      <c r="S7" s="303" t="inlineStr">
        <is>
          <t>A dominates B</t>
        </is>
      </c>
      <c r="T7" s="303" t="str"/>
      <c r="U7" s="303">
        <f>IF(OR(S7="",T7=""),"",IF(S7=T7,"No","Yes"))</f>
        <v/>
      </c>
      <c r="V7" s="303" t="inlineStr">
        <is>
          <t>Not appealed</t>
        </is>
      </c>
      <c r="W7" s="303" t="inlineStr">
        <is>
          <t>Illustrative</t>
        </is>
      </c>
      <c r="X7" s="303" t="inlineStr">
        <is>
          <t>Yes</t>
        </is>
      </c>
      <c r="Y7" s="406">
        <f>IF(A7="","",IF(AND(O7="Rejected",X7="Yes"),"Potential unsupported-perturbation inflation",IF(AND(O7="Admitted",OR(M7&lt;&gt;"",N7&lt;&gt;"")),"No unsupported-perturbation defect indicated","Admission integrity incomplete")))</f>
        <v/>
      </c>
    </row>
    <row r="8">
      <c r="A8" s="405" t="n"/>
      <c r="B8" s="303" t="n"/>
      <c r="C8" s="303" t="n"/>
      <c r="D8" s="303" t="n"/>
      <c r="E8" s="303" t="n"/>
      <c r="F8" s="303" t="n"/>
      <c r="G8" s="303" t="n"/>
      <c r="H8" s="303" t="n"/>
      <c r="I8" s="303" t="n"/>
      <c r="J8" s="303" t="n"/>
      <c r="K8" s="303" t="n"/>
      <c r="L8" s="554" t="n"/>
      <c r="M8" s="303" t="n"/>
      <c r="N8" s="303" t="n"/>
      <c r="O8" s="303" t="n"/>
      <c r="P8" s="303" t="n"/>
      <c r="Q8" s="303" t="n"/>
      <c r="R8" s="303" t="n"/>
      <c r="S8" s="303" t="n"/>
      <c r="T8" s="303" t="n"/>
      <c r="U8" s="303">
        <f>IF(OR(S8="",T8=""),"",IF(S8=T8,"No","Yes"))</f>
        <v/>
      </c>
      <c r="V8" s="303" t="n"/>
      <c r="W8" s="303" t="n"/>
      <c r="X8" s="303" t="n"/>
      <c r="Y8" s="406">
        <f>IF(A8="","",IF(AND(O8="Rejected",X8="Yes"),"Potential unsupported-perturbation inflation",IF(AND(O8="Admitted",OR(M8&lt;&gt;"",N8&lt;&gt;"")),"No unsupported-perturbation defect indicated","Admission integrity incomplete")))</f>
        <v/>
      </c>
    </row>
    <row r="9">
      <c r="A9" s="405" t="n"/>
      <c r="B9" s="303" t="n"/>
      <c r="C9" s="303" t="n"/>
      <c r="D9" s="303" t="n"/>
      <c r="E9" s="303" t="n"/>
      <c r="F9" s="303" t="n"/>
      <c r="G9" s="303" t="n"/>
      <c r="H9" s="303" t="n"/>
      <c r="I9" s="303" t="n"/>
      <c r="J9" s="303" t="n"/>
      <c r="K9" s="303" t="n"/>
      <c r="L9" s="554" t="n"/>
      <c r="M9" s="303" t="n"/>
      <c r="N9" s="303" t="n"/>
      <c r="O9" s="303" t="n"/>
      <c r="P9" s="303" t="n"/>
      <c r="Q9" s="303" t="n"/>
      <c r="R9" s="303" t="n"/>
      <c r="S9" s="303" t="n"/>
      <c r="T9" s="303" t="n"/>
      <c r="U9" s="303">
        <f>IF(OR(S9="",T9=""),"",IF(S9=T9,"No","Yes"))</f>
        <v/>
      </c>
      <c r="V9" s="303" t="n"/>
      <c r="W9" s="303" t="n"/>
      <c r="X9" s="303" t="n"/>
      <c r="Y9" s="406">
        <f>IF(A9="","",IF(AND(O9="Rejected",X9="Yes"),"Potential unsupported-perturbation inflation",IF(AND(O9="Admitted",OR(M9&lt;&gt;"",N9&lt;&gt;"")),"No unsupported-perturbation defect indicated","Admission integrity incomplete")))</f>
        <v/>
      </c>
    </row>
    <row r="10">
      <c r="A10" s="405" t="n"/>
      <c r="B10" s="303" t="n"/>
      <c r="C10" s="303" t="n"/>
      <c r="D10" s="303" t="n"/>
      <c r="E10" s="303" t="n"/>
      <c r="F10" s="303" t="n"/>
      <c r="G10" s="303" t="n"/>
      <c r="H10" s="303" t="n"/>
      <c r="I10" s="303" t="n"/>
      <c r="J10" s="303" t="n"/>
      <c r="K10" s="303" t="n"/>
      <c r="L10" s="554" t="n"/>
      <c r="M10" s="303" t="n"/>
      <c r="N10" s="303" t="n"/>
      <c r="O10" s="303" t="n"/>
      <c r="P10" s="303" t="n"/>
      <c r="Q10" s="303" t="n"/>
      <c r="R10" s="303" t="n"/>
      <c r="S10" s="303" t="n"/>
      <c r="T10" s="303" t="n"/>
      <c r="U10" s="303">
        <f>IF(OR(S10="",T10=""),"",IF(S10=T10,"No","Yes"))</f>
        <v/>
      </c>
      <c r="V10" s="303" t="n"/>
      <c r="W10" s="303" t="n"/>
      <c r="X10" s="303" t="n"/>
      <c r="Y10" s="406">
        <f>IF(A10="","",IF(AND(O10="Rejected",X10="Yes"),"Potential unsupported-perturbation inflation",IF(AND(O10="Admitted",OR(M10&lt;&gt;"",N10&lt;&gt;"")),"No unsupported-perturbation defect indicated","Admission integrity incomplete")))</f>
        <v/>
      </c>
    </row>
    <row r="11">
      <c r="A11" s="405" t="n"/>
      <c r="B11" s="303" t="n"/>
      <c r="C11" s="303" t="n"/>
      <c r="D11" s="303" t="n"/>
      <c r="E11" s="303" t="n"/>
      <c r="F11" s="303" t="n"/>
      <c r="G11" s="303" t="n"/>
      <c r="H11" s="303" t="n"/>
      <c r="I11" s="303" t="n"/>
      <c r="J11" s="303" t="n"/>
      <c r="K11" s="303" t="n"/>
      <c r="L11" s="554" t="n"/>
      <c r="M11" s="303" t="n"/>
      <c r="N11" s="303" t="n"/>
      <c r="O11" s="303" t="n"/>
      <c r="P11" s="303" t="n"/>
      <c r="Q11" s="303" t="n"/>
      <c r="R11" s="303" t="n"/>
      <c r="S11" s="303" t="n"/>
      <c r="T11" s="303" t="n"/>
      <c r="U11" s="303">
        <f>IF(OR(S11="",T11=""),"",IF(S11=T11,"No","Yes"))</f>
        <v/>
      </c>
      <c r="V11" s="303" t="n"/>
      <c r="W11" s="303" t="n"/>
      <c r="X11" s="303" t="n"/>
      <c r="Y11" s="406">
        <f>IF(A11="","",IF(AND(O11="Rejected",X11="Yes"),"Potential unsupported-perturbation inflation",IF(AND(O11="Admitted",OR(M11&lt;&gt;"",N11&lt;&gt;"")),"No unsupported-perturbation defect indicated","Admission integrity incomplete")))</f>
        <v/>
      </c>
    </row>
    <row r="12">
      <c r="A12" s="405" t="n"/>
      <c r="B12" s="303" t="n"/>
      <c r="C12" s="303" t="n"/>
      <c r="D12" s="303" t="n"/>
      <c r="E12" s="303" t="n"/>
      <c r="F12" s="303" t="n"/>
      <c r="G12" s="303" t="n"/>
      <c r="H12" s="303" t="n"/>
      <c r="I12" s="303" t="n"/>
      <c r="J12" s="303" t="n"/>
      <c r="K12" s="303" t="n"/>
      <c r="L12" s="554" t="n"/>
      <c r="M12" s="303" t="n"/>
      <c r="N12" s="303" t="n"/>
      <c r="O12" s="303" t="n"/>
      <c r="P12" s="303" t="n"/>
      <c r="Q12" s="303" t="n"/>
      <c r="R12" s="303" t="n"/>
      <c r="S12" s="303" t="n"/>
      <c r="T12" s="303" t="n"/>
      <c r="U12" s="303">
        <f>IF(OR(S12="",T12=""),"",IF(S12=T12,"No","Yes"))</f>
        <v/>
      </c>
      <c r="V12" s="303" t="n"/>
      <c r="W12" s="303" t="n"/>
      <c r="X12" s="303" t="n"/>
      <c r="Y12" s="406">
        <f>IF(A12="","",IF(AND(O12="Rejected",X12="Yes"),"Potential unsupported-perturbation inflation",IF(AND(O12="Admitted",OR(M12&lt;&gt;"",N12&lt;&gt;"")),"No unsupported-perturbation defect indicated","Admission integrity incomplete")))</f>
        <v/>
      </c>
    </row>
    <row r="13">
      <c r="A13" s="405" t="n"/>
      <c r="B13" s="303" t="n"/>
      <c r="C13" s="303" t="n"/>
      <c r="D13" s="303" t="n"/>
      <c r="E13" s="303" t="n"/>
      <c r="F13" s="303" t="n"/>
      <c r="G13" s="303" t="n"/>
      <c r="H13" s="303" t="n"/>
      <c r="I13" s="303" t="n"/>
      <c r="J13" s="303" t="n"/>
      <c r="K13" s="303" t="n"/>
      <c r="L13" s="554" t="n"/>
      <c r="M13" s="303" t="n"/>
      <c r="N13" s="303" t="n"/>
      <c r="O13" s="303" t="n"/>
      <c r="P13" s="303" t="n"/>
      <c r="Q13" s="303" t="n"/>
      <c r="R13" s="303" t="n"/>
      <c r="S13" s="303" t="n"/>
      <c r="T13" s="303" t="n"/>
      <c r="U13" s="303">
        <f>IF(OR(S13="",T13=""),"",IF(S13=T13,"No","Yes"))</f>
        <v/>
      </c>
      <c r="V13" s="303" t="n"/>
      <c r="W13" s="303" t="n"/>
      <c r="X13" s="303" t="n"/>
      <c r="Y13" s="406">
        <f>IF(A13="","",IF(AND(O13="Rejected",X13="Yes"),"Potential unsupported-perturbation inflation",IF(AND(O13="Admitted",OR(M13&lt;&gt;"",N13&lt;&gt;"")),"No unsupported-perturbation defect indicated","Admission integrity incomplete")))</f>
        <v/>
      </c>
    </row>
    <row r="14">
      <c r="A14" s="405" t="n"/>
      <c r="B14" s="303" t="n"/>
      <c r="C14" s="303" t="n"/>
      <c r="D14" s="303" t="n"/>
      <c r="E14" s="303" t="n"/>
      <c r="F14" s="303" t="n"/>
      <c r="G14" s="303" t="n"/>
      <c r="H14" s="303" t="n"/>
      <c r="I14" s="303" t="n"/>
      <c r="J14" s="303" t="n"/>
      <c r="K14" s="303" t="n"/>
      <c r="L14" s="554" t="n"/>
      <c r="M14" s="303" t="n"/>
      <c r="N14" s="303" t="n"/>
      <c r="O14" s="303" t="n"/>
      <c r="P14" s="303" t="n"/>
      <c r="Q14" s="303" t="n"/>
      <c r="R14" s="303" t="n"/>
      <c r="S14" s="303" t="n"/>
      <c r="T14" s="303" t="n"/>
      <c r="U14" s="303">
        <f>IF(OR(S14="",T14=""),"",IF(S14=T14,"No","Yes"))</f>
        <v/>
      </c>
      <c r="V14" s="303" t="n"/>
      <c r="W14" s="303" t="n"/>
      <c r="X14" s="303" t="n"/>
      <c r="Y14" s="406">
        <f>IF(A14="","",IF(AND(O14="Rejected",X14="Yes"),"Potential unsupported-perturbation inflation",IF(AND(O14="Admitted",OR(M14&lt;&gt;"",N14&lt;&gt;"")),"No unsupported-perturbation defect indicated","Admission integrity incomplete")))</f>
        <v/>
      </c>
    </row>
    <row r="15">
      <c r="A15" s="405" t="n"/>
      <c r="B15" s="303" t="n"/>
      <c r="C15" s="303" t="n"/>
      <c r="D15" s="303" t="n"/>
      <c r="E15" s="303" t="n"/>
      <c r="F15" s="303" t="n"/>
      <c r="G15" s="303" t="n"/>
      <c r="H15" s="303" t="n"/>
      <c r="I15" s="303" t="n"/>
      <c r="J15" s="303" t="n"/>
      <c r="K15" s="303" t="n"/>
      <c r="L15" s="554" t="n"/>
      <c r="M15" s="303" t="n"/>
      <c r="N15" s="303" t="n"/>
      <c r="O15" s="303" t="n"/>
      <c r="P15" s="303" t="n"/>
      <c r="Q15" s="303" t="n"/>
      <c r="R15" s="303" t="n"/>
      <c r="S15" s="303" t="n"/>
      <c r="T15" s="303" t="n"/>
      <c r="U15" s="303">
        <f>IF(OR(S15="",T15=""),"",IF(S15=T15,"No","Yes"))</f>
        <v/>
      </c>
      <c r="V15" s="303" t="n"/>
      <c r="W15" s="303" t="n"/>
      <c r="X15" s="303" t="n"/>
      <c r="Y15" s="406">
        <f>IF(A15="","",IF(AND(O15="Rejected",X15="Yes"),"Potential unsupported-perturbation inflation",IF(AND(O15="Admitted",OR(M15&lt;&gt;"",N15&lt;&gt;"")),"No unsupported-perturbation defect indicated","Admission integrity incomplete")))</f>
        <v/>
      </c>
    </row>
    <row r="16">
      <c r="A16" s="405" t="n"/>
      <c r="B16" s="303" t="n"/>
      <c r="C16" s="303" t="n"/>
      <c r="D16" s="303" t="n"/>
      <c r="E16" s="303" t="n"/>
      <c r="F16" s="303" t="n"/>
      <c r="G16" s="303" t="n"/>
      <c r="H16" s="303" t="n"/>
      <c r="I16" s="303" t="n"/>
      <c r="J16" s="303" t="n"/>
      <c r="K16" s="303" t="n"/>
      <c r="L16" s="554" t="n"/>
      <c r="M16" s="303" t="n"/>
      <c r="N16" s="303" t="n"/>
      <c r="O16" s="303" t="n"/>
      <c r="P16" s="303" t="n"/>
      <c r="Q16" s="303" t="n"/>
      <c r="R16" s="303" t="n"/>
      <c r="S16" s="303" t="n"/>
      <c r="T16" s="303" t="n"/>
      <c r="U16" s="303">
        <f>IF(OR(S16="",T16=""),"",IF(S16=T16,"No","Yes"))</f>
        <v/>
      </c>
      <c r="V16" s="303" t="n"/>
      <c r="W16" s="303" t="n"/>
      <c r="X16" s="303" t="n"/>
      <c r="Y16" s="406">
        <f>IF(A16="","",IF(AND(O16="Rejected",X16="Yes"),"Potential unsupported-perturbation inflation",IF(AND(O16="Admitted",OR(M16&lt;&gt;"",N16&lt;&gt;"")),"No unsupported-perturbation defect indicated","Admission integrity incomplete")))</f>
        <v/>
      </c>
    </row>
    <row r="17">
      <c r="A17" s="405" t="n"/>
      <c r="B17" s="303" t="n"/>
      <c r="C17" s="303" t="n"/>
      <c r="D17" s="303" t="n"/>
      <c r="E17" s="303" t="n"/>
      <c r="F17" s="303" t="n"/>
      <c r="G17" s="303" t="n"/>
      <c r="H17" s="303" t="n"/>
      <c r="I17" s="303" t="n"/>
      <c r="J17" s="303" t="n"/>
      <c r="K17" s="303" t="n"/>
      <c r="L17" s="554" t="n"/>
      <c r="M17" s="303" t="n"/>
      <c r="N17" s="303" t="n"/>
      <c r="O17" s="303" t="n"/>
      <c r="P17" s="303" t="n"/>
      <c r="Q17" s="303" t="n"/>
      <c r="R17" s="303" t="n"/>
      <c r="S17" s="303" t="n"/>
      <c r="T17" s="303" t="n"/>
      <c r="U17" s="303">
        <f>IF(OR(S17="",T17=""),"",IF(S17=T17,"No","Yes"))</f>
        <v/>
      </c>
      <c r="V17" s="303" t="n"/>
      <c r="W17" s="303" t="n"/>
      <c r="X17" s="303" t="n"/>
      <c r="Y17" s="406">
        <f>IF(A17="","",IF(AND(O17="Rejected",X17="Yes"),"Potential unsupported-perturbation inflation",IF(AND(O17="Admitted",OR(M17&lt;&gt;"",N17&lt;&gt;"")),"No unsupported-perturbation defect indicated","Admission integrity incomplete")))</f>
        <v/>
      </c>
    </row>
    <row r="18">
      <c r="A18" s="405" t="n"/>
      <c r="B18" s="303" t="n"/>
      <c r="C18" s="303" t="n"/>
      <c r="D18" s="303" t="n"/>
      <c r="E18" s="303" t="n"/>
      <c r="F18" s="303" t="n"/>
      <c r="G18" s="303" t="n"/>
      <c r="H18" s="303" t="n"/>
      <c r="I18" s="303" t="n"/>
      <c r="J18" s="303" t="n"/>
      <c r="K18" s="303" t="n"/>
      <c r="L18" s="554" t="n"/>
      <c r="M18" s="303" t="n"/>
      <c r="N18" s="303" t="n"/>
      <c r="O18" s="303" t="n"/>
      <c r="P18" s="303" t="n"/>
      <c r="Q18" s="303" t="n"/>
      <c r="R18" s="303" t="n"/>
      <c r="S18" s="303" t="n"/>
      <c r="T18" s="303" t="n"/>
      <c r="U18" s="303">
        <f>IF(OR(S18="",T18=""),"",IF(S18=T18,"No","Yes"))</f>
        <v/>
      </c>
      <c r="V18" s="303" t="n"/>
      <c r="W18" s="303" t="n"/>
      <c r="X18" s="303" t="n"/>
      <c r="Y18" s="406">
        <f>IF(A18="","",IF(AND(O18="Rejected",X18="Yes"),"Potential unsupported-perturbation inflation",IF(AND(O18="Admitted",OR(M18&lt;&gt;"",N18&lt;&gt;"")),"No unsupported-perturbation defect indicated","Admission integrity incomplete")))</f>
        <v/>
      </c>
    </row>
    <row r="19">
      <c r="A19" s="405" t="n"/>
      <c r="B19" s="303" t="n"/>
      <c r="C19" s="303" t="n"/>
      <c r="D19" s="303" t="n"/>
      <c r="E19" s="303" t="n"/>
      <c r="F19" s="303" t="n"/>
      <c r="G19" s="303" t="n"/>
      <c r="H19" s="303" t="n"/>
      <c r="I19" s="303" t="n"/>
      <c r="J19" s="303" t="n"/>
      <c r="K19" s="303" t="n"/>
      <c r="L19" s="554" t="n"/>
      <c r="M19" s="303" t="n"/>
      <c r="N19" s="303" t="n"/>
      <c r="O19" s="303" t="n"/>
      <c r="P19" s="303" t="n"/>
      <c r="Q19" s="303" t="n"/>
      <c r="R19" s="303" t="n"/>
      <c r="S19" s="303" t="n"/>
      <c r="T19" s="303" t="n"/>
      <c r="U19" s="303">
        <f>IF(OR(S19="",T19=""),"",IF(S19=T19,"No","Yes"))</f>
        <v/>
      </c>
      <c r="V19" s="303" t="n"/>
      <c r="W19" s="303" t="n"/>
      <c r="X19" s="303" t="n"/>
      <c r="Y19" s="406">
        <f>IF(A19="","",IF(AND(O19="Rejected",X19="Yes"),"Potential unsupported-perturbation inflation",IF(AND(O19="Admitted",OR(M19&lt;&gt;"",N19&lt;&gt;"")),"No unsupported-perturbation defect indicated","Admission integrity incomplete")))</f>
        <v/>
      </c>
    </row>
    <row r="20">
      <c r="A20" s="405" t="n"/>
      <c r="B20" s="303" t="n"/>
      <c r="C20" s="303" t="n"/>
      <c r="D20" s="303" t="n"/>
      <c r="E20" s="303" t="n"/>
      <c r="F20" s="303" t="n"/>
      <c r="G20" s="303" t="n"/>
      <c r="H20" s="303" t="n"/>
      <c r="I20" s="303" t="n"/>
      <c r="J20" s="303" t="n"/>
      <c r="K20" s="303" t="n"/>
      <c r="L20" s="554" t="n"/>
      <c r="M20" s="303" t="n"/>
      <c r="N20" s="303" t="n"/>
      <c r="O20" s="303" t="n"/>
      <c r="P20" s="303" t="n"/>
      <c r="Q20" s="303" t="n"/>
      <c r="R20" s="303" t="n"/>
      <c r="S20" s="303" t="n"/>
      <c r="T20" s="303" t="n"/>
      <c r="U20" s="303">
        <f>IF(OR(S20="",T20=""),"",IF(S20=T20,"No","Yes"))</f>
        <v/>
      </c>
      <c r="V20" s="303" t="n"/>
      <c r="W20" s="303" t="n"/>
      <c r="X20" s="303" t="n"/>
      <c r="Y20" s="406">
        <f>IF(A20="","",IF(AND(O20="Rejected",X20="Yes"),"Potential unsupported-perturbation inflation",IF(AND(O20="Admitted",OR(M20&lt;&gt;"",N20&lt;&gt;"")),"No unsupported-perturbation defect indicated","Admission integrity incomplete")))</f>
        <v/>
      </c>
    </row>
    <row r="21">
      <c r="A21" s="405" t="n"/>
      <c r="B21" s="303" t="n"/>
      <c r="C21" s="303" t="n"/>
      <c r="D21" s="303" t="n"/>
      <c r="E21" s="303" t="n"/>
      <c r="F21" s="303" t="n"/>
      <c r="G21" s="303" t="n"/>
      <c r="H21" s="303" t="n"/>
      <c r="I21" s="303" t="n"/>
      <c r="J21" s="303" t="n"/>
      <c r="K21" s="303" t="n"/>
      <c r="L21" s="554" t="n"/>
      <c r="M21" s="303" t="n"/>
      <c r="N21" s="303" t="n"/>
      <c r="O21" s="303" t="n"/>
      <c r="P21" s="303" t="n"/>
      <c r="Q21" s="303" t="n"/>
      <c r="R21" s="303" t="n"/>
      <c r="S21" s="303" t="n"/>
      <c r="T21" s="303" t="n"/>
      <c r="U21" s="303">
        <f>IF(OR(S21="",T21=""),"",IF(S21=T21,"No","Yes"))</f>
        <v/>
      </c>
      <c r="V21" s="303" t="n"/>
      <c r="W21" s="303" t="n"/>
      <c r="X21" s="303" t="n"/>
      <c r="Y21" s="406">
        <f>IF(A21="","",IF(AND(O21="Rejected",X21="Yes"),"Potential unsupported-perturbation inflation",IF(AND(O21="Admitted",OR(M21&lt;&gt;"",N21&lt;&gt;"")),"No unsupported-perturbation defect indicated","Admission integrity incomplete")))</f>
        <v/>
      </c>
    </row>
    <row r="22">
      <c r="A22" s="405" t="n"/>
      <c r="B22" s="303" t="n"/>
      <c r="C22" s="303" t="n"/>
      <c r="D22" s="303" t="n"/>
      <c r="E22" s="303" t="n"/>
      <c r="F22" s="303" t="n"/>
      <c r="G22" s="303" t="n"/>
      <c r="H22" s="303" t="n"/>
      <c r="I22" s="303" t="n"/>
      <c r="J22" s="303" t="n"/>
      <c r="K22" s="303" t="n"/>
      <c r="L22" s="554" t="n"/>
      <c r="M22" s="303" t="n"/>
      <c r="N22" s="303" t="n"/>
      <c r="O22" s="303" t="n"/>
      <c r="P22" s="303" t="n"/>
      <c r="Q22" s="303" t="n"/>
      <c r="R22" s="303" t="n"/>
      <c r="S22" s="303" t="n"/>
      <c r="T22" s="303" t="n"/>
      <c r="U22" s="303">
        <f>IF(OR(S22="",T22=""),"",IF(S22=T22,"No","Yes"))</f>
        <v/>
      </c>
      <c r="V22" s="303" t="n"/>
      <c r="W22" s="303" t="n"/>
      <c r="X22" s="303" t="n"/>
      <c r="Y22" s="406">
        <f>IF(A22="","",IF(AND(O22="Rejected",X22="Yes"),"Potential unsupported-perturbation inflation",IF(AND(O22="Admitted",OR(M22&lt;&gt;"",N22&lt;&gt;"")),"No unsupported-perturbation defect indicated","Admission integrity incomplete")))</f>
        <v/>
      </c>
    </row>
    <row r="23">
      <c r="A23" s="405" t="n"/>
      <c r="B23" s="303" t="n"/>
      <c r="C23" s="303" t="n"/>
      <c r="D23" s="303" t="n"/>
      <c r="E23" s="303" t="n"/>
      <c r="F23" s="303" t="n"/>
      <c r="G23" s="303" t="n"/>
      <c r="H23" s="303" t="n"/>
      <c r="I23" s="303" t="n"/>
      <c r="J23" s="303" t="n"/>
      <c r="K23" s="303" t="n"/>
      <c r="L23" s="554" t="n"/>
      <c r="M23" s="303" t="n"/>
      <c r="N23" s="303" t="n"/>
      <c r="O23" s="303" t="n"/>
      <c r="P23" s="303" t="n"/>
      <c r="Q23" s="303" t="n"/>
      <c r="R23" s="303" t="n"/>
      <c r="S23" s="303" t="n"/>
      <c r="T23" s="303" t="n"/>
      <c r="U23" s="303">
        <f>IF(OR(S23="",T23=""),"",IF(S23=T23,"No","Yes"))</f>
        <v/>
      </c>
      <c r="V23" s="303" t="n"/>
      <c r="W23" s="303" t="n"/>
      <c r="X23" s="303" t="n"/>
      <c r="Y23" s="406">
        <f>IF(A23="","",IF(AND(O23="Rejected",X23="Yes"),"Potential unsupported-perturbation inflation",IF(AND(O23="Admitted",OR(M23&lt;&gt;"",N23&lt;&gt;"")),"No unsupported-perturbation defect indicated","Admission integrity incomplete")))</f>
        <v/>
      </c>
    </row>
    <row r="24">
      <c r="A24" s="405" t="n"/>
      <c r="B24" s="303" t="n"/>
      <c r="C24" s="303" t="n"/>
      <c r="D24" s="303" t="n"/>
      <c r="E24" s="303" t="n"/>
      <c r="F24" s="303" t="n"/>
      <c r="G24" s="303" t="n"/>
      <c r="H24" s="303" t="n"/>
      <c r="I24" s="303" t="n"/>
      <c r="J24" s="303" t="n"/>
      <c r="K24" s="303" t="n"/>
      <c r="L24" s="554" t="n"/>
      <c r="M24" s="303" t="n"/>
      <c r="N24" s="303" t="n"/>
      <c r="O24" s="303" t="n"/>
      <c r="P24" s="303" t="n"/>
      <c r="Q24" s="303" t="n"/>
      <c r="R24" s="303" t="n"/>
      <c r="S24" s="303" t="n"/>
      <c r="T24" s="303" t="n"/>
      <c r="U24" s="303">
        <f>IF(OR(S24="",T24=""),"",IF(S24=T24,"No","Yes"))</f>
        <v/>
      </c>
      <c r="V24" s="303" t="n"/>
      <c r="W24" s="303" t="n"/>
      <c r="X24" s="303" t="n"/>
      <c r="Y24" s="406">
        <f>IF(A24="","",IF(AND(O24="Rejected",X24="Yes"),"Potential unsupported-perturbation inflation",IF(AND(O24="Admitted",OR(M24&lt;&gt;"",N24&lt;&gt;"")),"No unsupported-perturbation defect indicated","Admission integrity incomplete")))</f>
        <v/>
      </c>
    </row>
    <row r="25">
      <c r="A25" s="405" t="n"/>
      <c r="B25" s="303" t="n"/>
      <c r="C25" s="303" t="n"/>
      <c r="D25" s="303" t="n"/>
      <c r="E25" s="303" t="n"/>
      <c r="F25" s="303" t="n"/>
      <c r="G25" s="303" t="n"/>
      <c r="H25" s="303" t="n"/>
      <c r="I25" s="303" t="n"/>
      <c r="J25" s="303" t="n"/>
      <c r="K25" s="303" t="n"/>
      <c r="L25" s="554" t="n"/>
      <c r="M25" s="303" t="n"/>
      <c r="N25" s="303" t="n"/>
      <c r="O25" s="303" t="n"/>
      <c r="P25" s="303" t="n"/>
      <c r="Q25" s="303" t="n"/>
      <c r="R25" s="303" t="n"/>
      <c r="S25" s="303" t="n"/>
      <c r="T25" s="303" t="n"/>
      <c r="U25" s="303">
        <f>IF(OR(S25="",T25=""),"",IF(S25=T25,"No","Yes"))</f>
        <v/>
      </c>
      <c r="V25" s="303" t="n"/>
      <c r="W25" s="303" t="n"/>
      <c r="X25" s="303" t="n"/>
      <c r="Y25" s="406">
        <f>IF(A25="","",IF(AND(O25="Rejected",X25="Yes"),"Potential unsupported-perturbation inflation",IF(AND(O25="Admitted",OR(M25&lt;&gt;"",N25&lt;&gt;"")),"No unsupported-perturbation defect indicated","Admission integrity incomplete")))</f>
        <v/>
      </c>
    </row>
    <row r="26">
      <c r="A26" s="405" t="n"/>
      <c r="B26" s="303" t="n"/>
      <c r="C26" s="303" t="n"/>
      <c r="D26" s="303" t="n"/>
      <c r="E26" s="303" t="n"/>
      <c r="F26" s="303" t="n"/>
      <c r="G26" s="303" t="n"/>
      <c r="H26" s="303" t="n"/>
      <c r="I26" s="303" t="n"/>
      <c r="J26" s="303" t="n"/>
      <c r="K26" s="303" t="n"/>
      <c r="L26" s="554" t="n"/>
      <c r="M26" s="303" t="n"/>
      <c r="N26" s="303" t="n"/>
      <c r="O26" s="303" t="n"/>
      <c r="P26" s="303" t="n"/>
      <c r="Q26" s="303" t="n"/>
      <c r="R26" s="303" t="n"/>
      <c r="S26" s="303" t="n"/>
      <c r="T26" s="303" t="n"/>
      <c r="U26" s="303">
        <f>IF(OR(S26="",T26=""),"",IF(S26=T26,"No","Yes"))</f>
        <v/>
      </c>
      <c r="V26" s="303" t="n"/>
      <c r="W26" s="303" t="n"/>
      <c r="X26" s="303" t="n"/>
      <c r="Y26" s="406">
        <f>IF(A26="","",IF(AND(O26="Rejected",X26="Yes"),"Potential unsupported-perturbation inflation",IF(AND(O26="Admitted",OR(M26&lt;&gt;"",N26&lt;&gt;"")),"No unsupported-perturbation defect indicated","Admission integrity incomplete")))</f>
        <v/>
      </c>
    </row>
    <row r="27">
      <c r="A27" s="405" t="n"/>
      <c r="B27" s="303" t="n"/>
      <c r="C27" s="303" t="n"/>
      <c r="D27" s="303" t="n"/>
      <c r="E27" s="303" t="n"/>
      <c r="F27" s="303" t="n"/>
      <c r="G27" s="303" t="n"/>
      <c r="H27" s="303" t="n"/>
      <c r="I27" s="303" t="n"/>
      <c r="J27" s="303" t="n"/>
      <c r="K27" s="303" t="n"/>
      <c r="L27" s="554" t="n"/>
      <c r="M27" s="303" t="n"/>
      <c r="N27" s="303" t="n"/>
      <c r="O27" s="303" t="n"/>
      <c r="P27" s="303" t="n"/>
      <c r="Q27" s="303" t="n"/>
      <c r="R27" s="303" t="n"/>
      <c r="S27" s="303" t="n"/>
      <c r="T27" s="303" t="n"/>
      <c r="U27" s="303">
        <f>IF(OR(S27="",T27=""),"",IF(S27=T27,"No","Yes"))</f>
        <v/>
      </c>
      <c r="V27" s="303" t="n"/>
      <c r="W27" s="303" t="n"/>
      <c r="X27" s="303" t="n"/>
      <c r="Y27" s="406">
        <f>IF(A27="","",IF(AND(O27="Rejected",X27="Yes"),"Potential unsupported-perturbation inflation",IF(AND(O27="Admitted",OR(M27&lt;&gt;"",N27&lt;&gt;"")),"No unsupported-perturbation defect indicated","Admission integrity incomplete")))</f>
        <v/>
      </c>
    </row>
    <row r="28">
      <c r="A28" s="405" t="n"/>
      <c r="B28" s="303" t="n"/>
      <c r="C28" s="303" t="n"/>
      <c r="D28" s="303" t="n"/>
      <c r="E28" s="303" t="n"/>
      <c r="F28" s="303" t="n"/>
      <c r="G28" s="303" t="n"/>
      <c r="H28" s="303" t="n"/>
      <c r="I28" s="303" t="n"/>
      <c r="J28" s="303" t="n"/>
      <c r="K28" s="303" t="n"/>
      <c r="L28" s="554" t="n"/>
      <c r="M28" s="303" t="n"/>
      <c r="N28" s="303" t="n"/>
      <c r="O28" s="303" t="n"/>
      <c r="P28" s="303" t="n"/>
      <c r="Q28" s="303" t="n"/>
      <c r="R28" s="303" t="n"/>
      <c r="S28" s="303" t="n"/>
      <c r="T28" s="303" t="n"/>
      <c r="U28" s="303">
        <f>IF(OR(S28="",T28=""),"",IF(S28=T28,"No","Yes"))</f>
        <v/>
      </c>
      <c r="V28" s="303" t="n"/>
      <c r="W28" s="303" t="n"/>
      <c r="X28" s="303" t="n"/>
      <c r="Y28" s="406">
        <f>IF(A28="","",IF(AND(O28="Rejected",X28="Yes"),"Potential unsupported-perturbation inflation",IF(AND(O28="Admitted",OR(M28&lt;&gt;"",N28&lt;&gt;"")),"No unsupported-perturbation defect indicated","Admission integrity incomplete")))</f>
        <v/>
      </c>
    </row>
    <row r="29">
      <c r="A29" s="405" t="n"/>
      <c r="B29" s="303" t="n"/>
      <c r="C29" s="303" t="n"/>
      <c r="D29" s="303" t="n"/>
      <c r="E29" s="303" t="n"/>
      <c r="F29" s="303" t="n"/>
      <c r="G29" s="303" t="n"/>
      <c r="H29" s="303" t="n"/>
      <c r="I29" s="303" t="n"/>
      <c r="J29" s="303" t="n"/>
      <c r="K29" s="303" t="n"/>
      <c r="L29" s="554" t="n"/>
      <c r="M29" s="303" t="n"/>
      <c r="N29" s="303" t="n"/>
      <c r="O29" s="303" t="n"/>
      <c r="P29" s="303" t="n"/>
      <c r="Q29" s="303" t="n"/>
      <c r="R29" s="303" t="n"/>
      <c r="S29" s="303" t="n"/>
      <c r="T29" s="303" t="n"/>
      <c r="U29" s="303">
        <f>IF(OR(S29="",T29=""),"",IF(S29=T29,"No","Yes"))</f>
        <v/>
      </c>
      <c r="V29" s="303" t="n"/>
      <c r="W29" s="303" t="n"/>
      <c r="X29" s="303" t="n"/>
      <c r="Y29" s="406">
        <f>IF(A29="","",IF(AND(O29="Rejected",X29="Yes"),"Potential unsupported-perturbation inflation",IF(AND(O29="Admitted",OR(M29&lt;&gt;"",N29&lt;&gt;"")),"No unsupported-perturbation defect indicated","Admission integrity incomplete")))</f>
        <v/>
      </c>
    </row>
    <row r="30">
      <c r="A30" s="405" t="n"/>
      <c r="B30" s="303" t="n"/>
      <c r="C30" s="303" t="n"/>
      <c r="D30" s="303" t="n"/>
      <c r="E30" s="303" t="n"/>
      <c r="F30" s="303" t="n"/>
      <c r="G30" s="303" t="n"/>
      <c r="H30" s="303" t="n"/>
      <c r="I30" s="303" t="n"/>
      <c r="J30" s="303" t="n"/>
      <c r="K30" s="303" t="n"/>
      <c r="L30" s="554" t="n"/>
      <c r="M30" s="303" t="n"/>
      <c r="N30" s="303" t="n"/>
      <c r="O30" s="303" t="n"/>
      <c r="P30" s="303" t="n"/>
      <c r="Q30" s="303" t="n"/>
      <c r="R30" s="303" t="n"/>
      <c r="S30" s="303" t="n"/>
      <c r="T30" s="303" t="n"/>
      <c r="U30" s="303">
        <f>IF(OR(S30="",T30=""),"",IF(S30=T30,"No","Yes"))</f>
        <v/>
      </c>
      <c r="V30" s="303" t="n"/>
      <c r="W30" s="303" t="n"/>
      <c r="X30" s="303" t="n"/>
      <c r="Y30" s="406">
        <f>IF(A30="","",IF(AND(O30="Rejected",X30="Yes"),"Potential unsupported-perturbation inflation",IF(AND(O30="Admitted",OR(M30&lt;&gt;"",N30&lt;&gt;"")),"No unsupported-perturbation defect indicated","Admission integrity incomplete")))</f>
        <v/>
      </c>
    </row>
    <row r="31">
      <c r="A31" s="405" t="n"/>
      <c r="B31" s="303" t="n"/>
      <c r="C31" s="303" t="n"/>
      <c r="D31" s="303" t="n"/>
      <c r="E31" s="303" t="n"/>
      <c r="F31" s="303" t="n"/>
      <c r="G31" s="303" t="n"/>
      <c r="H31" s="303" t="n"/>
      <c r="I31" s="303" t="n"/>
      <c r="J31" s="303" t="n"/>
      <c r="K31" s="303" t="n"/>
      <c r="L31" s="554" t="n"/>
      <c r="M31" s="303" t="n"/>
      <c r="N31" s="303" t="n"/>
      <c r="O31" s="303" t="n"/>
      <c r="P31" s="303" t="n"/>
      <c r="Q31" s="303" t="n"/>
      <c r="R31" s="303" t="n"/>
      <c r="S31" s="303" t="n"/>
      <c r="T31" s="303" t="n"/>
      <c r="U31" s="303">
        <f>IF(OR(S31="",T31=""),"",IF(S31=T31,"No","Yes"))</f>
        <v/>
      </c>
      <c r="V31" s="303" t="n"/>
      <c r="W31" s="303" t="n"/>
      <c r="X31" s="303" t="n"/>
      <c r="Y31" s="406">
        <f>IF(A31="","",IF(AND(O31="Rejected",X31="Yes"),"Potential unsupported-perturbation inflation",IF(AND(O31="Admitted",OR(M31&lt;&gt;"",N31&lt;&gt;"")),"No unsupported-perturbation defect indicated","Admission integrity incomplete")))</f>
        <v/>
      </c>
    </row>
    <row r="32">
      <c r="A32" s="405" t="n"/>
      <c r="B32" s="303" t="n"/>
      <c r="C32" s="303" t="n"/>
      <c r="D32" s="303" t="n"/>
      <c r="E32" s="303" t="n"/>
      <c r="F32" s="303" t="n"/>
      <c r="G32" s="303" t="n"/>
      <c r="H32" s="303" t="n"/>
      <c r="I32" s="303" t="n"/>
      <c r="J32" s="303" t="n"/>
      <c r="K32" s="303" t="n"/>
      <c r="L32" s="554" t="n"/>
      <c r="M32" s="303" t="n"/>
      <c r="N32" s="303" t="n"/>
      <c r="O32" s="303" t="n"/>
      <c r="P32" s="303" t="n"/>
      <c r="Q32" s="303" t="n"/>
      <c r="R32" s="303" t="n"/>
      <c r="S32" s="303" t="n"/>
      <c r="T32" s="303" t="n"/>
      <c r="U32" s="303">
        <f>IF(OR(S32="",T32=""),"",IF(S32=T32,"No","Yes"))</f>
        <v/>
      </c>
      <c r="V32" s="303" t="n"/>
      <c r="W32" s="303" t="n"/>
      <c r="X32" s="303" t="n"/>
      <c r="Y32" s="406">
        <f>IF(A32="","",IF(AND(O32="Rejected",X32="Yes"),"Potential unsupported-perturbation inflation",IF(AND(O32="Admitted",OR(M32&lt;&gt;"",N32&lt;&gt;"")),"No unsupported-perturbation defect indicated","Admission integrity incomplete")))</f>
        <v/>
      </c>
    </row>
    <row r="33">
      <c r="A33" s="405" t="n"/>
      <c r="B33" s="303" t="n"/>
      <c r="C33" s="303" t="n"/>
      <c r="D33" s="303" t="n"/>
      <c r="E33" s="303" t="n"/>
      <c r="F33" s="303" t="n"/>
      <c r="G33" s="303" t="n"/>
      <c r="H33" s="303" t="n"/>
      <c r="I33" s="303" t="n"/>
      <c r="J33" s="303" t="n"/>
      <c r="K33" s="303" t="n"/>
      <c r="L33" s="554" t="n"/>
      <c r="M33" s="303" t="n"/>
      <c r="N33" s="303" t="n"/>
      <c r="O33" s="303" t="n"/>
      <c r="P33" s="303" t="n"/>
      <c r="Q33" s="303" t="n"/>
      <c r="R33" s="303" t="n"/>
      <c r="S33" s="303" t="n"/>
      <c r="T33" s="303" t="n"/>
      <c r="U33" s="303">
        <f>IF(OR(S33="",T33=""),"",IF(S33=T33,"No","Yes"))</f>
        <v/>
      </c>
      <c r="V33" s="303" t="n"/>
      <c r="W33" s="303" t="n"/>
      <c r="X33" s="303" t="n"/>
      <c r="Y33" s="406">
        <f>IF(A33="","",IF(AND(O33="Rejected",X33="Yes"),"Potential unsupported-perturbation inflation",IF(AND(O33="Admitted",OR(M33&lt;&gt;"",N33&lt;&gt;"")),"No unsupported-perturbation defect indicated","Admission integrity incomplete")))</f>
        <v/>
      </c>
    </row>
    <row r="34">
      <c r="A34" s="405" t="n"/>
      <c r="B34" s="303" t="n"/>
      <c r="C34" s="303" t="n"/>
      <c r="D34" s="303" t="n"/>
      <c r="E34" s="303" t="n"/>
      <c r="F34" s="303" t="n"/>
      <c r="G34" s="303" t="n"/>
      <c r="H34" s="303" t="n"/>
      <c r="I34" s="303" t="n"/>
      <c r="J34" s="303" t="n"/>
      <c r="K34" s="303" t="n"/>
      <c r="L34" s="554" t="n"/>
      <c r="M34" s="303" t="n"/>
      <c r="N34" s="303" t="n"/>
      <c r="O34" s="303" t="n"/>
      <c r="P34" s="303" t="n"/>
      <c r="Q34" s="303" t="n"/>
      <c r="R34" s="303" t="n"/>
      <c r="S34" s="303" t="n"/>
      <c r="T34" s="303" t="n"/>
      <c r="U34" s="303">
        <f>IF(OR(S34="",T34=""),"",IF(S34=T34,"No","Yes"))</f>
        <v/>
      </c>
      <c r="V34" s="303" t="n"/>
      <c r="W34" s="303" t="n"/>
      <c r="X34" s="303" t="n"/>
      <c r="Y34" s="406">
        <f>IF(A34="","",IF(AND(O34="Rejected",X34="Yes"),"Potential unsupported-perturbation inflation",IF(AND(O34="Admitted",OR(M34&lt;&gt;"",N34&lt;&gt;"")),"No unsupported-perturbation defect indicated","Admission integrity incomplete")))</f>
        <v/>
      </c>
    </row>
    <row r="35">
      <c r="A35" s="405" t="n"/>
      <c r="B35" s="303" t="n"/>
      <c r="C35" s="303" t="n"/>
      <c r="D35" s="303" t="n"/>
      <c r="E35" s="303" t="n"/>
      <c r="F35" s="303" t="n"/>
      <c r="G35" s="303" t="n"/>
      <c r="H35" s="303" t="n"/>
      <c r="I35" s="303" t="n"/>
      <c r="J35" s="303" t="n"/>
      <c r="K35" s="303" t="n"/>
      <c r="L35" s="554" t="n"/>
      <c r="M35" s="303" t="n"/>
      <c r="N35" s="303" t="n"/>
      <c r="O35" s="303" t="n"/>
      <c r="P35" s="303" t="n"/>
      <c r="Q35" s="303" t="n"/>
      <c r="R35" s="303" t="n"/>
      <c r="S35" s="303" t="n"/>
      <c r="T35" s="303" t="n"/>
      <c r="U35" s="303">
        <f>IF(OR(S35="",T35=""),"",IF(S35=T35,"No","Yes"))</f>
        <v/>
      </c>
      <c r="V35" s="303" t="n"/>
      <c r="W35" s="303" t="n"/>
      <c r="X35" s="303" t="n"/>
      <c r="Y35" s="406">
        <f>IF(A35="","",IF(AND(O35="Rejected",X35="Yes"),"Potential unsupported-perturbation inflation",IF(AND(O35="Admitted",OR(M35&lt;&gt;"",N35&lt;&gt;"")),"No unsupported-perturbation defect indicated","Admission integrity incomplete")))</f>
        <v/>
      </c>
    </row>
    <row r="36">
      <c r="A36" s="405" t="n"/>
      <c r="B36" s="303" t="n"/>
      <c r="C36" s="303" t="n"/>
      <c r="D36" s="303" t="n"/>
      <c r="E36" s="303" t="n"/>
      <c r="F36" s="303" t="n"/>
      <c r="G36" s="303" t="n"/>
      <c r="H36" s="303" t="n"/>
      <c r="I36" s="303" t="n"/>
      <c r="J36" s="303" t="n"/>
      <c r="K36" s="303" t="n"/>
      <c r="L36" s="554" t="n"/>
      <c r="M36" s="303" t="n"/>
      <c r="N36" s="303" t="n"/>
      <c r="O36" s="303" t="n"/>
      <c r="P36" s="303" t="n"/>
      <c r="Q36" s="303" t="n"/>
      <c r="R36" s="303" t="n"/>
      <c r="S36" s="303" t="n"/>
      <c r="T36" s="303" t="n"/>
      <c r="U36" s="303">
        <f>IF(OR(S36="",T36=""),"",IF(S36=T36,"No","Yes"))</f>
        <v/>
      </c>
      <c r="V36" s="303" t="n"/>
      <c r="W36" s="303" t="n"/>
      <c r="X36" s="303" t="n"/>
      <c r="Y36" s="406">
        <f>IF(A36="","",IF(AND(O36="Rejected",X36="Yes"),"Potential unsupported-perturbation inflation",IF(AND(O36="Admitted",OR(M36&lt;&gt;"",N36&lt;&gt;"")),"No unsupported-perturbation defect indicated","Admission integrity incomplete")))</f>
        <v/>
      </c>
    </row>
    <row r="37">
      <c r="A37" s="405" t="n"/>
      <c r="B37" s="303" t="n"/>
      <c r="C37" s="303" t="n"/>
      <c r="D37" s="303" t="n"/>
      <c r="E37" s="303" t="n"/>
      <c r="F37" s="303" t="n"/>
      <c r="G37" s="303" t="n"/>
      <c r="H37" s="303" t="n"/>
      <c r="I37" s="303" t="n"/>
      <c r="J37" s="303" t="n"/>
      <c r="K37" s="303" t="n"/>
      <c r="L37" s="554" t="n"/>
      <c r="M37" s="303" t="n"/>
      <c r="N37" s="303" t="n"/>
      <c r="O37" s="303" t="n"/>
      <c r="P37" s="303" t="n"/>
      <c r="Q37" s="303" t="n"/>
      <c r="R37" s="303" t="n"/>
      <c r="S37" s="303" t="n"/>
      <c r="T37" s="303" t="n"/>
      <c r="U37" s="303">
        <f>IF(OR(S37="",T37=""),"",IF(S37=T37,"No","Yes"))</f>
        <v/>
      </c>
      <c r="V37" s="303" t="n"/>
      <c r="W37" s="303" t="n"/>
      <c r="X37" s="303" t="n"/>
      <c r="Y37" s="406">
        <f>IF(A37="","",IF(AND(O37="Rejected",X37="Yes"),"Potential unsupported-perturbation inflation",IF(AND(O37="Admitted",OR(M37&lt;&gt;"",N37&lt;&gt;"")),"No unsupported-perturbation defect indicated","Admission integrity incomplete")))</f>
        <v/>
      </c>
    </row>
    <row r="38">
      <c r="A38" s="405" t="n"/>
      <c r="B38" s="303" t="n"/>
      <c r="C38" s="303" t="n"/>
      <c r="D38" s="303" t="n"/>
      <c r="E38" s="303" t="n"/>
      <c r="F38" s="303" t="n"/>
      <c r="G38" s="303" t="n"/>
      <c r="H38" s="303" t="n"/>
      <c r="I38" s="303" t="n"/>
      <c r="J38" s="303" t="n"/>
      <c r="K38" s="303" t="n"/>
      <c r="L38" s="554" t="n"/>
      <c r="M38" s="303" t="n"/>
      <c r="N38" s="303" t="n"/>
      <c r="O38" s="303" t="n"/>
      <c r="P38" s="303" t="n"/>
      <c r="Q38" s="303" t="n"/>
      <c r="R38" s="303" t="n"/>
      <c r="S38" s="303" t="n"/>
      <c r="T38" s="303" t="n"/>
      <c r="U38" s="303">
        <f>IF(OR(S38="",T38=""),"",IF(S38=T38,"No","Yes"))</f>
        <v/>
      </c>
      <c r="V38" s="303" t="n"/>
      <c r="W38" s="303" t="n"/>
      <c r="X38" s="303" t="n"/>
      <c r="Y38" s="406">
        <f>IF(A38="","",IF(AND(O38="Rejected",X38="Yes"),"Potential unsupported-perturbation inflation",IF(AND(O38="Admitted",OR(M38&lt;&gt;"",N38&lt;&gt;"")),"No unsupported-perturbation defect indicated","Admission integrity incomplete")))</f>
        <v/>
      </c>
    </row>
    <row r="39">
      <c r="A39" s="405" t="n"/>
      <c r="B39" s="303" t="n"/>
      <c r="C39" s="303" t="n"/>
      <c r="D39" s="303" t="n"/>
      <c r="E39" s="303" t="n"/>
      <c r="F39" s="303" t="n"/>
      <c r="G39" s="303" t="n"/>
      <c r="H39" s="303" t="n"/>
      <c r="I39" s="303" t="n"/>
      <c r="J39" s="303" t="n"/>
      <c r="K39" s="303" t="n"/>
      <c r="L39" s="554" t="n"/>
      <c r="M39" s="303" t="n"/>
      <c r="N39" s="303" t="n"/>
      <c r="O39" s="303" t="n"/>
      <c r="P39" s="303" t="n"/>
      <c r="Q39" s="303" t="n"/>
      <c r="R39" s="303" t="n"/>
      <c r="S39" s="303" t="n"/>
      <c r="T39" s="303" t="n"/>
      <c r="U39" s="303">
        <f>IF(OR(S39="",T39=""),"",IF(S39=T39,"No","Yes"))</f>
        <v/>
      </c>
      <c r="V39" s="303" t="n"/>
      <c r="W39" s="303" t="n"/>
      <c r="X39" s="303" t="n"/>
      <c r="Y39" s="406">
        <f>IF(A39="","",IF(AND(O39="Rejected",X39="Yes"),"Potential unsupported-perturbation inflation",IF(AND(O39="Admitted",OR(M39&lt;&gt;"",N39&lt;&gt;"")),"No unsupported-perturbation defect indicated","Admission integrity incomplete")))</f>
        <v/>
      </c>
    </row>
    <row r="40">
      <c r="A40" s="405" t="n"/>
      <c r="B40" s="303" t="n"/>
      <c r="C40" s="303" t="n"/>
      <c r="D40" s="303" t="n"/>
      <c r="E40" s="303" t="n"/>
      <c r="F40" s="303" t="n"/>
      <c r="G40" s="303" t="n"/>
      <c r="H40" s="303" t="n"/>
      <c r="I40" s="303" t="n"/>
      <c r="J40" s="303" t="n"/>
      <c r="K40" s="303" t="n"/>
      <c r="L40" s="554" t="n"/>
      <c r="M40" s="303" t="n"/>
      <c r="N40" s="303" t="n"/>
      <c r="O40" s="303" t="n"/>
      <c r="P40" s="303" t="n"/>
      <c r="Q40" s="303" t="n"/>
      <c r="R40" s="303" t="n"/>
      <c r="S40" s="303" t="n"/>
      <c r="T40" s="303" t="n"/>
      <c r="U40" s="303">
        <f>IF(OR(S40="",T40=""),"",IF(S40=T40,"No","Yes"))</f>
        <v/>
      </c>
      <c r="V40" s="303" t="n"/>
      <c r="W40" s="303" t="n"/>
      <c r="X40" s="303" t="n"/>
      <c r="Y40" s="406">
        <f>IF(A40="","",IF(AND(O40="Rejected",X40="Yes"),"Potential unsupported-perturbation inflation",IF(AND(O40="Admitted",OR(M40&lt;&gt;"",N40&lt;&gt;"")),"No unsupported-perturbation defect indicated","Admission integrity incomplete")))</f>
        <v/>
      </c>
    </row>
    <row r="41">
      <c r="A41" s="405" t="n"/>
      <c r="B41" s="303" t="n"/>
      <c r="C41" s="303" t="n"/>
      <c r="D41" s="303" t="n"/>
      <c r="E41" s="303" t="n"/>
      <c r="F41" s="303" t="n"/>
      <c r="G41" s="303" t="n"/>
      <c r="H41" s="303" t="n"/>
      <c r="I41" s="303" t="n"/>
      <c r="J41" s="303" t="n"/>
      <c r="K41" s="303" t="n"/>
      <c r="L41" s="554" t="n"/>
      <c r="M41" s="303" t="n"/>
      <c r="N41" s="303" t="n"/>
      <c r="O41" s="303" t="n"/>
      <c r="P41" s="303" t="n"/>
      <c r="Q41" s="303" t="n"/>
      <c r="R41" s="303" t="n"/>
      <c r="S41" s="303" t="n"/>
      <c r="T41" s="303" t="n"/>
      <c r="U41" s="303">
        <f>IF(OR(S41="",T41=""),"",IF(S41=T41,"No","Yes"))</f>
        <v/>
      </c>
      <c r="V41" s="303" t="n"/>
      <c r="W41" s="303" t="n"/>
      <c r="X41" s="303" t="n"/>
      <c r="Y41" s="406">
        <f>IF(A41="","",IF(AND(O41="Rejected",X41="Yes"),"Potential unsupported-perturbation inflation",IF(AND(O41="Admitted",OR(M41&lt;&gt;"",N41&lt;&gt;"")),"No unsupported-perturbation defect indicated","Admission integrity incomplete")))</f>
        <v/>
      </c>
    </row>
    <row r="42">
      <c r="A42" s="405" t="n"/>
      <c r="B42" s="303" t="n"/>
      <c r="C42" s="303" t="n"/>
      <c r="D42" s="303" t="n"/>
      <c r="E42" s="303" t="n"/>
      <c r="F42" s="303" t="n"/>
      <c r="G42" s="303" t="n"/>
      <c r="H42" s="303" t="n"/>
      <c r="I42" s="303" t="n"/>
      <c r="J42" s="303" t="n"/>
      <c r="K42" s="303" t="n"/>
      <c r="L42" s="554" t="n"/>
      <c r="M42" s="303" t="n"/>
      <c r="N42" s="303" t="n"/>
      <c r="O42" s="303" t="n"/>
      <c r="P42" s="303" t="n"/>
      <c r="Q42" s="303" t="n"/>
      <c r="R42" s="303" t="n"/>
      <c r="S42" s="303" t="n"/>
      <c r="T42" s="303" t="n"/>
      <c r="U42" s="303">
        <f>IF(OR(S42="",T42=""),"",IF(S42=T42,"No","Yes"))</f>
        <v/>
      </c>
      <c r="V42" s="303" t="n"/>
      <c r="W42" s="303" t="n"/>
      <c r="X42" s="303" t="n"/>
      <c r="Y42" s="406">
        <f>IF(A42="","",IF(AND(O42="Rejected",X42="Yes"),"Potential unsupported-perturbation inflation",IF(AND(O42="Admitted",OR(M42&lt;&gt;"",N42&lt;&gt;"")),"No unsupported-perturbation defect indicated","Admission integrity incomplete")))</f>
        <v/>
      </c>
    </row>
    <row r="43">
      <c r="A43" s="405" t="n"/>
      <c r="B43" s="303" t="n"/>
      <c r="C43" s="303" t="n"/>
      <c r="D43" s="303" t="n"/>
      <c r="E43" s="303" t="n"/>
      <c r="F43" s="303" t="n"/>
      <c r="G43" s="303" t="n"/>
      <c r="H43" s="303" t="n"/>
      <c r="I43" s="303" t="n"/>
      <c r="J43" s="303" t="n"/>
      <c r="K43" s="303" t="n"/>
      <c r="L43" s="554" t="n"/>
      <c r="M43" s="303" t="n"/>
      <c r="N43" s="303" t="n"/>
      <c r="O43" s="303" t="n"/>
      <c r="P43" s="303" t="n"/>
      <c r="Q43" s="303" t="n"/>
      <c r="R43" s="303" t="n"/>
      <c r="S43" s="303" t="n"/>
      <c r="T43" s="303" t="n"/>
      <c r="U43" s="303">
        <f>IF(OR(S43="",T43=""),"",IF(S43=T43,"No","Yes"))</f>
        <v/>
      </c>
      <c r="V43" s="303" t="n"/>
      <c r="W43" s="303" t="n"/>
      <c r="X43" s="303" t="n"/>
      <c r="Y43" s="406">
        <f>IF(A43="","",IF(AND(O43="Rejected",X43="Yes"),"Potential unsupported-perturbation inflation",IF(AND(O43="Admitted",OR(M43&lt;&gt;"",N43&lt;&gt;"")),"No unsupported-perturbation defect indicated","Admission integrity incomplete")))</f>
        <v/>
      </c>
    </row>
    <row r="44">
      <c r="A44" s="405" t="n"/>
      <c r="B44" s="303" t="n"/>
      <c r="C44" s="303" t="n"/>
      <c r="D44" s="303" t="n"/>
      <c r="E44" s="303" t="n"/>
      <c r="F44" s="303" t="n"/>
      <c r="G44" s="303" t="n"/>
      <c r="H44" s="303" t="n"/>
      <c r="I44" s="303" t="n"/>
      <c r="J44" s="303" t="n"/>
      <c r="K44" s="303" t="n"/>
      <c r="L44" s="554" t="n"/>
      <c r="M44" s="303" t="n"/>
      <c r="N44" s="303" t="n"/>
      <c r="O44" s="303" t="n"/>
      <c r="P44" s="303" t="n"/>
      <c r="Q44" s="303" t="n"/>
      <c r="R44" s="303" t="n"/>
      <c r="S44" s="303" t="n"/>
      <c r="T44" s="303" t="n"/>
      <c r="U44" s="303">
        <f>IF(OR(S44="",T44=""),"",IF(S44=T44,"No","Yes"))</f>
        <v/>
      </c>
      <c r="V44" s="303" t="n"/>
      <c r="W44" s="303" t="n"/>
      <c r="X44" s="303" t="n"/>
      <c r="Y44" s="406">
        <f>IF(A44="","",IF(AND(O44="Rejected",X44="Yes"),"Potential unsupported-perturbation inflation",IF(AND(O44="Admitted",OR(M44&lt;&gt;"",N44&lt;&gt;"")),"No unsupported-perturbation defect indicated","Admission integrity incomplete")))</f>
        <v/>
      </c>
    </row>
    <row r="45">
      <c r="A45" s="405" t="n"/>
      <c r="B45" s="303" t="n"/>
      <c r="C45" s="303" t="n"/>
      <c r="D45" s="303" t="n"/>
      <c r="E45" s="303" t="n"/>
      <c r="F45" s="303" t="n"/>
      <c r="G45" s="303" t="n"/>
      <c r="H45" s="303" t="n"/>
      <c r="I45" s="303" t="n"/>
      <c r="J45" s="303" t="n"/>
      <c r="K45" s="303" t="n"/>
      <c r="L45" s="554" t="n"/>
      <c r="M45" s="303" t="n"/>
      <c r="N45" s="303" t="n"/>
      <c r="O45" s="303" t="n"/>
      <c r="P45" s="303" t="n"/>
      <c r="Q45" s="303" t="n"/>
      <c r="R45" s="303" t="n"/>
      <c r="S45" s="303" t="n"/>
      <c r="T45" s="303" t="n"/>
      <c r="U45" s="303">
        <f>IF(OR(S45="",T45=""),"",IF(S45=T45,"No","Yes"))</f>
        <v/>
      </c>
      <c r="V45" s="303" t="n"/>
      <c r="W45" s="303" t="n"/>
      <c r="X45" s="303" t="n"/>
      <c r="Y45" s="406">
        <f>IF(A45="","",IF(AND(O45="Rejected",X45="Yes"),"Potential unsupported-perturbation inflation",IF(AND(O45="Admitted",OR(M45&lt;&gt;"",N45&lt;&gt;"")),"No unsupported-perturbation defect indicated","Admission integrity incomplete")))</f>
        <v/>
      </c>
    </row>
    <row r="46">
      <c r="A46" s="405" t="n"/>
      <c r="B46" s="303" t="n"/>
      <c r="C46" s="303" t="n"/>
      <c r="D46" s="303" t="n"/>
      <c r="E46" s="303" t="n"/>
      <c r="F46" s="303" t="n"/>
      <c r="G46" s="303" t="n"/>
      <c r="H46" s="303" t="n"/>
      <c r="I46" s="303" t="n"/>
      <c r="J46" s="303" t="n"/>
      <c r="K46" s="303" t="n"/>
      <c r="L46" s="554" t="n"/>
      <c r="M46" s="303" t="n"/>
      <c r="N46" s="303" t="n"/>
      <c r="O46" s="303" t="n"/>
      <c r="P46" s="303" t="n"/>
      <c r="Q46" s="303" t="n"/>
      <c r="R46" s="303" t="n"/>
      <c r="S46" s="303" t="n"/>
      <c r="T46" s="303" t="n"/>
      <c r="U46" s="303">
        <f>IF(OR(S46="",T46=""),"",IF(S46=T46,"No","Yes"))</f>
        <v/>
      </c>
      <c r="V46" s="303" t="n"/>
      <c r="W46" s="303" t="n"/>
      <c r="X46" s="303" t="n"/>
      <c r="Y46" s="406">
        <f>IF(A46="","",IF(AND(O46="Rejected",X46="Yes"),"Potential unsupported-perturbation inflation",IF(AND(O46="Admitted",OR(M46&lt;&gt;"",N46&lt;&gt;"")),"No unsupported-perturbation defect indicated","Admission integrity incomplete")))</f>
        <v/>
      </c>
    </row>
    <row r="47">
      <c r="A47" s="405" t="n"/>
      <c r="B47" s="303" t="n"/>
      <c r="C47" s="303" t="n"/>
      <c r="D47" s="303" t="n"/>
      <c r="E47" s="303" t="n"/>
      <c r="F47" s="303" t="n"/>
      <c r="G47" s="303" t="n"/>
      <c r="H47" s="303" t="n"/>
      <c r="I47" s="303" t="n"/>
      <c r="J47" s="303" t="n"/>
      <c r="K47" s="303" t="n"/>
      <c r="L47" s="554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3">
        <f>IF(OR(S47="",T47=""),"",IF(S47=T47,"No","Yes"))</f>
        <v/>
      </c>
      <c r="V47" s="303" t="n"/>
      <c r="W47" s="303" t="n"/>
      <c r="X47" s="303" t="n"/>
      <c r="Y47" s="406">
        <f>IF(A47="","",IF(AND(O47="Rejected",X47="Yes"),"Potential unsupported-perturbation inflation",IF(AND(O47="Admitted",OR(M47&lt;&gt;"",N47&lt;&gt;"")),"No unsupported-perturbation defect indicated","Admission integrity incomplete")))</f>
        <v/>
      </c>
    </row>
    <row r="48">
      <c r="A48" s="405" t="n"/>
      <c r="B48" s="303" t="n"/>
      <c r="C48" s="303" t="n"/>
      <c r="D48" s="303" t="n"/>
      <c r="E48" s="303" t="n"/>
      <c r="F48" s="303" t="n"/>
      <c r="G48" s="303" t="n"/>
      <c r="H48" s="303" t="n"/>
      <c r="I48" s="303" t="n"/>
      <c r="J48" s="303" t="n"/>
      <c r="K48" s="303" t="n"/>
      <c r="L48" s="554" t="n"/>
      <c r="M48" s="303" t="n"/>
      <c r="N48" s="303" t="n"/>
      <c r="O48" s="303" t="n"/>
      <c r="P48" s="303" t="n"/>
      <c r="Q48" s="303" t="n"/>
      <c r="R48" s="303" t="n"/>
      <c r="S48" s="303" t="n"/>
      <c r="T48" s="303" t="n"/>
      <c r="U48" s="303">
        <f>IF(OR(S48="",T48=""),"",IF(S48=T48,"No","Yes"))</f>
        <v/>
      </c>
      <c r="V48" s="303" t="n"/>
      <c r="W48" s="303" t="n"/>
      <c r="X48" s="303" t="n"/>
      <c r="Y48" s="406">
        <f>IF(A48="","",IF(AND(O48="Rejected",X48="Yes"),"Potential unsupported-perturbation inflation",IF(AND(O48="Admitted",OR(M48&lt;&gt;"",N48&lt;&gt;"")),"No unsupported-perturbation defect indicated","Admission integrity incomplete")))</f>
        <v/>
      </c>
    </row>
    <row r="49">
      <c r="A49" s="405" t="n"/>
      <c r="B49" s="303" t="n"/>
      <c r="C49" s="303" t="n"/>
      <c r="D49" s="303" t="n"/>
      <c r="E49" s="303" t="n"/>
      <c r="F49" s="303" t="n"/>
      <c r="G49" s="303" t="n"/>
      <c r="H49" s="303" t="n"/>
      <c r="I49" s="303" t="n"/>
      <c r="J49" s="303" t="n"/>
      <c r="K49" s="303" t="n"/>
      <c r="L49" s="554" t="n"/>
      <c r="M49" s="303" t="n"/>
      <c r="N49" s="303" t="n"/>
      <c r="O49" s="303" t="n"/>
      <c r="P49" s="303" t="n"/>
      <c r="Q49" s="303" t="n"/>
      <c r="R49" s="303" t="n"/>
      <c r="S49" s="303" t="n"/>
      <c r="T49" s="303" t="n"/>
      <c r="U49" s="303">
        <f>IF(OR(S49="",T49=""),"",IF(S49=T49,"No","Yes"))</f>
        <v/>
      </c>
      <c r="V49" s="303" t="n"/>
      <c r="W49" s="303" t="n"/>
      <c r="X49" s="303" t="n"/>
      <c r="Y49" s="406">
        <f>IF(A49="","",IF(AND(O49="Rejected",X49="Yes"),"Potential unsupported-perturbation inflation",IF(AND(O49="Admitted",OR(M49&lt;&gt;"",N49&lt;&gt;"")),"No unsupported-perturbation defect indicated","Admission integrity incomplete")))</f>
        <v/>
      </c>
    </row>
    <row r="50">
      <c r="A50" s="405" t="n"/>
      <c r="B50" s="303" t="n"/>
      <c r="C50" s="303" t="n"/>
      <c r="D50" s="303" t="n"/>
      <c r="E50" s="303" t="n"/>
      <c r="F50" s="303" t="n"/>
      <c r="G50" s="303" t="n"/>
      <c r="H50" s="303" t="n"/>
      <c r="I50" s="303" t="n"/>
      <c r="J50" s="303" t="n"/>
      <c r="K50" s="303" t="n"/>
      <c r="L50" s="554" t="n"/>
      <c r="M50" s="303" t="n"/>
      <c r="N50" s="303" t="n"/>
      <c r="O50" s="303" t="n"/>
      <c r="P50" s="303" t="n"/>
      <c r="Q50" s="303" t="n"/>
      <c r="R50" s="303" t="n"/>
      <c r="S50" s="303" t="n"/>
      <c r="T50" s="303" t="n"/>
      <c r="U50" s="303">
        <f>IF(OR(S50="",T50=""),"",IF(S50=T50,"No","Yes"))</f>
        <v/>
      </c>
      <c r="V50" s="303" t="n"/>
      <c r="W50" s="303" t="n"/>
      <c r="X50" s="303" t="n"/>
      <c r="Y50" s="406">
        <f>IF(A50="","",IF(AND(O50="Rejected",X50="Yes"),"Potential unsupported-perturbation inflation",IF(AND(O50="Admitted",OR(M50&lt;&gt;"",N50&lt;&gt;"")),"No unsupported-perturbation defect indicated","Admission integrity incomplete")))</f>
        <v/>
      </c>
    </row>
    <row r="51">
      <c r="A51" s="405" t="n"/>
      <c r="B51" s="303" t="n"/>
      <c r="C51" s="303" t="n"/>
      <c r="D51" s="303" t="n"/>
      <c r="E51" s="303" t="n"/>
      <c r="F51" s="303" t="n"/>
      <c r="G51" s="303" t="n"/>
      <c r="H51" s="303" t="n"/>
      <c r="I51" s="303" t="n"/>
      <c r="J51" s="303" t="n"/>
      <c r="K51" s="303" t="n"/>
      <c r="L51" s="554" t="n"/>
      <c r="M51" s="303" t="n"/>
      <c r="N51" s="303" t="n"/>
      <c r="O51" s="303" t="n"/>
      <c r="P51" s="303" t="n"/>
      <c r="Q51" s="303" t="n"/>
      <c r="R51" s="303" t="n"/>
      <c r="S51" s="303" t="n"/>
      <c r="T51" s="303" t="n"/>
      <c r="U51" s="303">
        <f>IF(OR(S51="",T51=""),"",IF(S51=T51,"No","Yes"))</f>
        <v/>
      </c>
      <c r="V51" s="303" t="n"/>
      <c r="W51" s="303" t="n"/>
      <c r="X51" s="303" t="n"/>
      <c r="Y51" s="406">
        <f>IF(A51="","",IF(AND(O51="Rejected",X51="Yes"),"Potential unsupported-perturbation inflation",IF(AND(O51="Admitted",OR(M51&lt;&gt;"",N51&lt;&gt;"")),"No unsupported-perturbation defect indicated","Admission integrity incomplete")))</f>
        <v/>
      </c>
    </row>
    <row r="52">
      <c r="A52" s="405" t="n"/>
      <c r="B52" s="303" t="n"/>
      <c r="C52" s="303" t="n"/>
      <c r="D52" s="303" t="n"/>
      <c r="E52" s="303" t="n"/>
      <c r="F52" s="303" t="n"/>
      <c r="G52" s="303" t="n"/>
      <c r="H52" s="303" t="n"/>
      <c r="I52" s="303" t="n"/>
      <c r="J52" s="303" t="n"/>
      <c r="K52" s="303" t="n"/>
      <c r="L52" s="554" t="n"/>
      <c r="M52" s="303" t="n"/>
      <c r="N52" s="303" t="n"/>
      <c r="O52" s="303" t="n"/>
      <c r="P52" s="303" t="n"/>
      <c r="Q52" s="303" t="n"/>
      <c r="R52" s="303" t="n"/>
      <c r="S52" s="303" t="n"/>
      <c r="T52" s="303" t="n"/>
      <c r="U52" s="303">
        <f>IF(OR(S52="",T52=""),"",IF(S52=T52,"No","Yes"))</f>
        <v/>
      </c>
      <c r="V52" s="303" t="n"/>
      <c r="W52" s="303" t="n"/>
      <c r="X52" s="303" t="n"/>
      <c r="Y52" s="406">
        <f>IF(A52="","",IF(AND(O52="Rejected",X52="Yes"),"Potential unsupported-perturbation inflation",IF(AND(O52="Admitted",OR(M52&lt;&gt;"",N52&lt;&gt;"")),"No unsupported-perturbation defect indicated","Admission integrity incomplete")))</f>
        <v/>
      </c>
    </row>
    <row r="53">
      <c r="A53" s="405" t="n"/>
      <c r="B53" s="303" t="n"/>
      <c r="C53" s="303" t="n"/>
      <c r="D53" s="303" t="n"/>
      <c r="E53" s="303" t="n"/>
      <c r="F53" s="303" t="n"/>
      <c r="G53" s="303" t="n"/>
      <c r="H53" s="303" t="n"/>
      <c r="I53" s="303" t="n"/>
      <c r="J53" s="303" t="n"/>
      <c r="K53" s="303" t="n"/>
      <c r="L53" s="554" t="n"/>
      <c r="M53" s="303" t="n"/>
      <c r="N53" s="303" t="n"/>
      <c r="O53" s="303" t="n"/>
      <c r="P53" s="303" t="n"/>
      <c r="Q53" s="303" t="n"/>
      <c r="R53" s="303" t="n"/>
      <c r="S53" s="303" t="n"/>
      <c r="T53" s="303" t="n"/>
      <c r="U53" s="303">
        <f>IF(OR(S53="",T53=""),"",IF(S53=T53,"No","Yes"))</f>
        <v/>
      </c>
      <c r="V53" s="303" t="n"/>
      <c r="W53" s="303" t="n"/>
      <c r="X53" s="303" t="n"/>
      <c r="Y53" s="406">
        <f>IF(A53="","",IF(AND(O53="Rejected",X53="Yes"),"Potential unsupported-perturbation inflation",IF(AND(O53="Admitted",OR(M53&lt;&gt;"",N53&lt;&gt;"")),"No unsupported-perturbation defect indicated","Admission integrity incomplete")))</f>
        <v/>
      </c>
    </row>
    <row r="54">
      <c r="A54" s="405" t="n"/>
      <c r="B54" s="303" t="n"/>
      <c r="C54" s="303" t="n"/>
      <c r="D54" s="303" t="n"/>
      <c r="E54" s="303" t="n"/>
      <c r="F54" s="303" t="n"/>
      <c r="G54" s="303" t="n"/>
      <c r="H54" s="303" t="n"/>
      <c r="I54" s="303" t="n"/>
      <c r="J54" s="303" t="n"/>
      <c r="K54" s="303" t="n"/>
      <c r="L54" s="554" t="n"/>
      <c r="M54" s="303" t="n"/>
      <c r="N54" s="303" t="n"/>
      <c r="O54" s="303" t="n"/>
      <c r="P54" s="303" t="n"/>
      <c r="Q54" s="303" t="n"/>
      <c r="R54" s="303" t="n"/>
      <c r="S54" s="303" t="n"/>
      <c r="T54" s="303" t="n"/>
      <c r="U54" s="303">
        <f>IF(OR(S54="",T54=""),"",IF(S54=T54,"No","Yes"))</f>
        <v/>
      </c>
      <c r="V54" s="303" t="n"/>
      <c r="W54" s="303" t="n"/>
      <c r="X54" s="303" t="n"/>
      <c r="Y54" s="406">
        <f>IF(A54="","",IF(AND(O54="Rejected",X54="Yes"),"Potential unsupported-perturbation inflation",IF(AND(O54="Admitted",OR(M54&lt;&gt;"",N54&lt;&gt;"")),"No unsupported-perturbation defect indicated","Admission integrity incomplete")))</f>
        <v/>
      </c>
    </row>
    <row r="55">
      <c r="A55" s="405" t="n"/>
      <c r="B55" s="303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554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3">
        <f>IF(OR(S55="",T55=""),"",IF(S55=T55,"No","Yes"))</f>
        <v/>
      </c>
      <c r="V55" s="303" t="n"/>
      <c r="W55" s="303" t="n"/>
      <c r="X55" s="303" t="n"/>
      <c r="Y55" s="406">
        <f>IF(A55="","",IF(AND(O55="Rejected",X55="Yes"),"Potential unsupported-perturbation inflation",IF(AND(O55="Admitted",OR(M55&lt;&gt;"",N55&lt;&gt;"")),"No unsupported-perturbation defect indicated","Admission integrity incomplete")))</f>
        <v/>
      </c>
    </row>
    <row r="56">
      <c r="A56" s="405" t="n"/>
      <c r="B56" s="303" t="n"/>
      <c r="C56" s="303" t="n"/>
      <c r="D56" s="303" t="n"/>
      <c r="E56" s="303" t="n"/>
      <c r="F56" s="303" t="n"/>
      <c r="G56" s="303" t="n"/>
      <c r="H56" s="303" t="n"/>
      <c r="I56" s="303" t="n"/>
      <c r="J56" s="303" t="n"/>
      <c r="K56" s="303" t="n"/>
      <c r="L56" s="554" t="n"/>
      <c r="M56" s="303" t="n"/>
      <c r="N56" s="303" t="n"/>
      <c r="O56" s="303" t="n"/>
      <c r="P56" s="303" t="n"/>
      <c r="Q56" s="303" t="n"/>
      <c r="R56" s="303" t="n"/>
      <c r="S56" s="303" t="n"/>
      <c r="T56" s="303" t="n"/>
      <c r="U56" s="303">
        <f>IF(OR(S56="",T56=""),"",IF(S56=T56,"No","Yes"))</f>
        <v/>
      </c>
      <c r="V56" s="303" t="n"/>
      <c r="W56" s="303" t="n"/>
      <c r="X56" s="303" t="n"/>
      <c r="Y56" s="406">
        <f>IF(A56="","",IF(AND(O56="Rejected",X56="Yes"),"Potential unsupported-perturbation inflation",IF(AND(O56="Admitted",OR(M56&lt;&gt;"",N56&lt;&gt;"")),"No unsupported-perturbation defect indicated","Admission integrity incomplete")))</f>
        <v/>
      </c>
    </row>
    <row r="57">
      <c r="A57" s="405" t="n"/>
      <c r="B57" s="303" t="n"/>
      <c r="C57" s="303" t="n"/>
      <c r="D57" s="303" t="n"/>
      <c r="E57" s="303" t="n"/>
      <c r="F57" s="303" t="n"/>
      <c r="G57" s="303" t="n"/>
      <c r="H57" s="303" t="n"/>
      <c r="I57" s="303" t="n"/>
      <c r="J57" s="303" t="n"/>
      <c r="K57" s="303" t="n"/>
      <c r="L57" s="554" t="n"/>
      <c r="M57" s="303" t="n"/>
      <c r="N57" s="303" t="n"/>
      <c r="O57" s="303" t="n"/>
      <c r="P57" s="303" t="n"/>
      <c r="Q57" s="303" t="n"/>
      <c r="R57" s="303" t="n"/>
      <c r="S57" s="303" t="n"/>
      <c r="T57" s="303" t="n"/>
      <c r="U57" s="303">
        <f>IF(OR(S57="",T57=""),"",IF(S57=T57,"No","Yes"))</f>
        <v/>
      </c>
      <c r="V57" s="303" t="n"/>
      <c r="W57" s="303" t="n"/>
      <c r="X57" s="303" t="n"/>
      <c r="Y57" s="406">
        <f>IF(A57="","",IF(AND(O57="Rejected",X57="Yes"),"Potential unsupported-perturbation inflation",IF(AND(O57="Admitted",OR(M57&lt;&gt;"",N57&lt;&gt;"")),"No unsupported-perturbation defect indicated","Admission integrity incomplete")))</f>
        <v/>
      </c>
    </row>
    <row r="58">
      <c r="A58" s="405" t="n"/>
      <c r="B58" s="303" t="n"/>
      <c r="C58" s="303" t="n"/>
      <c r="D58" s="303" t="n"/>
      <c r="E58" s="303" t="n"/>
      <c r="F58" s="303" t="n"/>
      <c r="G58" s="303" t="n"/>
      <c r="H58" s="303" t="n"/>
      <c r="I58" s="303" t="n"/>
      <c r="J58" s="303" t="n"/>
      <c r="K58" s="303" t="n"/>
      <c r="L58" s="554" t="n"/>
      <c r="M58" s="303" t="n"/>
      <c r="N58" s="303" t="n"/>
      <c r="O58" s="303" t="n"/>
      <c r="P58" s="303" t="n"/>
      <c r="Q58" s="303" t="n"/>
      <c r="R58" s="303" t="n"/>
      <c r="S58" s="303" t="n"/>
      <c r="T58" s="303" t="n"/>
      <c r="U58" s="303">
        <f>IF(OR(S58="",T58=""),"",IF(S58=T58,"No","Yes"))</f>
        <v/>
      </c>
      <c r="V58" s="303" t="n"/>
      <c r="W58" s="303" t="n"/>
      <c r="X58" s="303" t="n"/>
      <c r="Y58" s="406">
        <f>IF(A58="","",IF(AND(O58="Rejected",X58="Yes"),"Potential unsupported-perturbation inflation",IF(AND(O58="Admitted",OR(M58&lt;&gt;"",N58&lt;&gt;"")),"No unsupported-perturbation defect indicated","Admission integrity incomplete")))</f>
        <v/>
      </c>
    </row>
    <row r="59">
      <c r="A59" s="405" t="n"/>
      <c r="B59" s="303" t="n"/>
      <c r="C59" s="303" t="n"/>
      <c r="D59" s="303" t="n"/>
      <c r="E59" s="303" t="n"/>
      <c r="F59" s="303" t="n"/>
      <c r="G59" s="303" t="n"/>
      <c r="H59" s="303" t="n"/>
      <c r="I59" s="303" t="n"/>
      <c r="J59" s="303" t="n"/>
      <c r="K59" s="303" t="n"/>
      <c r="L59" s="554" t="n"/>
      <c r="M59" s="303" t="n"/>
      <c r="N59" s="303" t="n"/>
      <c r="O59" s="303" t="n"/>
      <c r="P59" s="303" t="n"/>
      <c r="Q59" s="303" t="n"/>
      <c r="R59" s="303" t="n"/>
      <c r="S59" s="303" t="n"/>
      <c r="T59" s="303" t="n"/>
      <c r="U59" s="303">
        <f>IF(OR(S59="",T59=""),"",IF(S59=T59,"No","Yes"))</f>
        <v/>
      </c>
      <c r="V59" s="303" t="n"/>
      <c r="W59" s="303" t="n"/>
      <c r="X59" s="303" t="n"/>
      <c r="Y59" s="406">
        <f>IF(A59="","",IF(AND(O59="Rejected",X59="Yes"),"Potential unsupported-perturbation inflation",IF(AND(O59="Admitted",OR(M59&lt;&gt;"",N59&lt;&gt;"")),"No unsupported-perturbation defect indicated","Admission integrity incomplete")))</f>
        <v/>
      </c>
    </row>
    <row r="60">
      <c r="A60" s="405" t="n"/>
      <c r="B60" s="303" t="n"/>
      <c r="C60" s="303" t="n"/>
      <c r="D60" s="303" t="n"/>
      <c r="E60" s="303" t="n"/>
      <c r="F60" s="303" t="n"/>
      <c r="G60" s="303" t="n"/>
      <c r="H60" s="303" t="n"/>
      <c r="I60" s="303" t="n"/>
      <c r="J60" s="303" t="n"/>
      <c r="K60" s="303" t="n"/>
      <c r="L60" s="554" t="n"/>
      <c r="M60" s="303" t="n"/>
      <c r="N60" s="303" t="n"/>
      <c r="O60" s="303" t="n"/>
      <c r="P60" s="303" t="n"/>
      <c r="Q60" s="303" t="n"/>
      <c r="R60" s="303" t="n"/>
      <c r="S60" s="303" t="n"/>
      <c r="T60" s="303" t="n"/>
      <c r="U60" s="303">
        <f>IF(OR(S60="",T60=""),"",IF(S60=T60,"No","Yes"))</f>
        <v/>
      </c>
      <c r="V60" s="303" t="n"/>
      <c r="W60" s="303" t="n"/>
      <c r="X60" s="303" t="n"/>
      <c r="Y60" s="406">
        <f>IF(A60="","",IF(AND(O60="Rejected",X60="Yes"),"Potential unsupported-perturbation inflation",IF(AND(O60="Admitted",OR(M60&lt;&gt;"",N60&lt;&gt;"")),"No unsupported-perturbation defect indicated","Admission integrity incomplete")))</f>
        <v/>
      </c>
    </row>
    <row r="61">
      <c r="A61" s="405" t="n"/>
      <c r="B61" s="303" t="n"/>
      <c r="C61" s="303" t="n"/>
      <c r="D61" s="303" t="n"/>
      <c r="E61" s="303" t="n"/>
      <c r="F61" s="303" t="n"/>
      <c r="G61" s="303" t="n"/>
      <c r="H61" s="303" t="n"/>
      <c r="I61" s="303" t="n"/>
      <c r="J61" s="303" t="n"/>
      <c r="K61" s="303" t="n"/>
      <c r="L61" s="554" t="n"/>
      <c r="M61" s="303" t="n"/>
      <c r="N61" s="303" t="n"/>
      <c r="O61" s="303" t="n"/>
      <c r="P61" s="303" t="n"/>
      <c r="Q61" s="303" t="n"/>
      <c r="R61" s="303" t="n"/>
      <c r="S61" s="303" t="n"/>
      <c r="T61" s="303" t="n"/>
      <c r="U61" s="303">
        <f>IF(OR(S61="",T61=""),"",IF(S61=T61,"No","Yes"))</f>
        <v/>
      </c>
      <c r="V61" s="303" t="n"/>
      <c r="W61" s="303" t="n"/>
      <c r="X61" s="303" t="n"/>
      <c r="Y61" s="406">
        <f>IF(A61="","",IF(AND(O61="Rejected",X61="Yes"),"Potential unsupported-perturbation inflation",IF(AND(O61="Admitted",OR(M61&lt;&gt;"",N61&lt;&gt;"")),"No unsupported-perturbation defect indicated","Admission integrity incomplete")))</f>
        <v/>
      </c>
    </row>
    <row r="62">
      <c r="A62" s="405" t="n"/>
      <c r="B62" s="303" t="n"/>
      <c r="C62" s="303" t="n"/>
      <c r="D62" s="303" t="n"/>
      <c r="E62" s="303" t="n"/>
      <c r="F62" s="303" t="n"/>
      <c r="G62" s="303" t="n"/>
      <c r="H62" s="303" t="n"/>
      <c r="I62" s="303" t="n"/>
      <c r="J62" s="303" t="n"/>
      <c r="K62" s="303" t="n"/>
      <c r="L62" s="554" t="n"/>
      <c r="M62" s="303" t="n"/>
      <c r="N62" s="303" t="n"/>
      <c r="O62" s="303" t="n"/>
      <c r="P62" s="303" t="n"/>
      <c r="Q62" s="303" t="n"/>
      <c r="R62" s="303" t="n"/>
      <c r="S62" s="303" t="n"/>
      <c r="T62" s="303" t="n"/>
      <c r="U62" s="303">
        <f>IF(OR(S62="",T62=""),"",IF(S62=T62,"No","Yes"))</f>
        <v/>
      </c>
      <c r="V62" s="303" t="n"/>
      <c r="W62" s="303" t="n"/>
      <c r="X62" s="303" t="n"/>
      <c r="Y62" s="406">
        <f>IF(A62="","",IF(AND(O62="Rejected",X62="Yes"),"Potential unsupported-perturbation inflation",IF(AND(O62="Admitted",OR(M62&lt;&gt;"",N62&lt;&gt;"")),"No unsupported-perturbation defect indicated","Admission integrity incomplete")))</f>
        <v/>
      </c>
    </row>
    <row r="63">
      <c r="A63" s="405" t="n"/>
      <c r="B63" s="303" t="n"/>
      <c r="C63" s="303" t="n"/>
      <c r="D63" s="303" t="n"/>
      <c r="E63" s="303" t="n"/>
      <c r="F63" s="303" t="n"/>
      <c r="G63" s="303" t="n"/>
      <c r="H63" s="303" t="n"/>
      <c r="I63" s="303" t="n"/>
      <c r="J63" s="303" t="n"/>
      <c r="K63" s="303" t="n"/>
      <c r="L63" s="554" t="n"/>
      <c r="M63" s="303" t="n"/>
      <c r="N63" s="303" t="n"/>
      <c r="O63" s="303" t="n"/>
      <c r="P63" s="303" t="n"/>
      <c r="Q63" s="303" t="n"/>
      <c r="R63" s="303" t="n"/>
      <c r="S63" s="303" t="n"/>
      <c r="T63" s="303" t="n"/>
      <c r="U63" s="303">
        <f>IF(OR(S63="",T63=""),"",IF(S63=T63,"No","Yes"))</f>
        <v/>
      </c>
      <c r="V63" s="303" t="n"/>
      <c r="W63" s="303" t="n"/>
      <c r="X63" s="303" t="n"/>
      <c r="Y63" s="406">
        <f>IF(A63="","",IF(AND(O63="Rejected",X63="Yes"),"Potential unsupported-perturbation inflation",IF(AND(O63="Admitted",OR(M63&lt;&gt;"",N63&lt;&gt;"")),"No unsupported-perturbation defect indicated","Admission integrity incomplete")))</f>
        <v/>
      </c>
    </row>
    <row r="64">
      <c r="A64" s="405" t="n"/>
      <c r="B64" s="303" t="n"/>
      <c r="C64" s="303" t="n"/>
      <c r="D64" s="303" t="n"/>
      <c r="E64" s="303" t="n"/>
      <c r="F64" s="303" t="n"/>
      <c r="G64" s="303" t="n"/>
      <c r="H64" s="303" t="n"/>
      <c r="I64" s="303" t="n"/>
      <c r="J64" s="303" t="n"/>
      <c r="K64" s="303" t="n"/>
      <c r="L64" s="554" t="n"/>
      <c r="M64" s="303" t="n"/>
      <c r="N64" s="303" t="n"/>
      <c r="O64" s="303" t="n"/>
      <c r="P64" s="303" t="n"/>
      <c r="Q64" s="303" t="n"/>
      <c r="R64" s="303" t="n"/>
      <c r="S64" s="303" t="n"/>
      <c r="T64" s="303" t="n"/>
      <c r="U64" s="303">
        <f>IF(OR(S64="",T64=""),"",IF(S64=T64,"No","Yes"))</f>
        <v/>
      </c>
      <c r="V64" s="303" t="n"/>
      <c r="W64" s="303" t="n"/>
      <c r="X64" s="303" t="n"/>
      <c r="Y64" s="406">
        <f>IF(A64="","",IF(AND(O64="Rejected",X64="Yes"),"Potential unsupported-perturbation inflation",IF(AND(O64="Admitted",OR(M64&lt;&gt;"",N64&lt;&gt;"")),"No unsupported-perturbation defect indicated","Admission integrity incomplete")))</f>
        <v/>
      </c>
    </row>
    <row r="65">
      <c r="A65" s="405" t="n"/>
      <c r="B65" s="303" t="n"/>
      <c r="C65" s="303" t="n"/>
      <c r="D65" s="303" t="n"/>
      <c r="E65" s="303" t="n"/>
      <c r="F65" s="303" t="n"/>
      <c r="G65" s="303" t="n"/>
      <c r="H65" s="303" t="n"/>
      <c r="I65" s="303" t="n"/>
      <c r="J65" s="303" t="n"/>
      <c r="K65" s="303" t="n"/>
      <c r="L65" s="554" t="n"/>
      <c r="M65" s="303" t="n"/>
      <c r="N65" s="303" t="n"/>
      <c r="O65" s="303" t="n"/>
      <c r="P65" s="303" t="n"/>
      <c r="Q65" s="303" t="n"/>
      <c r="R65" s="303" t="n"/>
      <c r="S65" s="303" t="n"/>
      <c r="T65" s="303" t="n"/>
      <c r="U65" s="303">
        <f>IF(OR(S65="",T65=""),"",IF(S65=T65,"No","Yes"))</f>
        <v/>
      </c>
      <c r="V65" s="303" t="n"/>
      <c r="W65" s="303" t="n"/>
      <c r="X65" s="303" t="n"/>
      <c r="Y65" s="406">
        <f>IF(A65="","",IF(AND(O65="Rejected",X65="Yes"),"Potential unsupported-perturbation inflation",IF(AND(O65="Admitted",OR(M65&lt;&gt;"",N65&lt;&gt;"")),"No unsupported-perturbation defect indicated","Admission integrity incomplete")))</f>
        <v/>
      </c>
    </row>
    <row r="66">
      <c r="A66" s="405" t="n"/>
      <c r="B66" s="303" t="n"/>
      <c r="C66" s="303" t="n"/>
      <c r="D66" s="303" t="n"/>
      <c r="E66" s="303" t="n"/>
      <c r="F66" s="303" t="n"/>
      <c r="G66" s="303" t="n"/>
      <c r="H66" s="303" t="n"/>
      <c r="I66" s="303" t="n"/>
      <c r="J66" s="303" t="n"/>
      <c r="K66" s="303" t="n"/>
      <c r="L66" s="554" t="n"/>
      <c r="M66" s="303" t="n"/>
      <c r="N66" s="303" t="n"/>
      <c r="O66" s="303" t="n"/>
      <c r="P66" s="303" t="n"/>
      <c r="Q66" s="303" t="n"/>
      <c r="R66" s="303" t="n"/>
      <c r="S66" s="303" t="n"/>
      <c r="T66" s="303" t="n"/>
      <c r="U66" s="303">
        <f>IF(OR(S66="",T66=""),"",IF(S66=T66,"No","Yes"))</f>
        <v/>
      </c>
      <c r="V66" s="303" t="n"/>
      <c r="W66" s="303" t="n"/>
      <c r="X66" s="303" t="n"/>
      <c r="Y66" s="406">
        <f>IF(A66="","",IF(AND(O66="Rejected",X66="Yes"),"Potential unsupported-perturbation inflation",IF(AND(O66="Admitted",OR(M66&lt;&gt;"",N66&lt;&gt;"")),"No unsupported-perturbation defect indicated","Admission integrity incomplete")))</f>
        <v/>
      </c>
    </row>
    <row r="67">
      <c r="A67" s="405" t="n"/>
      <c r="B67" s="303" t="n"/>
      <c r="C67" s="303" t="n"/>
      <c r="D67" s="303" t="n"/>
      <c r="E67" s="303" t="n"/>
      <c r="F67" s="303" t="n"/>
      <c r="G67" s="303" t="n"/>
      <c r="H67" s="303" t="n"/>
      <c r="I67" s="303" t="n"/>
      <c r="J67" s="303" t="n"/>
      <c r="K67" s="303" t="n"/>
      <c r="L67" s="554" t="n"/>
      <c r="M67" s="303" t="n"/>
      <c r="N67" s="303" t="n"/>
      <c r="O67" s="303" t="n"/>
      <c r="P67" s="303" t="n"/>
      <c r="Q67" s="303" t="n"/>
      <c r="R67" s="303" t="n"/>
      <c r="S67" s="303" t="n"/>
      <c r="T67" s="303" t="n"/>
      <c r="U67" s="303">
        <f>IF(OR(S67="",T67=""),"",IF(S67=T67,"No","Yes"))</f>
        <v/>
      </c>
      <c r="V67" s="303" t="n"/>
      <c r="W67" s="303" t="n"/>
      <c r="X67" s="303" t="n"/>
      <c r="Y67" s="406">
        <f>IF(A67="","",IF(AND(O67="Rejected",X67="Yes"),"Potential unsupported-perturbation inflation",IF(AND(O67="Admitted",OR(M67&lt;&gt;"",N67&lt;&gt;"")),"No unsupported-perturbation defect indicated","Admission integrity incomplete")))</f>
        <v/>
      </c>
    </row>
    <row r="68">
      <c r="A68" s="405" t="n"/>
      <c r="B68" s="303" t="n"/>
      <c r="C68" s="303" t="n"/>
      <c r="D68" s="303" t="n"/>
      <c r="E68" s="303" t="n"/>
      <c r="F68" s="303" t="n"/>
      <c r="G68" s="303" t="n"/>
      <c r="H68" s="303" t="n"/>
      <c r="I68" s="303" t="n"/>
      <c r="J68" s="303" t="n"/>
      <c r="K68" s="303" t="n"/>
      <c r="L68" s="554" t="n"/>
      <c r="M68" s="303" t="n"/>
      <c r="N68" s="303" t="n"/>
      <c r="O68" s="303" t="n"/>
      <c r="P68" s="303" t="n"/>
      <c r="Q68" s="303" t="n"/>
      <c r="R68" s="303" t="n"/>
      <c r="S68" s="303" t="n"/>
      <c r="T68" s="303" t="n"/>
      <c r="U68" s="303">
        <f>IF(OR(S68="",T68=""),"",IF(S68=T68,"No","Yes"))</f>
        <v/>
      </c>
      <c r="V68" s="303" t="n"/>
      <c r="W68" s="303" t="n"/>
      <c r="X68" s="303" t="n"/>
      <c r="Y68" s="406">
        <f>IF(A68="","",IF(AND(O68="Rejected",X68="Yes"),"Potential unsupported-perturbation inflation",IF(AND(O68="Admitted",OR(M68&lt;&gt;"",N68&lt;&gt;"")),"No unsupported-perturbation defect indicated","Admission integrity incomplete")))</f>
        <v/>
      </c>
    </row>
    <row r="69">
      <c r="A69" s="405" t="n"/>
      <c r="B69" s="303" t="n"/>
      <c r="C69" s="303" t="n"/>
      <c r="D69" s="303" t="n"/>
      <c r="E69" s="303" t="n"/>
      <c r="F69" s="303" t="n"/>
      <c r="G69" s="303" t="n"/>
      <c r="H69" s="303" t="n"/>
      <c r="I69" s="303" t="n"/>
      <c r="J69" s="303" t="n"/>
      <c r="K69" s="303" t="n"/>
      <c r="L69" s="554" t="n"/>
      <c r="M69" s="303" t="n"/>
      <c r="N69" s="303" t="n"/>
      <c r="O69" s="303" t="n"/>
      <c r="P69" s="303" t="n"/>
      <c r="Q69" s="303" t="n"/>
      <c r="R69" s="303" t="n"/>
      <c r="S69" s="303" t="n"/>
      <c r="T69" s="303" t="n"/>
      <c r="U69" s="303">
        <f>IF(OR(S69="",T69=""),"",IF(S69=T69,"No","Yes"))</f>
        <v/>
      </c>
      <c r="V69" s="303" t="n"/>
      <c r="W69" s="303" t="n"/>
      <c r="X69" s="303" t="n"/>
      <c r="Y69" s="406">
        <f>IF(A69="","",IF(AND(O69="Rejected",X69="Yes"),"Potential unsupported-perturbation inflation",IF(AND(O69="Admitted",OR(M69&lt;&gt;"",N69&lt;&gt;"")),"No unsupported-perturbation defect indicated","Admission integrity incomplete")))</f>
        <v/>
      </c>
    </row>
    <row r="70">
      <c r="A70" s="405" t="n"/>
      <c r="B70" s="303" t="n"/>
      <c r="C70" s="303" t="n"/>
      <c r="D70" s="303" t="n"/>
      <c r="E70" s="303" t="n"/>
      <c r="F70" s="303" t="n"/>
      <c r="G70" s="303" t="n"/>
      <c r="H70" s="303" t="n"/>
      <c r="I70" s="303" t="n"/>
      <c r="J70" s="303" t="n"/>
      <c r="K70" s="303" t="n"/>
      <c r="L70" s="554" t="n"/>
      <c r="M70" s="303" t="n"/>
      <c r="N70" s="303" t="n"/>
      <c r="O70" s="303" t="n"/>
      <c r="P70" s="303" t="n"/>
      <c r="Q70" s="303" t="n"/>
      <c r="R70" s="303" t="n"/>
      <c r="S70" s="303" t="n"/>
      <c r="T70" s="303" t="n"/>
      <c r="U70" s="303">
        <f>IF(OR(S70="",T70=""),"",IF(S70=T70,"No","Yes"))</f>
        <v/>
      </c>
      <c r="V70" s="303" t="n"/>
      <c r="W70" s="303" t="n"/>
      <c r="X70" s="303" t="n"/>
      <c r="Y70" s="406">
        <f>IF(A70="","",IF(AND(O70="Rejected",X70="Yes"),"Potential unsupported-perturbation inflation",IF(AND(O70="Admitted",OR(M70&lt;&gt;"",N70&lt;&gt;"")),"No unsupported-perturbation defect indicated","Admission integrity incomplete")))</f>
        <v/>
      </c>
    </row>
    <row r="71">
      <c r="A71" s="405" t="n"/>
      <c r="B71" s="303" t="n"/>
      <c r="C71" s="303" t="n"/>
      <c r="D71" s="303" t="n"/>
      <c r="E71" s="303" t="n"/>
      <c r="F71" s="303" t="n"/>
      <c r="G71" s="303" t="n"/>
      <c r="H71" s="303" t="n"/>
      <c r="I71" s="303" t="n"/>
      <c r="J71" s="303" t="n"/>
      <c r="K71" s="303" t="n"/>
      <c r="L71" s="554" t="n"/>
      <c r="M71" s="303" t="n"/>
      <c r="N71" s="303" t="n"/>
      <c r="O71" s="303" t="n"/>
      <c r="P71" s="303" t="n"/>
      <c r="Q71" s="303" t="n"/>
      <c r="R71" s="303" t="n"/>
      <c r="S71" s="303" t="n"/>
      <c r="T71" s="303" t="n"/>
      <c r="U71" s="303">
        <f>IF(OR(S71="",T71=""),"",IF(S71=T71,"No","Yes"))</f>
        <v/>
      </c>
      <c r="V71" s="303" t="n"/>
      <c r="W71" s="303" t="n"/>
      <c r="X71" s="303" t="n"/>
      <c r="Y71" s="406">
        <f>IF(A71="","",IF(AND(O71="Rejected",X71="Yes"),"Potential unsupported-perturbation inflation",IF(AND(O71="Admitted",OR(M71&lt;&gt;"",N71&lt;&gt;"")),"No unsupported-perturbation defect indicated","Admission integrity incomplete")))</f>
        <v/>
      </c>
    </row>
    <row r="72">
      <c r="A72" s="405" t="n"/>
      <c r="B72" s="303" t="n"/>
      <c r="C72" s="303" t="n"/>
      <c r="D72" s="303" t="n"/>
      <c r="E72" s="303" t="n"/>
      <c r="F72" s="303" t="n"/>
      <c r="G72" s="303" t="n"/>
      <c r="H72" s="303" t="n"/>
      <c r="I72" s="303" t="n"/>
      <c r="J72" s="303" t="n"/>
      <c r="K72" s="303" t="n"/>
      <c r="L72" s="554" t="n"/>
      <c r="M72" s="303" t="n"/>
      <c r="N72" s="303" t="n"/>
      <c r="O72" s="303" t="n"/>
      <c r="P72" s="303" t="n"/>
      <c r="Q72" s="303" t="n"/>
      <c r="R72" s="303" t="n"/>
      <c r="S72" s="303" t="n"/>
      <c r="T72" s="303" t="n"/>
      <c r="U72" s="303">
        <f>IF(OR(S72="",T72=""),"",IF(S72=T72,"No","Yes"))</f>
        <v/>
      </c>
      <c r="V72" s="303" t="n"/>
      <c r="W72" s="303" t="n"/>
      <c r="X72" s="303" t="n"/>
      <c r="Y72" s="406">
        <f>IF(A72="","",IF(AND(O72="Rejected",X72="Yes"),"Potential unsupported-perturbation inflation",IF(AND(O72="Admitted",OR(M72&lt;&gt;"",N72&lt;&gt;"")),"No unsupported-perturbation defect indicated","Admission integrity incomplete")))</f>
        <v/>
      </c>
    </row>
    <row r="73">
      <c r="A73" s="405" t="n"/>
      <c r="B73" s="303" t="n"/>
      <c r="C73" s="303" t="n"/>
      <c r="D73" s="303" t="n"/>
      <c r="E73" s="303" t="n"/>
      <c r="F73" s="303" t="n"/>
      <c r="G73" s="303" t="n"/>
      <c r="H73" s="303" t="n"/>
      <c r="I73" s="303" t="n"/>
      <c r="J73" s="303" t="n"/>
      <c r="K73" s="303" t="n"/>
      <c r="L73" s="554" t="n"/>
      <c r="M73" s="303" t="n"/>
      <c r="N73" s="303" t="n"/>
      <c r="O73" s="303" t="n"/>
      <c r="P73" s="303" t="n"/>
      <c r="Q73" s="303" t="n"/>
      <c r="R73" s="303" t="n"/>
      <c r="S73" s="303" t="n"/>
      <c r="T73" s="303" t="n"/>
      <c r="U73" s="303">
        <f>IF(OR(S73="",T73=""),"",IF(S73=T73,"No","Yes"))</f>
        <v/>
      </c>
      <c r="V73" s="303" t="n"/>
      <c r="W73" s="303" t="n"/>
      <c r="X73" s="303" t="n"/>
      <c r="Y73" s="406">
        <f>IF(A73="","",IF(AND(O73="Rejected",X73="Yes"),"Potential unsupported-perturbation inflation",IF(AND(O73="Admitted",OR(M73&lt;&gt;"",N73&lt;&gt;"")),"No unsupported-perturbation defect indicated","Admission integrity incomplete")))</f>
        <v/>
      </c>
    </row>
    <row r="74">
      <c r="A74" s="405" t="n"/>
      <c r="B74" s="303" t="n"/>
      <c r="C74" s="303" t="n"/>
      <c r="D74" s="303" t="n"/>
      <c r="E74" s="303" t="n"/>
      <c r="F74" s="303" t="n"/>
      <c r="G74" s="303" t="n"/>
      <c r="H74" s="303" t="n"/>
      <c r="I74" s="303" t="n"/>
      <c r="J74" s="303" t="n"/>
      <c r="K74" s="303" t="n"/>
      <c r="L74" s="554" t="n"/>
      <c r="M74" s="303" t="n"/>
      <c r="N74" s="303" t="n"/>
      <c r="O74" s="303" t="n"/>
      <c r="P74" s="303" t="n"/>
      <c r="Q74" s="303" t="n"/>
      <c r="R74" s="303" t="n"/>
      <c r="S74" s="303" t="n"/>
      <c r="T74" s="303" t="n"/>
      <c r="U74" s="303">
        <f>IF(OR(S74="",T74=""),"",IF(S74=T74,"No","Yes"))</f>
        <v/>
      </c>
      <c r="V74" s="303" t="n"/>
      <c r="W74" s="303" t="n"/>
      <c r="X74" s="303" t="n"/>
      <c r="Y74" s="406">
        <f>IF(A74="","",IF(AND(O74="Rejected",X74="Yes"),"Potential unsupported-perturbation inflation",IF(AND(O74="Admitted",OR(M74&lt;&gt;"",N74&lt;&gt;"")),"No unsupported-perturbation defect indicated","Admission integrity incomplete")))</f>
        <v/>
      </c>
    </row>
    <row r="75">
      <c r="A75" s="405" t="n"/>
      <c r="B75" s="303" t="n"/>
      <c r="C75" s="303" t="n"/>
      <c r="D75" s="303" t="n"/>
      <c r="E75" s="303" t="n"/>
      <c r="F75" s="303" t="n"/>
      <c r="G75" s="303" t="n"/>
      <c r="H75" s="303" t="n"/>
      <c r="I75" s="303" t="n"/>
      <c r="J75" s="303" t="n"/>
      <c r="K75" s="303" t="n"/>
      <c r="L75" s="554" t="n"/>
      <c r="M75" s="303" t="n"/>
      <c r="N75" s="303" t="n"/>
      <c r="O75" s="303" t="n"/>
      <c r="P75" s="303" t="n"/>
      <c r="Q75" s="303" t="n"/>
      <c r="R75" s="303" t="n"/>
      <c r="S75" s="303" t="n"/>
      <c r="T75" s="303" t="n"/>
      <c r="U75" s="303">
        <f>IF(OR(S75="",T75=""),"",IF(S75=T75,"No","Yes"))</f>
        <v/>
      </c>
      <c r="V75" s="303" t="n"/>
      <c r="W75" s="303" t="n"/>
      <c r="X75" s="303" t="n"/>
      <c r="Y75" s="406">
        <f>IF(A75="","",IF(AND(O75="Rejected",X75="Yes"),"Potential unsupported-perturbation inflation",IF(AND(O75="Admitted",OR(M75&lt;&gt;"",N75&lt;&gt;"")),"No unsupported-perturbation defect indicated","Admission integrity incomplete")))</f>
        <v/>
      </c>
    </row>
    <row r="76">
      <c r="A76" s="405" t="n"/>
      <c r="B76" s="303" t="n"/>
      <c r="C76" s="303" t="n"/>
      <c r="D76" s="303" t="n"/>
      <c r="E76" s="303" t="n"/>
      <c r="F76" s="303" t="n"/>
      <c r="G76" s="303" t="n"/>
      <c r="H76" s="303" t="n"/>
      <c r="I76" s="303" t="n"/>
      <c r="J76" s="303" t="n"/>
      <c r="K76" s="303" t="n"/>
      <c r="L76" s="554" t="n"/>
      <c r="M76" s="303" t="n"/>
      <c r="N76" s="303" t="n"/>
      <c r="O76" s="303" t="n"/>
      <c r="P76" s="303" t="n"/>
      <c r="Q76" s="303" t="n"/>
      <c r="R76" s="303" t="n"/>
      <c r="S76" s="303" t="n"/>
      <c r="T76" s="303" t="n"/>
      <c r="U76" s="303">
        <f>IF(OR(S76="",T76=""),"",IF(S76=T76,"No","Yes"))</f>
        <v/>
      </c>
      <c r="V76" s="303" t="n"/>
      <c r="W76" s="303" t="n"/>
      <c r="X76" s="303" t="n"/>
      <c r="Y76" s="406">
        <f>IF(A76="","",IF(AND(O76="Rejected",X76="Yes"),"Potential unsupported-perturbation inflation",IF(AND(O76="Admitted",OR(M76&lt;&gt;"",N76&lt;&gt;"")),"No unsupported-perturbation defect indicated","Admission integrity incomplete")))</f>
        <v/>
      </c>
    </row>
    <row r="77">
      <c r="A77" s="405" t="n"/>
      <c r="B77" s="303" t="n"/>
      <c r="C77" s="303" t="n"/>
      <c r="D77" s="303" t="n"/>
      <c r="E77" s="303" t="n"/>
      <c r="F77" s="303" t="n"/>
      <c r="G77" s="303" t="n"/>
      <c r="H77" s="303" t="n"/>
      <c r="I77" s="303" t="n"/>
      <c r="J77" s="303" t="n"/>
      <c r="K77" s="303" t="n"/>
      <c r="L77" s="554" t="n"/>
      <c r="M77" s="303" t="n"/>
      <c r="N77" s="303" t="n"/>
      <c r="O77" s="303" t="n"/>
      <c r="P77" s="303" t="n"/>
      <c r="Q77" s="303" t="n"/>
      <c r="R77" s="303" t="n"/>
      <c r="S77" s="303" t="n"/>
      <c r="T77" s="303" t="n"/>
      <c r="U77" s="303">
        <f>IF(OR(S77="",T77=""),"",IF(S77=T77,"No","Yes"))</f>
        <v/>
      </c>
      <c r="V77" s="303" t="n"/>
      <c r="W77" s="303" t="n"/>
      <c r="X77" s="303" t="n"/>
      <c r="Y77" s="406">
        <f>IF(A77="","",IF(AND(O77="Rejected",X77="Yes"),"Potential unsupported-perturbation inflation",IF(AND(O77="Admitted",OR(M77&lt;&gt;"",N77&lt;&gt;"")),"No unsupported-perturbation defect indicated","Admission integrity incomplete")))</f>
        <v/>
      </c>
    </row>
    <row r="78">
      <c r="A78" s="405" t="n"/>
      <c r="B78" s="303" t="n"/>
      <c r="C78" s="303" t="n"/>
      <c r="D78" s="303" t="n"/>
      <c r="E78" s="303" t="n"/>
      <c r="F78" s="303" t="n"/>
      <c r="G78" s="303" t="n"/>
      <c r="H78" s="303" t="n"/>
      <c r="I78" s="303" t="n"/>
      <c r="J78" s="303" t="n"/>
      <c r="K78" s="303" t="n"/>
      <c r="L78" s="554" t="n"/>
      <c r="M78" s="303" t="n"/>
      <c r="N78" s="303" t="n"/>
      <c r="O78" s="303" t="n"/>
      <c r="P78" s="303" t="n"/>
      <c r="Q78" s="303" t="n"/>
      <c r="R78" s="303" t="n"/>
      <c r="S78" s="303" t="n"/>
      <c r="T78" s="303" t="n"/>
      <c r="U78" s="303">
        <f>IF(OR(S78="",T78=""),"",IF(S78=T78,"No","Yes"))</f>
        <v/>
      </c>
      <c r="V78" s="303" t="n"/>
      <c r="W78" s="303" t="n"/>
      <c r="X78" s="303" t="n"/>
      <c r="Y78" s="406">
        <f>IF(A78="","",IF(AND(O78="Rejected",X78="Yes"),"Potential unsupported-perturbation inflation",IF(AND(O78="Admitted",OR(M78&lt;&gt;"",N78&lt;&gt;"")),"No unsupported-perturbation defect indicated","Admission integrity incomplete")))</f>
        <v/>
      </c>
    </row>
    <row r="79">
      <c r="A79" s="405" t="n"/>
      <c r="B79" s="303" t="n"/>
      <c r="C79" s="303" t="n"/>
      <c r="D79" s="303" t="n"/>
      <c r="E79" s="303" t="n"/>
      <c r="F79" s="303" t="n"/>
      <c r="G79" s="303" t="n"/>
      <c r="H79" s="303" t="n"/>
      <c r="I79" s="303" t="n"/>
      <c r="J79" s="303" t="n"/>
      <c r="K79" s="303" t="n"/>
      <c r="L79" s="554" t="n"/>
      <c r="M79" s="303" t="n"/>
      <c r="N79" s="303" t="n"/>
      <c r="O79" s="303" t="n"/>
      <c r="P79" s="303" t="n"/>
      <c r="Q79" s="303" t="n"/>
      <c r="R79" s="303" t="n"/>
      <c r="S79" s="303" t="n"/>
      <c r="T79" s="303" t="n"/>
      <c r="U79" s="303">
        <f>IF(OR(S79="",T79=""),"",IF(S79=T79,"No","Yes"))</f>
        <v/>
      </c>
      <c r="V79" s="303" t="n"/>
      <c r="W79" s="303" t="n"/>
      <c r="X79" s="303" t="n"/>
      <c r="Y79" s="406">
        <f>IF(A79="","",IF(AND(O79="Rejected",X79="Yes"),"Potential unsupported-perturbation inflation",IF(AND(O79="Admitted",OR(M79&lt;&gt;"",N79&lt;&gt;"")),"No unsupported-perturbation defect indicated","Admission integrity incomplete")))</f>
        <v/>
      </c>
    </row>
    <row r="80">
      <c r="A80" s="405" t="n"/>
      <c r="B80" s="303" t="n"/>
      <c r="C80" s="303" t="n"/>
      <c r="D80" s="303" t="n"/>
      <c r="E80" s="303" t="n"/>
      <c r="F80" s="303" t="n"/>
      <c r="G80" s="303" t="n"/>
      <c r="H80" s="303" t="n"/>
      <c r="I80" s="303" t="n"/>
      <c r="J80" s="303" t="n"/>
      <c r="K80" s="303" t="n"/>
      <c r="L80" s="554" t="n"/>
      <c r="M80" s="303" t="n"/>
      <c r="N80" s="303" t="n"/>
      <c r="O80" s="303" t="n"/>
      <c r="P80" s="303" t="n"/>
      <c r="Q80" s="303" t="n"/>
      <c r="R80" s="303" t="n"/>
      <c r="S80" s="303" t="n"/>
      <c r="T80" s="303" t="n"/>
      <c r="U80" s="303">
        <f>IF(OR(S80="",T80=""),"",IF(S80=T80,"No","Yes"))</f>
        <v/>
      </c>
      <c r="V80" s="303" t="n"/>
      <c r="W80" s="303" t="n"/>
      <c r="X80" s="303" t="n"/>
      <c r="Y80" s="406">
        <f>IF(A80="","",IF(AND(O80="Rejected",X80="Yes"),"Potential unsupported-perturbation inflation",IF(AND(O80="Admitted",OR(M80&lt;&gt;"",N80&lt;&gt;"")),"No unsupported-perturbation defect indicated","Admission integrity incomplete")))</f>
        <v/>
      </c>
    </row>
    <row r="81">
      <c r="A81" s="405" t="n"/>
      <c r="B81" s="303" t="n"/>
      <c r="C81" s="303" t="n"/>
      <c r="D81" s="303" t="n"/>
      <c r="E81" s="303" t="n"/>
      <c r="F81" s="303" t="n"/>
      <c r="G81" s="303" t="n"/>
      <c r="H81" s="303" t="n"/>
      <c r="I81" s="303" t="n"/>
      <c r="J81" s="303" t="n"/>
      <c r="K81" s="303" t="n"/>
      <c r="L81" s="554" t="n"/>
      <c r="M81" s="303" t="n"/>
      <c r="N81" s="303" t="n"/>
      <c r="O81" s="303" t="n"/>
      <c r="P81" s="303" t="n"/>
      <c r="Q81" s="303" t="n"/>
      <c r="R81" s="303" t="n"/>
      <c r="S81" s="303" t="n"/>
      <c r="T81" s="303" t="n"/>
      <c r="U81" s="303">
        <f>IF(OR(S81="",T81=""),"",IF(S81=T81,"No","Yes"))</f>
        <v/>
      </c>
      <c r="V81" s="303" t="n"/>
      <c r="W81" s="303" t="n"/>
      <c r="X81" s="303" t="n"/>
      <c r="Y81" s="406">
        <f>IF(A81="","",IF(AND(O81="Rejected",X81="Yes"),"Potential unsupported-perturbation inflation",IF(AND(O81="Admitted",OR(M81&lt;&gt;"",N81&lt;&gt;"")),"No unsupported-perturbation defect indicated","Admission integrity incomplete")))</f>
        <v/>
      </c>
    </row>
    <row r="82">
      <c r="A82" s="405" t="n"/>
      <c r="B82" s="303" t="n"/>
      <c r="C82" s="303" t="n"/>
      <c r="D82" s="303" t="n"/>
      <c r="E82" s="303" t="n"/>
      <c r="F82" s="303" t="n"/>
      <c r="G82" s="303" t="n"/>
      <c r="H82" s="303" t="n"/>
      <c r="I82" s="303" t="n"/>
      <c r="J82" s="303" t="n"/>
      <c r="K82" s="303" t="n"/>
      <c r="L82" s="554" t="n"/>
      <c r="M82" s="303" t="n"/>
      <c r="N82" s="303" t="n"/>
      <c r="O82" s="303" t="n"/>
      <c r="P82" s="303" t="n"/>
      <c r="Q82" s="303" t="n"/>
      <c r="R82" s="303" t="n"/>
      <c r="S82" s="303" t="n"/>
      <c r="T82" s="303" t="n"/>
      <c r="U82" s="303">
        <f>IF(OR(S82="",T82=""),"",IF(S82=T82,"No","Yes"))</f>
        <v/>
      </c>
      <c r="V82" s="303" t="n"/>
      <c r="W82" s="303" t="n"/>
      <c r="X82" s="303" t="n"/>
      <c r="Y82" s="406">
        <f>IF(A82="","",IF(AND(O82="Rejected",X82="Yes"),"Potential unsupported-perturbation inflation",IF(AND(O82="Admitted",OR(M82&lt;&gt;"",N82&lt;&gt;"")),"No unsupported-perturbation defect indicated","Admission integrity incomplete")))</f>
        <v/>
      </c>
    </row>
    <row r="83">
      <c r="A83" s="405" t="n"/>
      <c r="B83" s="303" t="n"/>
      <c r="C83" s="303" t="n"/>
      <c r="D83" s="303" t="n"/>
      <c r="E83" s="303" t="n"/>
      <c r="F83" s="303" t="n"/>
      <c r="G83" s="303" t="n"/>
      <c r="H83" s="303" t="n"/>
      <c r="I83" s="303" t="n"/>
      <c r="J83" s="303" t="n"/>
      <c r="K83" s="303" t="n"/>
      <c r="L83" s="554" t="n"/>
      <c r="M83" s="303" t="n"/>
      <c r="N83" s="303" t="n"/>
      <c r="O83" s="303" t="n"/>
      <c r="P83" s="303" t="n"/>
      <c r="Q83" s="303" t="n"/>
      <c r="R83" s="303" t="n"/>
      <c r="S83" s="303" t="n"/>
      <c r="T83" s="303" t="n"/>
      <c r="U83" s="303">
        <f>IF(OR(S83="",T83=""),"",IF(S83=T83,"No","Yes"))</f>
        <v/>
      </c>
      <c r="V83" s="303" t="n"/>
      <c r="W83" s="303" t="n"/>
      <c r="X83" s="303" t="n"/>
      <c r="Y83" s="406">
        <f>IF(A83="","",IF(AND(O83="Rejected",X83="Yes"),"Potential unsupported-perturbation inflation",IF(AND(O83="Admitted",OR(M83&lt;&gt;"",N83&lt;&gt;"")),"No unsupported-perturbation defect indicated","Admission integrity incomplete")))</f>
        <v/>
      </c>
    </row>
    <row r="84">
      <c r="A84" s="405" t="n"/>
      <c r="B84" s="303" t="n"/>
      <c r="C84" s="303" t="n"/>
      <c r="D84" s="303" t="n"/>
      <c r="E84" s="303" t="n"/>
      <c r="F84" s="303" t="n"/>
      <c r="G84" s="303" t="n"/>
      <c r="H84" s="303" t="n"/>
      <c r="I84" s="303" t="n"/>
      <c r="J84" s="303" t="n"/>
      <c r="K84" s="303" t="n"/>
      <c r="L84" s="554" t="n"/>
      <c r="M84" s="303" t="n"/>
      <c r="N84" s="303" t="n"/>
      <c r="O84" s="303" t="n"/>
      <c r="P84" s="303" t="n"/>
      <c r="Q84" s="303" t="n"/>
      <c r="R84" s="303" t="n"/>
      <c r="S84" s="303" t="n"/>
      <c r="T84" s="303" t="n"/>
      <c r="U84" s="303">
        <f>IF(OR(S84="",T84=""),"",IF(S84=T84,"No","Yes"))</f>
        <v/>
      </c>
      <c r="V84" s="303" t="n"/>
      <c r="W84" s="303" t="n"/>
      <c r="X84" s="303" t="n"/>
      <c r="Y84" s="406">
        <f>IF(A84="","",IF(AND(O84="Rejected",X84="Yes"),"Potential unsupported-perturbation inflation",IF(AND(O84="Admitted",OR(M84&lt;&gt;"",N84&lt;&gt;"")),"No unsupported-perturbation defect indicated","Admission integrity incomplete")))</f>
        <v/>
      </c>
    </row>
    <row r="85">
      <c r="A85" s="405" t="n"/>
      <c r="B85" s="303" t="n"/>
      <c r="C85" s="303" t="n"/>
      <c r="D85" s="303" t="n"/>
      <c r="E85" s="303" t="n"/>
      <c r="F85" s="303" t="n"/>
      <c r="G85" s="303" t="n"/>
      <c r="H85" s="303" t="n"/>
      <c r="I85" s="303" t="n"/>
      <c r="J85" s="303" t="n"/>
      <c r="K85" s="303" t="n"/>
      <c r="L85" s="554" t="n"/>
      <c r="M85" s="303" t="n"/>
      <c r="N85" s="303" t="n"/>
      <c r="O85" s="303" t="n"/>
      <c r="P85" s="303" t="n"/>
      <c r="Q85" s="303" t="n"/>
      <c r="R85" s="303" t="n"/>
      <c r="S85" s="303" t="n"/>
      <c r="T85" s="303" t="n"/>
      <c r="U85" s="303">
        <f>IF(OR(S85="",T85=""),"",IF(S85=T85,"No","Yes"))</f>
        <v/>
      </c>
      <c r="V85" s="303" t="n"/>
      <c r="W85" s="303" t="n"/>
      <c r="X85" s="303" t="n"/>
      <c r="Y85" s="406">
        <f>IF(A85="","",IF(AND(O85="Rejected",X85="Yes"),"Potential unsupported-perturbation inflation",IF(AND(O85="Admitted",OR(M85&lt;&gt;"",N85&lt;&gt;"")),"No unsupported-perturbation defect indicated","Admission integrity incomplete")))</f>
        <v/>
      </c>
    </row>
    <row r="86">
      <c r="A86" s="405" t="n"/>
      <c r="B86" s="303" t="n"/>
      <c r="C86" s="303" t="n"/>
      <c r="D86" s="303" t="n"/>
      <c r="E86" s="303" t="n"/>
      <c r="F86" s="303" t="n"/>
      <c r="G86" s="303" t="n"/>
      <c r="H86" s="303" t="n"/>
      <c r="I86" s="303" t="n"/>
      <c r="J86" s="303" t="n"/>
      <c r="K86" s="303" t="n"/>
      <c r="L86" s="554" t="n"/>
      <c r="M86" s="303" t="n"/>
      <c r="N86" s="303" t="n"/>
      <c r="O86" s="303" t="n"/>
      <c r="P86" s="303" t="n"/>
      <c r="Q86" s="303" t="n"/>
      <c r="R86" s="303" t="n"/>
      <c r="S86" s="303" t="n"/>
      <c r="T86" s="303" t="n"/>
      <c r="U86" s="303">
        <f>IF(OR(S86="",T86=""),"",IF(S86=T86,"No","Yes"))</f>
        <v/>
      </c>
      <c r="V86" s="303" t="n"/>
      <c r="W86" s="303" t="n"/>
      <c r="X86" s="303" t="n"/>
      <c r="Y86" s="406">
        <f>IF(A86="","",IF(AND(O86="Rejected",X86="Yes"),"Potential unsupported-perturbation inflation",IF(AND(O86="Admitted",OR(M86&lt;&gt;"",N86&lt;&gt;"")),"No unsupported-perturbation defect indicated","Admission integrity incomplete")))</f>
        <v/>
      </c>
    </row>
    <row r="87">
      <c r="A87" s="405" t="n"/>
      <c r="B87" s="303" t="n"/>
      <c r="C87" s="303" t="n"/>
      <c r="D87" s="303" t="n"/>
      <c r="E87" s="303" t="n"/>
      <c r="F87" s="303" t="n"/>
      <c r="G87" s="303" t="n"/>
      <c r="H87" s="303" t="n"/>
      <c r="I87" s="303" t="n"/>
      <c r="J87" s="303" t="n"/>
      <c r="K87" s="303" t="n"/>
      <c r="L87" s="554" t="n"/>
      <c r="M87" s="303" t="n"/>
      <c r="N87" s="303" t="n"/>
      <c r="O87" s="303" t="n"/>
      <c r="P87" s="303" t="n"/>
      <c r="Q87" s="303" t="n"/>
      <c r="R87" s="303" t="n"/>
      <c r="S87" s="303" t="n"/>
      <c r="T87" s="303" t="n"/>
      <c r="U87" s="303">
        <f>IF(OR(S87="",T87=""),"",IF(S87=T87,"No","Yes"))</f>
        <v/>
      </c>
      <c r="V87" s="303" t="n"/>
      <c r="W87" s="303" t="n"/>
      <c r="X87" s="303" t="n"/>
      <c r="Y87" s="406">
        <f>IF(A87="","",IF(AND(O87="Rejected",X87="Yes"),"Potential unsupported-perturbation inflation",IF(AND(O87="Admitted",OR(M87&lt;&gt;"",N87&lt;&gt;"")),"No unsupported-perturbation defect indicated","Admission integrity incomplete")))</f>
        <v/>
      </c>
    </row>
    <row r="88">
      <c r="A88" s="405" t="n"/>
      <c r="B88" s="303" t="n"/>
      <c r="C88" s="303" t="n"/>
      <c r="D88" s="303" t="n"/>
      <c r="E88" s="303" t="n"/>
      <c r="F88" s="303" t="n"/>
      <c r="G88" s="303" t="n"/>
      <c r="H88" s="303" t="n"/>
      <c r="I88" s="303" t="n"/>
      <c r="J88" s="303" t="n"/>
      <c r="K88" s="303" t="n"/>
      <c r="L88" s="554" t="n"/>
      <c r="M88" s="303" t="n"/>
      <c r="N88" s="303" t="n"/>
      <c r="O88" s="303" t="n"/>
      <c r="P88" s="303" t="n"/>
      <c r="Q88" s="303" t="n"/>
      <c r="R88" s="303" t="n"/>
      <c r="S88" s="303" t="n"/>
      <c r="T88" s="303" t="n"/>
      <c r="U88" s="303">
        <f>IF(OR(S88="",T88=""),"",IF(S88=T88,"No","Yes"))</f>
        <v/>
      </c>
      <c r="V88" s="303" t="n"/>
      <c r="W88" s="303" t="n"/>
      <c r="X88" s="303" t="n"/>
      <c r="Y88" s="406">
        <f>IF(A88="","",IF(AND(O88="Rejected",X88="Yes"),"Potential unsupported-perturbation inflation",IF(AND(O88="Admitted",OR(M88&lt;&gt;"",N88&lt;&gt;"")),"No unsupported-perturbation defect indicated","Admission integrity incomplete")))</f>
        <v/>
      </c>
    </row>
    <row r="89">
      <c r="A89" s="405" t="n"/>
      <c r="B89" s="303" t="n"/>
      <c r="C89" s="303" t="n"/>
      <c r="D89" s="303" t="n"/>
      <c r="E89" s="303" t="n"/>
      <c r="F89" s="303" t="n"/>
      <c r="G89" s="303" t="n"/>
      <c r="H89" s="303" t="n"/>
      <c r="I89" s="303" t="n"/>
      <c r="J89" s="303" t="n"/>
      <c r="K89" s="303" t="n"/>
      <c r="L89" s="554" t="n"/>
      <c r="M89" s="303" t="n"/>
      <c r="N89" s="303" t="n"/>
      <c r="O89" s="303" t="n"/>
      <c r="P89" s="303" t="n"/>
      <c r="Q89" s="303" t="n"/>
      <c r="R89" s="303" t="n"/>
      <c r="S89" s="303" t="n"/>
      <c r="T89" s="303" t="n"/>
      <c r="U89" s="303">
        <f>IF(OR(S89="",T89=""),"",IF(S89=T89,"No","Yes"))</f>
        <v/>
      </c>
      <c r="V89" s="303" t="n"/>
      <c r="W89" s="303" t="n"/>
      <c r="X89" s="303" t="n"/>
      <c r="Y89" s="406">
        <f>IF(A89="","",IF(AND(O89="Rejected",X89="Yes"),"Potential unsupported-perturbation inflation",IF(AND(O89="Admitted",OR(M89&lt;&gt;"",N89&lt;&gt;"")),"No unsupported-perturbation defect indicated","Admission integrity incomplete")))</f>
        <v/>
      </c>
    </row>
    <row r="90">
      <c r="A90" s="405" t="n"/>
      <c r="B90" s="303" t="n"/>
      <c r="C90" s="303" t="n"/>
      <c r="D90" s="303" t="n"/>
      <c r="E90" s="303" t="n"/>
      <c r="F90" s="303" t="n"/>
      <c r="G90" s="303" t="n"/>
      <c r="H90" s="303" t="n"/>
      <c r="I90" s="303" t="n"/>
      <c r="J90" s="303" t="n"/>
      <c r="K90" s="303" t="n"/>
      <c r="L90" s="554" t="n"/>
      <c r="M90" s="303" t="n"/>
      <c r="N90" s="303" t="n"/>
      <c r="O90" s="303" t="n"/>
      <c r="P90" s="303" t="n"/>
      <c r="Q90" s="303" t="n"/>
      <c r="R90" s="303" t="n"/>
      <c r="S90" s="303" t="n"/>
      <c r="T90" s="303" t="n"/>
      <c r="U90" s="303">
        <f>IF(OR(S90="",T90=""),"",IF(S90=T90,"No","Yes"))</f>
        <v/>
      </c>
      <c r="V90" s="303" t="n"/>
      <c r="W90" s="303" t="n"/>
      <c r="X90" s="303" t="n"/>
      <c r="Y90" s="406">
        <f>IF(A90="","",IF(AND(O90="Rejected",X90="Yes"),"Potential unsupported-perturbation inflation",IF(AND(O90="Admitted",OR(M90&lt;&gt;"",N90&lt;&gt;"")),"No unsupported-perturbation defect indicated","Admission integrity incomplete")))</f>
        <v/>
      </c>
    </row>
    <row r="91">
      <c r="A91" s="405" t="n"/>
      <c r="B91" s="303" t="n"/>
      <c r="C91" s="303" t="n"/>
      <c r="D91" s="303" t="n"/>
      <c r="E91" s="303" t="n"/>
      <c r="F91" s="303" t="n"/>
      <c r="G91" s="303" t="n"/>
      <c r="H91" s="303" t="n"/>
      <c r="I91" s="303" t="n"/>
      <c r="J91" s="303" t="n"/>
      <c r="K91" s="303" t="n"/>
      <c r="L91" s="554" t="n"/>
      <c r="M91" s="303" t="n"/>
      <c r="N91" s="303" t="n"/>
      <c r="O91" s="303" t="n"/>
      <c r="P91" s="303" t="n"/>
      <c r="Q91" s="303" t="n"/>
      <c r="R91" s="303" t="n"/>
      <c r="S91" s="303" t="n"/>
      <c r="T91" s="303" t="n"/>
      <c r="U91" s="303">
        <f>IF(OR(S91="",T91=""),"",IF(S91=T91,"No","Yes"))</f>
        <v/>
      </c>
      <c r="V91" s="303" t="n"/>
      <c r="W91" s="303" t="n"/>
      <c r="X91" s="303" t="n"/>
      <c r="Y91" s="406">
        <f>IF(A91="","",IF(AND(O91="Rejected",X91="Yes"),"Potential unsupported-perturbation inflation",IF(AND(O91="Admitted",OR(M91&lt;&gt;"",N91&lt;&gt;"")),"No unsupported-perturbation defect indicated","Admission integrity incomplete")))</f>
        <v/>
      </c>
    </row>
    <row r="92">
      <c r="A92" s="405" t="n"/>
      <c r="B92" s="303" t="n"/>
      <c r="C92" s="303" t="n"/>
      <c r="D92" s="303" t="n"/>
      <c r="E92" s="303" t="n"/>
      <c r="F92" s="303" t="n"/>
      <c r="G92" s="303" t="n"/>
      <c r="H92" s="303" t="n"/>
      <c r="I92" s="303" t="n"/>
      <c r="J92" s="303" t="n"/>
      <c r="K92" s="303" t="n"/>
      <c r="L92" s="554" t="n"/>
      <c r="M92" s="303" t="n"/>
      <c r="N92" s="303" t="n"/>
      <c r="O92" s="303" t="n"/>
      <c r="P92" s="303" t="n"/>
      <c r="Q92" s="303" t="n"/>
      <c r="R92" s="303" t="n"/>
      <c r="S92" s="303" t="n"/>
      <c r="T92" s="303" t="n"/>
      <c r="U92" s="303">
        <f>IF(OR(S92="",T92=""),"",IF(S92=T92,"No","Yes"))</f>
        <v/>
      </c>
      <c r="V92" s="303" t="n"/>
      <c r="W92" s="303" t="n"/>
      <c r="X92" s="303" t="n"/>
      <c r="Y92" s="406">
        <f>IF(A92="","",IF(AND(O92="Rejected",X92="Yes"),"Potential unsupported-perturbation inflation",IF(AND(O92="Admitted",OR(M92&lt;&gt;"",N92&lt;&gt;"")),"No unsupported-perturbation defect indicated","Admission integrity incomplete")))</f>
        <v/>
      </c>
    </row>
    <row r="93">
      <c r="A93" s="405" t="n"/>
      <c r="B93" s="303" t="n"/>
      <c r="C93" s="303" t="n"/>
      <c r="D93" s="303" t="n"/>
      <c r="E93" s="303" t="n"/>
      <c r="F93" s="303" t="n"/>
      <c r="G93" s="303" t="n"/>
      <c r="H93" s="303" t="n"/>
      <c r="I93" s="303" t="n"/>
      <c r="J93" s="303" t="n"/>
      <c r="K93" s="303" t="n"/>
      <c r="L93" s="554" t="n"/>
      <c r="M93" s="303" t="n"/>
      <c r="N93" s="303" t="n"/>
      <c r="O93" s="303" t="n"/>
      <c r="P93" s="303" t="n"/>
      <c r="Q93" s="303" t="n"/>
      <c r="R93" s="303" t="n"/>
      <c r="S93" s="303" t="n"/>
      <c r="T93" s="303" t="n"/>
      <c r="U93" s="303">
        <f>IF(OR(S93="",T93=""),"",IF(S93=T93,"No","Yes"))</f>
        <v/>
      </c>
      <c r="V93" s="303" t="n"/>
      <c r="W93" s="303" t="n"/>
      <c r="X93" s="303" t="n"/>
      <c r="Y93" s="406">
        <f>IF(A93="","",IF(AND(O93="Rejected",X93="Yes"),"Potential unsupported-perturbation inflation",IF(AND(O93="Admitted",OR(M93&lt;&gt;"",N93&lt;&gt;"")),"No unsupported-perturbation defect indicated","Admission integrity incomplete")))</f>
        <v/>
      </c>
    </row>
    <row r="94">
      <c r="A94" s="405" t="n"/>
      <c r="B94" s="303" t="n"/>
      <c r="C94" s="303" t="n"/>
      <c r="D94" s="303" t="n"/>
      <c r="E94" s="303" t="n"/>
      <c r="F94" s="303" t="n"/>
      <c r="G94" s="303" t="n"/>
      <c r="H94" s="303" t="n"/>
      <c r="I94" s="303" t="n"/>
      <c r="J94" s="303" t="n"/>
      <c r="K94" s="303" t="n"/>
      <c r="L94" s="554" t="n"/>
      <c r="M94" s="303" t="n"/>
      <c r="N94" s="303" t="n"/>
      <c r="O94" s="303" t="n"/>
      <c r="P94" s="303" t="n"/>
      <c r="Q94" s="303" t="n"/>
      <c r="R94" s="303" t="n"/>
      <c r="S94" s="303" t="n"/>
      <c r="T94" s="303" t="n"/>
      <c r="U94" s="303">
        <f>IF(OR(S94="",T94=""),"",IF(S94=T94,"No","Yes"))</f>
        <v/>
      </c>
      <c r="V94" s="303" t="n"/>
      <c r="W94" s="303" t="n"/>
      <c r="X94" s="303" t="n"/>
      <c r="Y94" s="406">
        <f>IF(A94="","",IF(AND(O94="Rejected",X94="Yes"),"Potential unsupported-perturbation inflation",IF(AND(O94="Admitted",OR(M94&lt;&gt;"",N94&lt;&gt;"")),"No unsupported-perturbation defect indicated","Admission integrity incomplete")))</f>
        <v/>
      </c>
    </row>
    <row r="95">
      <c r="A95" s="405" t="n"/>
      <c r="B95" s="303" t="n"/>
      <c r="C95" s="303" t="n"/>
      <c r="D95" s="303" t="n"/>
      <c r="E95" s="303" t="n"/>
      <c r="F95" s="303" t="n"/>
      <c r="G95" s="303" t="n"/>
      <c r="H95" s="303" t="n"/>
      <c r="I95" s="303" t="n"/>
      <c r="J95" s="303" t="n"/>
      <c r="K95" s="303" t="n"/>
      <c r="L95" s="554" t="n"/>
      <c r="M95" s="303" t="n"/>
      <c r="N95" s="303" t="n"/>
      <c r="O95" s="303" t="n"/>
      <c r="P95" s="303" t="n"/>
      <c r="Q95" s="303" t="n"/>
      <c r="R95" s="303" t="n"/>
      <c r="S95" s="303" t="n"/>
      <c r="T95" s="303" t="n"/>
      <c r="U95" s="303">
        <f>IF(OR(S95="",T95=""),"",IF(S95=T95,"No","Yes"))</f>
        <v/>
      </c>
      <c r="V95" s="303" t="n"/>
      <c r="W95" s="303" t="n"/>
      <c r="X95" s="303" t="n"/>
      <c r="Y95" s="406">
        <f>IF(A95="","",IF(AND(O95="Rejected",X95="Yes"),"Potential unsupported-perturbation inflation",IF(AND(O95="Admitted",OR(M95&lt;&gt;"",N95&lt;&gt;"")),"No unsupported-perturbation defect indicated","Admission integrity incomplete")))</f>
        <v/>
      </c>
    </row>
    <row r="96">
      <c r="A96" s="405" t="n"/>
      <c r="B96" s="303" t="n"/>
      <c r="C96" s="303" t="n"/>
      <c r="D96" s="303" t="n"/>
      <c r="E96" s="303" t="n"/>
      <c r="F96" s="303" t="n"/>
      <c r="G96" s="303" t="n"/>
      <c r="H96" s="303" t="n"/>
      <c r="I96" s="303" t="n"/>
      <c r="J96" s="303" t="n"/>
      <c r="K96" s="303" t="n"/>
      <c r="L96" s="554" t="n"/>
      <c r="M96" s="303" t="n"/>
      <c r="N96" s="303" t="n"/>
      <c r="O96" s="303" t="n"/>
      <c r="P96" s="303" t="n"/>
      <c r="Q96" s="303" t="n"/>
      <c r="R96" s="303" t="n"/>
      <c r="S96" s="303" t="n"/>
      <c r="T96" s="303" t="n"/>
      <c r="U96" s="303">
        <f>IF(OR(S96="",T96=""),"",IF(S96=T96,"No","Yes"))</f>
        <v/>
      </c>
      <c r="V96" s="303" t="n"/>
      <c r="W96" s="303" t="n"/>
      <c r="X96" s="303" t="n"/>
      <c r="Y96" s="406">
        <f>IF(A96="","",IF(AND(O96="Rejected",X96="Yes"),"Potential unsupported-perturbation inflation",IF(AND(O96="Admitted",OR(M96&lt;&gt;"",N96&lt;&gt;"")),"No unsupported-perturbation defect indicated","Admission integrity incomplete")))</f>
        <v/>
      </c>
    </row>
    <row r="97">
      <c r="A97" s="405" t="n"/>
      <c r="B97" s="303" t="n"/>
      <c r="C97" s="303" t="n"/>
      <c r="D97" s="303" t="n"/>
      <c r="E97" s="303" t="n"/>
      <c r="F97" s="303" t="n"/>
      <c r="G97" s="303" t="n"/>
      <c r="H97" s="303" t="n"/>
      <c r="I97" s="303" t="n"/>
      <c r="J97" s="303" t="n"/>
      <c r="K97" s="303" t="n"/>
      <c r="L97" s="554" t="n"/>
      <c r="M97" s="303" t="n"/>
      <c r="N97" s="303" t="n"/>
      <c r="O97" s="303" t="n"/>
      <c r="P97" s="303" t="n"/>
      <c r="Q97" s="303" t="n"/>
      <c r="R97" s="303" t="n"/>
      <c r="S97" s="303" t="n"/>
      <c r="T97" s="303" t="n"/>
      <c r="U97" s="303">
        <f>IF(OR(S97="",T97=""),"",IF(S97=T97,"No","Yes"))</f>
        <v/>
      </c>
      <c r="V97" s="303" t="n"/>
      <c r="W97" s="303" t="n"/>
      <c r="X97" s="303" t="n"/>
      <c r="Y97" s="406">
        <f>IF(A97="","",IF(AND(O97="Rejected",X97="Yes"),"Potential unsupported-perturbation inflation",IF(AND(O97="Admitted",OR(M97&lt;&gt;"",N97&lt;&gt;"")),"No unsupported-perturbation defect indicated","Admission integrity incomplete")))</f>
        <v/>
      </c>
    </row>
    <row r="98">
      <c r="A98" s="405" t="n"/>
      <c r="B98" s="303" t="n"/>
      <c r="C98" s="303" t="n"/>
      <c r="D98" s="303" t="n"/>
      <c r="E98" s="303" t="n"/>
      <c r="F98" s="303" t="n"/>
      <c r="G98" s="303" t="n"/>
      <c r="H98" s="303" t="n"/>
      <c r="I98" s="303" t="n"/>
      <c r="J98" s="303" t="n"/>
      <c r="K98" s="303" t="n"/>
      <c r="L98" s="554" t="n"/>
      <c r="M98" s="303" t="n"/>
      <c r="N98" s="303" t="n"/>
      <c r="O98" s="303" t="n"/>
      <c r="P98" s="303" t="n"/>
      <c r="Q98" s="303" t="n"/>
      <c r="R98" s="303" t="n"/>
      <c r="S98" s="303" t="n"/>
      <c r="T98" s="303" t="n"/>
      <c r="U98" s="303">
        <f>IF(OR(S98="",T98=""),"",IF(S98=T98,"No","Yes"))</f>
        <v/>
      </c>
      <c r="V98" s="303" t="n"/>
      <c r="W98" s="303" t="n"/>
      <c r="X98" s="303" t="n"/>
      <c r="Y98" s="406">
        <f>IF(A98="","",IF(AND(O98="Rejected",X98="Yes"),"Potential unsupported-perturbation inflation",IF(AND(O98="Admitted",OR(M98&lt;&gt;"",N98&lt;&gt;"")),"No unsupported-perturbation defect indicated","Admission integrity incomplete")))</f>
        <v/>
      </c>
    </row>
    <row r="99">
      <c r="A99" s="405" t="n"/>
      <c r="B99" s="303" t="n"/>
      <c r="C99" s="303" t="n"/>
      <c r="D99" s="303" t="n"/>
      <c r="E99" s="303" t="n"/>
      <c r="F99" s="303" t="n"/>
      <c r="G99" s="303" t="n"/>
      <c r="H99" s="303" t="n"/>
      <c r="I99" s="303" t="n"/>
      <c r="J99" s="303" t="n"/>
      <c r="K99" s="303" t="n"/>
      <c r="L99" s="554" t="n"/>
      <c r="M99" s="303" t="n"/>
      <c r="N99" s="303" t="n"/>
      <c r="O99" s="303" t="n"/>
      <c r="P99" s="303" t="n"/>
      <c r="Q99" s="303" t="n"/>
      <c r="R99" s="303" t="n"/>
      <c r="S99" s="303" t="n"/>
      <c r="T99" s="303" t="n"/>
      <c r="U99" s="303">
        <f>IF(OR(S99="",T99=""),"",IF(S99=T99,"No","Yes"))</f>
        <v/>
      </c>
      <c r="V99" s="303" t="n"/>
      <c r="W99" s="303" t="n"/>
      <c r="X99" s="303" t="n"/>
      <c r="Y99" s="406">
        <f>IF(A99="","",IF(AND(O99="Rejected",X99="Yes"),"Potential unsupported-perturbation inflation",IF(AND(O99="Admitted",OR(M99&lt;&gt;"",N99&lt;&gt;"")),"No unsupported-perturbation defect indicated","Admission integrity incomplete")))</f>
        <v/>
      </c>
    </row>
    <row r="100">
      <c r="A100" s="407" t="n"/>
      <c r="B100" s="408" t="n"/>
      <c r="C100" s="408" t="n"/>
      <c r="D100" s="408" t="n"/>
      <c r="E100" s="408" t="n"/>
      <c r="F100" s="408" t="n"/>
      <c r="G100" s="408" t="n"/>
      <c r="H100" s="408" t="n"/>
      <c r="I100" s="408" t="n"/>
      <c r="J100" s="408" t="n"/>
      <c r="K100" s="408" t="n"/>
      <c r="L100" s="554" t="n"/>
      <c r="M100" s="408" t="n"/>
      <c r="N100" s="408" t="n"/>
      <c r="O100" s="408" t="n"/>
      <c r="P100" s="408" t="n"/>
      <c r="Q100" s="408" t="n"/>
      <c r="R100" s="408" t="n"/>
      <c r="S100" s="408" t="n"/>
      <c r="T100" s="408" t="n"/>
      <c r="U100" s="408">
        <f>IF(OR(S100="",T100=""),"",IF(S100=T100,"No","Yes"))</f>
        <v/>
      </c>
      <c r="V100" s="408" t="n"/>
      <c r="W100" s="408" t="n"/>
      <c r="X100" s="408" t="n"/>
      <c r="Y100" s="409">
        <f>IF(A100="","",IF(AND(O100="Rejected",X100="Yes"),"Potential unsupported-perturbation inflation",IF(AND(O100="Admitted",OR(M100&lt;&gt;"",N100&lt;&gt;"")),"No unsupported-perturbation defect indicated","Admission integrity incomplete")))</f>
        <v/>
      </c>
    </row>
    <row r="101">
      <c r="L101" s="551" t="n"/>
      <c r="U101">
        <f>IF(OR(S101="",T101=""),"",IF(S101=T101,"No","Yes"))</f>
        <v/>
      </c>
      <c r="Y101">
        <f>IF(A101="","",IF(AND(O101="Rejected",X101="Yes"),"Potential unsupported-perturbation inflation",IF(AND(O101="Admitted",OR(M101&lt;&gt;"",N101&lt;&gt;"")),"No unsupported-perturbation defect indicated","Admission integrity incomplete")))</f>
        <v/>
      </c>
    </row>
    <row r="102">
      <c r="L102" s="551" t="n"/>
      <c r="U102">
        <f>IF(OR(S102="",T102=""),"",IF(S102=T102,"No","Yes"))</f>
        <v/>
      </c>
      <c r="Y102">
        <f>IF(A102="","",IF(AND(O102="Rejected",X102="Yes"),"Potential unsupported-perturbation inflation",IF(AND(O102="Admitted",OR(M102&lt;&gt;"",N102&lt;&gt;"")),"No unsupported-perturbation defect indicated","Admission integrity incomplete")))</f>
        <v/>
      </c>
    </row>
    <row r="103">
      <c r="L103" s="551" t="n"/>
      <c r="U103">
        <f>IF(OR(S103="",T103=""),"",IF(S103=T103,"No","Yes"))</f>
        <v/>
      </c>
      <c r="Y103">
        <f>IF(A103="","",IF(AND(O103="Rejected",X103="Yes"),"Potential unsupported-perturbation inflation",IF(AND(O103="Admitted",OR(M103&lt;&gt;"",N103&lt;&gt;"")),"No unsupported-perturbation defect indicated","Admission integrity incomplete")))</f>
        <v/>
      </c>
    </row>
    <row r="104">
      <c r="L104" s="551" t="n"/>
      <c r="U104">
        <f>IF(OR(S104="",T104=""),"",IF(S104=T104,"No","Yes"))</f>
        <v/>
      </c>
      <c r="Y104">
        <f>IF(A104="","",IF(AND(O104="Rejected",X104="Yes"),"Potential unsupported-perturbation inflation",IF(AND(O104="Admitted",OR(M104&lt;&gt;"",N104&lt;&gt;"")),"No unsupported-perturbation defect indicated","Admission integrity incomplete")))</f>
        <v/>
      </c>
    </row>
    <row r="105">
      <c r="L105" s="551" t="n"/>
      <c r="U105">
        <f>IF(OR(S105="",T105=""),"",IF(S105=T105,"No","Yes"))</f>
        <v/>
      </c>
      <c r="Y105">
        <f>IF(A105="","",IF(AND(O105="Rejected",X105="Yes"),"Potential unsupported-perturbation inflation",IF(AND(O105="Admitted",OR(M105&lt;&gt;"",N105&lt;&gt;"")),"No unsupported-perturbation defect indicated","Admission integrity incomplete")))</f>
        <v/>
      </c>
    </row>
    <row r="106">
      <c r="L106" s="551" t="n"/>
      <c r="U106">
        <f>IF(OR(S106="",T106=""),"",IF(S106=T106,"No","Yes"))</f>
        <v/>
      </c>
      <c r="Y106">
        <f>IF(A106="","",IF(AND(O106="Rejected",X106="Yes"),"Potential unsupported-perturbation inflation",IF(AND(O106="Admitted",OR(M106&lt;&gt;"",N106&lt;&gt;"")),"No unsupported-perturbation defect indicated","Admission integrity incomplete")))</f>
        <v/>
      </c>
    </row>
    <row r="107">
      <c r="L107" s="551" t="n"/>
      <c r="U107">
        <f>IF(OR(S107="",T107=""),"",IF(S107=T107,"No","Yes"))</f>
        <v/>
      </c>
      <c r="Y107">
        <f>IF(A107="","",IF(AND(O107="Rejected",X107="Yes"),"Potential unsupported-perturbation inflation",IF(AND(O107="Admitted",OR(M107&lt;&gt;"",N107&lt;&gt;"")),"No unsupported-perturbation defect indicated","Admission integrity incomplete")))</f>
        <v/>
      </c>
    </row>
    <row r="108">
      <c r="L108" s="551" t="n"/>
      <c r="U108">
        <f>IF(OR(S108="",T108=""),"",IF(S108=T108,"No","Yes"))</f>
        <v/>
      </c>
      <c r="Y108">
        <f>IF(A108="","",IF(AND(O108="Rejected",X108="Yes"),"Potential unsupported-perturbation inflation",IF(AND(O108="Admitted",OR(M108&lt;&gt;"",N108&lt;&gt;"")),"No unsupported-perturbation defect indicated","Admission integrity incomplete")))</f>
        <v/>
      </c>
    </row>
    <row r="109">
      <c r="L109" s="551" t="n"/>
      <c r="U109">
        <f>IF(OR(S109="",T109=""),"",IF(S109=T109,"No","Yes"))</f>
        <v/>
      </c>
      <c r="Y109">
        <f>IF(A109="","",IF(AND(O109="Rejected",X109="Yes"),"Potential unsupported-perturbation inflation",IF(AND(O109="Admitted",OR(M109&lt;&gt;"",N109&lt;&gt;"")),"No unsupported-perturbation defect indicated","Admission integrity incomplete")))</f>
        <v/>
      </c>
    </row>
    <row r="110">
      <c r="L110" s="551" t="n"/>
      <c r="U110">
        <f>IF(OR(S110="",T110=""),"",IF(S110=T110,"No","Yes"))</f>
        <v/>
      </c>
      <c r="Y110">
        <f>IF(A110="","",IF(AND(O110="Rejected",X110="Yes"),"Potential unsupported-perturbation inflation",IF(AND(O110="Admitted",OR(M110&lt;&gt;"",N110&lt;&gt;"")),"No unsupported-perturbation defect indicated","Admission integrity incomplete")))</f>
        <v/>
      </c>
    </row>
    <row r="111">
      <c r="L111" s="551" t="n"/>
      <c r="U111">
        <f>IF(OR(S111="",T111=""),"",IF(S111=T111,"No","Yes"))</f>
        <v/>
      </c>
      <c r="Y111">
        <f>IF(A111="","",IF(AND(O111="Rejected",X111="Yes"),"Potential unsupported-perturbation inflation",IF(AND(O111="Admitted",OR(M111&lt;&gt;"",N111&lt;&gt;"")),"No unsupported-perturbation defect indicated","Admission integrity incomplete")))</f>
        <v/>
      </c>
    </row>
    <row r="112">
      <c r="L112" s="551" t="n"/>
      <c r="U112">
        <f>IF(OR(S112="",T112=""),"",IF(S112=T112,"No","Yes"))</f>
        <v/>
      </c>
      <c r="Y112">
        <f>IF(A112="","",IF(AND(O112="Rejected",X112="Yes"),"Potential unsupported-perturbation inflation",IF(AND(O112="Admitted",OR(M112&lt;&gt;"",N112&lt;&gt;"")),"No unsupported-perturbation defect indicated","Admission integrity incomplete")))</f>
        <v/>
      </c>
    </row>
    <row r="113">
      <c r="L113" s="551" t="n"/>
      <c r="U113">
        <f>IF(OR(S113="",T113=""),"",IF(S113=T113,"No","Yes"))</f>
        <v/>
      </c>
      <c r="Y113">
        <f>IF(A113="","",IF(AND(O113="Rejected",X113="Yes"),"Potential unsupported-perturbation inflation",IF(AND(O113="Admitted",OR(M113&lt;&gt;"",N113&lt;&gt;"")),"No unsupported-perturbation defect indicated","Admission integrity incomplete")))</f>
        <v/>
      </c>
    </row>
    <row r="114">
      <c r="L114" s="551" t="n"/>
      <c r="U114">
        <f>IF(OR(S114="",T114=""),"",IF(S114=T114,"No","Yes"))</f>
        <v/>
      </c>
      <c r="Y114">
        <f>IF(A114="","",IF(AND(O114="Rejected",X114="Yes"),"Potential unsupported-perturbation inflation",IF(AND(O114="Admitted",OR(M114&lt;&gt;"",N114&lt;&gt;"")),"No unsupported-perturbation defect indicated","Admission integrity incomplete")))</f>
        <v/>
      </c>
    </row>
    <row r="115">
      <c r="L115" s="551" t="n"/>
      <c r="U115">
        <f>IF(OR(S115="",T115=""),"",IF(S115=T115,"No","Yes"))</f>
        <v/>
      </c>
      <c r="Y115">
        <f>IF(A115="","",IF(AND(O115="Rejected",X115="Yes"),"Potential unsupported-perturbation inflation",IF(AND(O115="Admitted",OR(M115&lt;&gt;"",N115&lt;&gt;"")),"No unsupported-perturbation defect indicated","Admission integrity incomplete")))</f>
        <v/>
      </c>
    </row>
    <row r="116">
      <c r="L116" s="551" t="n"/>
      <c r="U116">
        <f>IF(OR(S116="",T116=""),"",IF(S116=T116,"No","Yes"))</f>
        <v/>
      </c>
      <c r="Y116">
        <f>IF(A116="","",IF(AND(O116="Rejected",X116="Yes"),"Potential unsupported-perturbation inflation",IF(AND(O116="Admitted",OR(M116&lt;&gt;"",N116&lt;&gt;"")),"No unsupported-perturbation defect indicated","Admission integrity incomplete")))</f>
        <v/>
      </c>
    </row>
    <row r="117">
      <c r="L117" s="551" t="n"/>
      <c r="U117">
        <f>IF(OR(S117="",T117=""),"",IF(S117=T117,"No","Yes"))</f>
        <v/>
      </c>
      <c r="Y117">
        <f>IF(A117="","",IF(AND(O117="Rejected",X117="Yes"),"Potential unsupported-perturbation inflation",IF(AND(O117="Admitted",OR(M117&lt;&gt;"",N117&lt;&gt;"")),"No unsupported-perturbation defect indicated","Admission integrity incomplete")))</f>
        <v/>
      </c>
    </row>
    <row r="118">
      <c r="L118" s="551" t="n"/>
      <c r="U118">
        <f>IF(OR(S118="",T118=""),"",IF(S118=T118,"No","Yes"))</f>
        <v/>
      </c>
      <c r="Y118">
        <f>IF(A118="","",IF(AND(O118="Rejected",X118="Yes"),"Potential unsupported-perturbation inflation",IF(AND(O118="Admitted",OR(M118&lt;&gt;"",N118&lt;&gt;"")),"No unsupported-perturbation defect indicated","Admission integrity incomplete")))</f>
        <v/>
      </c>
    </row>
    <row r="119">
      <c r="L119" s="551" t="n"/>
      <c r="U119">
        <f>IF(OR(S119="",T119=""),"",IF(S119=T119,"No","Yes"))</f>
        <v/>
      </c>
      <c r="Y119">
        <f>IF(A119="","",IF(AND(O119="Rejected",X119="Yes"),"Potential unsupported-perturbation inflation",IF(AND(O119="Admitted",OR(M119&lt;&gt;"",N119&lt;&gt;"")),"No unsupported-perturbation defect indicated","Admission integrity incomplete")))</f>
        <v/>
      </c>
    </row>
    <row r="120">
      <c r="L120" s="551" t="n"/>
      <c r="U120">
        <f>IF(OR(S120="",T120=""),"",IF(S120=T120,"No","Yes"))</f>
        <v/>
      </c>
      <c r="Y120">
        <f>IF(A120="","",IF(AND(O120="Rejected",X120="Yes"),"Potential unsupported-perturbation inflation",IF(AND(O120="Admitted",OR(M120&lt;&gt;"",N120&lt;&gt;"")),"No unsupported-perturbation defect indicated","Admission integrity incomplete")))</f>
        <v/>
      </c>
    </row>
    <row r="121">
      <c r="L121" s="551" t="n"/>
      <c r="U121">
        <f>IF(OR(S121="",T121=""),"",IF(S121=T121,"No","Yes"))</f>
        <v/>
      </c>
      <c r="Y121">
        <f>IF(A121="","",IF(AND(O121="Rejected",X121="Yes"),"Potential unsupported-perturbation inflation",IF(AND(O121="Admitted",OR(M121&lt;&gt;"",N121&lt;&gt;"")),"No unsupported-perturbation defect indicated","Admission integrity incomplete")))</f>
        <v/>
      </c>
    </row>
    <row r="122">
      <c r="L122" s="551" t="n"/>
      <c r="U122">
        <f>IF(OR(S122="",T122=""),"",IF(S122=T122,"No","Yes"))</f>
        <v/>
      </c>
      <c r="Y122">
        <f>IF(A122="","",IF(AND(O122="Rejected",X122="Yes"),"Potential unsupported-perturbation inflation",IF(AND(O122="Admitted",OR(M122&lt;&gt;"",N122&lt;&gt;"")),"No unsupported-perturbation defect indicated","Admission integrity incomplete")))</f>
        <v/>
      </c>
    </row>
    <row r="123">
      <c r="L123" s="551" t="n"/>
      <c r="U123">
        <f>IF(OR(S123="",T123=""),"",IF(S123=T123,"No","Yes"))</f>
        <v/>
      </c>
      <c r="Y123">
        <f>IF(A123="","",IF(AND(O123="Rejected",X123="Yes"),"Potential unsupported-perturbation inflation",IF(AND(O123="Admitted",OR(M123&lt;&gt;"",N123&lt;&gt;"")),"No unsupported-perturbation defect indicated","Admission integrity incomplete")))</f>
        <v/>
      </c>
    </row>
    <row r="124">
      <c r="L124" s="551" t="n"/>
      <c r="U124">
        <f>IF(OR(S124="",T124=""),"",IF(S124=T124,"No","Yes"))</f>
        <v/>
      </c>
      <c r="Y124">
        <f>IF(A124="","",IF(AND(O124="Rejected",X124="Yes"),"Potential unsupported-perturbation inflation",IF(AND(O124="Admitted",OR(M124&lt;&gt;"",N124&lt;&gt;"")),"No unsupported-perturbation defect indicated","Admission integrity incomplete")))</f>
        <v/>
      </c>
    </row>
    <row r="125">
      <c r="L125" s="551" t="n"/>
      <c r="U125">
        <f>IF(OR(S125="",T125=""),"",IF(S125=T125,"No","Yes"))</f>
        <v/>
      </c>
      <c r="Y125">
        <f>IF(A125="","",IF(AND(O125="Rejected",X125="Yes"),"Potential unsupported-perturbation inflation",IF(AND(O125="Admitted",OR(M125&lt;&gt;"",N125&lt;&gt;"")),"No unsupported-perturbation defect indicated","Admission integrity incomplete")))</f>
        <v/>
      </c>
    </row>
    <row r="126">
      <c r="L126" s="551" t="n"/>
      <c r="U126">
        <f>IF(OR(S126="",T126=""),"",IF(S126=T126,"No","Yes"))</f>
        <v/>
      </c>
      <c r="Y126">
        <f>IF(A126="","",IF(AND(O126="Rejected",X126="Yes"),"Potential unsupported-perturbation inflation",IF(AND(O126="Admitted",OR(M126&lt;&gt;"",N126&lt;&gt;"")),"No unsupported-perturbation defect indicated","Admission integrity incomplete")))</f>
        <v/>
      </c>
    </row>
    <row r="127">
      <c r="L127" s="551" t="n"/>
      <c r="U127">
        <f>IF(OR(S127="",T127=""),"",IF(S127=T127,"No","Yes"))</f>
        <v/>
      </c>
      <c r="Y127">
        <f>IF(A127="","",IF(AND(O127="Rejected",X127="Yes"),"Potential unsupported-perturbation inflation",IF(AND(O127="Admitted",OR(M127&lt;&gt;"",N127&lt;&gt;"")),"No unsupported-perturbation defect indicated","Admission integrity incomplete")))</f>
        <v/>
      </c>
    </row>
    <row r="128">
      <c r="L128" s="551" t="n"/>
      <c r="U128">
        <f>IF(OR(S128="",T128=""),"",IF(S128=T128,"No","Yes"))</f>
        <v/>
      </c>
      <c r="Y128">
        <f>IF(A128="","",IF(AND(O128="Rejected",X128="Yes"),"Potential unsupported-perturbation inflation",IF(AND(O128="Admitted",OR(M128&lt;&gt;"",N128&lt;&gt;"")),"No unsupported-perturbation defect indicated","Admission integrity incomplete")))</f>
        <v/>
      </c>
    </row>
    <row r="129">
      <c r="L129" s="551" t="n"/>
      <c r="U129">
        <f>IF(OR(S129="",T129=""),"",IF(S129=T129,"No","Yes"))</f>
        <v/>
      </c>
      <c r="Y129">
        <f>IF(A129="","",IF(AND(O129="Rejected",X129="Yes"),"Potential unsupported-perturbation inflation",IF(AND(O129="Admitted",OR(M129&lt;&gt;"",N129&lt;&gt;"")),"No unsupported-perturbation defect indicated","Admission integrity incomplete")))</f>
        <v/>
      </c>
    </row>
    <row r="130">
      <c r="L130" s="551" t="n"/>
      <c r="U130">
        <f>IF(OR(S130="",T130=""),"",IF(S130=T130,"No","Yes"))</f>
        <v/>
      </c>
      <c r="Y130">
        <f>IF(A130="","",IF(AND(O130="Rejected",X130="Yes"),"Potential unsupported-perturbation inflation",IF(AND(O130="Admitted",OR(M130&lt;&gt;"",N130&lt;&gt;"")),"No unsupported-perturbation defect indicated","Admission integrity incomplete")))</f>
        <v/>
      </c>
    </row>
    <row r="131">
      <c r="L131" s="551" t="n"/>
      <c r="U131">
        <f>IF(OR(S131="",T131=""),"",IF(S131=T131,"No","Yes"))</f>
        <v/>
      </c>
      <c r="Y131">
        <f>IF(A131="","",IF(AND(O131="Rejected",X131="Yes"),"Potential unsupported-perturbation inflation",IF(AND(O131="Admitted",OR(M131&lt;&gt;"",N131&lt;&gt;"")),"No unsupported-perturbation defect indicated","Admission integrity incomplete")))</f>
        <v/>
      </c>
    </row>
    <row r="132">
      <c r="L132" s="551" t="n"/>
      <c r="U132">
        <f>IF(OR(S132="",T132=""),"",IF(S132=T132,"No","Yes"))</f>
        <v/>
      </c>
      <c r="Y132">
        <f>IF(A132="","",IF(AND(O132="Rejected",X132="Yes"),"Potential unsupported-perturbation inflation",IF(AND(O132="Admitted",OR(M132&lt;&gt;"",N132&lt;&gt;"")),"No unsupported-perturbation defect indicated","Admission integrity incomplete")))</f>
        <v/>
      </c>
    </row>
    <row r="133">
      <c r="L133" s="551" t="n"/>
      <c r="U133">
        <f>IF(OR(S133="",T133=""),"",IF(S133=T133,"No","Yes"))</f>
        <v/>
      </c>
      <c r="Y133">
        <f>IF(A133="","",IF(AND(O133="Rejected",X133="Yes"),"Potential unsupported-perturbation inflation",IF(AND(O133="Admitted",OR(M133&lt;&gt;"",N133&lt;&gt;"")),"No unsupported-perturbation defect indicated","Admission integrity incomplete")))</f>
        <v/>
      </c>
    </row>
    <row r="134">
      <c r="L134" s="551" t="n"/>
      <c r="U134">
        <f>IF(OR(S134="",T134=""),"",IF(S134=T134,"No","Yes"))</f>
        <v/>
      </c>
      <c r="Y134">
        <f>IF(A134="","",IF(AND(O134="Rejected",X134="Yes"),"Potential unsupported-perturbation inflation",IF(AND(O134="Admitted",OR(M134&lt;&gt;"",N134&lt;&gt;"")),"No unsupported-perturbation defect indicated","Admission integrity incomplete")))</f>
        <v/>
      </c>
    </row>
    <row r="135">
      <c r="L135" s="551" t="n"/>
      <c r="U135">
        <f>IF(OR(S135="",T135=""),"",IF(S135=T135,"No","Yes"))</f>
        <v/>
      </c>
      <c r="Y135">
        <f>IF(A135="","",IF(AND(O135="Rejected",X135="Yes"),"Potential unsupported-perturbation inflation",IF(AND(O135="Admitted",OR(M135&lt;&gt;"",N135&lt;&gt;"")),"No unsupported-perturbation defect indicated","Admission integrity incomplete")))</f>
        <v/>
      </c>
    </row>
    <row r="136">
      <c r="L136" s="551" t="n"/>
      <c r="U136">
        <f>IF(OR(S136="",T136=""),"",IF(S136=T136,"No","Yes"))</f>
        <v/>
      </c>
      <c r="Y136">
        <f>IF(A136="","",IF(AND(O136="Rejected",X136="Yes"),"Potential unsupported-perturbation inflation",IF(AND(O136="Admitted",OR(M136&lt;&gt;"",N136&lt;&gt;"")),"No unsupported-perturbation defect indicated","Admission integrity incomplete")))</f>
        <v/>
      </c>
    </row>
    <row r="137">
      <c r="L137" s="551" t="n"/>
      <c r="U137">
        <f>IF(OR(S137="",T137=""),"",IF(S137=T137,"No","Yes"))</f>
        <v/>
      </c>
      <c r="Y137">
        <f>IF(A137="","",IF(AND(O137="Rejected",X137="Yes"),"Potential unsupported-perturbation inflation",IF(AND(O137="Admitted",OR(M137&lt;&gt;"",N137&lt;&gt;"")),"No unsupported-perturbation defect indicated","Admission integrity incomplete")))</f>
        <v/>
      </c>
    </row>
    <row r="138">
      <c r="L138" s="551" t="n"/>
      <c r="U138">
        <f>IF(OR(S138="",T138=""),"",IF(S138=T138,"No","Yes"))</f>
        <v/>
      </c>
      <c r="Y138">
        <f>IF(A138="","",IF(AND(O138="Rejected",X138="Yes"),"Potential unsupported-perturbation inflation",IF(AND(O138="Admitted",OR(M138&lt;&gt;"",N138&lt;&gt;"")),"No unsupported-perturbation defect indicated","Admission integrity incomplete")))</f>
        <v/>
      </c>
    </row>
    <row r="139">
      <c r="L139" s="551" t="n"/>
      <c r="U139">
        <f>IF(OR(S139="",T139=""),"",IF(S139=T139,"No","Yes"))</f>
        <v/>
      </c>
      <c r="Y139">
        <f>IF(A139="","",IF(AND(O139="Rejected",X139="Yes"),"Potential unsupported-perturbation inflation",IF(AND(O139="Admitted",OR(M139&lt;&gt;"",N139&lt;&gt;"")),"No unsupported-perturbation defect indicated","Admission integrity incomplete")))</f>
        <v/>
      </c>
    </row>
    <row r="140">
      <c r="L140" s="551" t="n"/>
      <c r="U140">
        <f>IF(OR(S140="",T140=""),"",IF(S140=T140,"No","Yes"))</f>
        <v/>
      </c>
      <c r="Y140">
        <f>IF(A140="","",IF(AND(O140="Rejected",X140="Yes"),"Potential unsupported-perturbation inflation",IF(AND(O140="Admitted",OR(M140&lt;&gt;"",N140&lt;&gt;"")),"No unsupported-perturbation defect indicated","Admission integrity incomplete")))</f>
        <v/>
      </c>
    </row>
    <row r="141">
      <c r="L141" s="551" t="n"/>
      <c r="U141">
        <f>IF(OR(S141="",T141=""),"",IF(S141=T141,"No","Yes"))</f>
        <v/>
      </c>
      <c r="Y141">
        <f>IF(A141="","",IF(AND(O141="Rejected",X141="Yes"),"Potential unsupported-perturbation inflation",IF(AND(O141="Admitted",OR(M141&lt;&gt;"",N141&lt;&gt;"")),"No unsupported-perturbation defect indicated","Admission integrity incomplete")))</f>
        <v/>
      </c>
    </row>
    <row r="142">
      <c r="L142" s="551" t="n"/>
      <c r="U142">
        <f>IF(OR(S142="",T142=""),"",IF(S142=T142,"No","Yes"))</f>
        <v/>
      </c>
      <c r="Y142">
        <f>IF(A142="","",IF(AND(O142="Rejected",X142="Yes"),"Potential unsupported-perturbation inflation",IF(AND(O142="Admitted",OR(M142&lt;&gt;"",N142&lt;&gt;"")),"No unsupported-perturbation defect indicated","Admission integrity incomplete")))</f>
        <v/>
      </c>
    </row>
    <row r="143">
      <c r="L143" s="551" t="n"/>
      <c r="U143">
        <f>IF(OR(S143="",T143=""),"",IF(S143=T143,"No","Yes"))</f>
        <v/>
      </c>
      <c r="Y143">
        <f>IF(A143="","",IF(AND(O143="Rejected",X143="Yes"),"Potential unsupported-perturbation inflation",IF(AND(O143="Admitted",OR(M143&lt;&gt;"",N143&lt;&gt;"")),"No unsupported-perturbation defect indicated","Admission integrity incomplete")))</f>
        <v/>
      </c>
    </row>
    <row r="144">
      <c r="L144" s="551" t="n"/>
      <c r="U144">
        <f>IF(OR(S144="",T144=""),"",IF(S144=T144,"No","Yes"))</f>
        <v/>
      </c>
      <c r="Y144">
        <f>IF(A144="","",IF(AND(O144="Rejected",X144="Yes"),"Potential unsupported-perturbation inflation",IF(AND(O144="Admitted",OR(M144&lt;&gt;"",N144&lt;&gt;"")),"No unsupported-perturbation defect indicated","Admission integrity incomplete")))</f>
        <v/>
      </c>
    </row>
    <row r="145">
      <c r="L145" s="551" t="n"/>
      <c r="U145">
        <f>IF(OR(S145="",T145=""),"",IF(S145=T145,"No","Yes"))</f>
        <v/>
      </c>
      <c r="Y145">
        <f>IF(A145="","",IF(AND(O145="Rejected",X145="Yes"),"Potential unsupported-perturbation inflation",IF(AND(O145="Admitted",OR(M145&lt;&gt;"",N145&lt;&gt;"")),"No unsupported-perturbation defect indicated","Admission integrity incomplete")))</f>
        <v/>
      </c>
    </row>
    <row r="146">
      <c r="L146" s="551" t="n"/>
      <c r="U146">
        <f>IF(OR(S146="",T146=""),"",IF(S146=T146,"No","Yes"))</f>
        <v/>
      </c>
      <c r="Y146">
        <f>IF(A146="","",IF(AND(O146="Rejected",X146="Yes"),"Potential unsupported-perturbation inflation",IF(AND(O146="Admitted",OR(M146&lt;&gt;"",N146&lt;&gt;"")),"No unsupported-perturbation defect indicated","Admission integrity incomplete")))</f>
        <v/>
      </c>
    </row>
    <row r="147">
      <c r="L147" s="551" t="n"/>
      <c r="U147">
        <f>IF(OR(S147="",T147=""),"",IF(S147=T147,"No","Yes"))</f>
        <v/>
      </c>
      <c r="Y147">
        <f>IF(A147="","",IF(AND(O147="Rejected",X147="Yes"),"Potential unsupported-perturbation inflation",IF(AND(O147="Admitted",OR(M147&lt;&gt;"",N147&lt;&gt;"")),"No unsupported-perturbation defect indicated","Admission integrity incomplete")))</f>
        <v/>
      </c>
    </row>
    <row r="148">
      <c r="L148" s="551" t="n"/>
      <c r="U148">
        <f>IF(OR(S148="",T148=""),"",IF(S148=T148,"No","Yes"))</f>
        <v/>
      </c>
      <c r="Y148">
        <f>IF(A148="","",IF(AND(O148="Rejected",X148="Yes"),"Potential unsupported-perturbation inflation",IF(AND(O148="Admitted",OR(M148&lt;&gt;"",N148&lt;&gt;"")),"No unsupported-perturbation defect indicated","Admission integrity incomplete")))</f>
        <v/>
      </c>
    </row>
    <row r="149">
      <c r="L149" s="551" t="n"/>
      <c r="U149">
        <f>IF(OR(S149="",T149=""),"",IF(S149=T149,"No","Yes"))</f>
        <v/>
      </c>
      <c r="Y149">
        <f>IF(A149="","",IF(AND(O149="Rejected",X149="Yes"),"Potential unsupported-perturbation inflation",IF(AND(O149="Admitted",OR(M149&lt;&gt;"",N149&lt;&gt;"")),"No unsupported-perturbation defect indicated","Admission integrity incomplete")))</f>
        <v/>
      </c>
    </row>
    <row r="150">
      <c r="L150" s="551" t="n"/>
      <c r="U150">
        <f>IF(OR(S150="",T150=""),"",IF(S150=T150,"No","Yes"))</f>
        <v/>
      </c>
      <c r="Y150">
        <f>IF(A150="","",IF(AND(O150="Rejected",X150="Yes"),"Potential unsupported-perturbation inflation",IF(AND(O150="Admitted",OR(M150&lt;&gt;"",N150&lt;&gt;"")),"No unsupported-perturbation defect indicated","Admission integrity incomplete")))</f>
        <v/>
      </c>
    </row>
    <row r="151">
      <c r="L151" s="551" t="n"/>
      <c r="U151">
        <f>IF(OR(S151="",T151=""),"",IF(S151=T151,"No","Yes"))</f>
        <v/>
      </c>
      <c r="Y151">
        <f>IF(A151="","",IF(AND(O151="Rejected",X151="Yes"),"Potential unsupported-perturbation inflation",IF(AND(O151="Admitted",OR(M151&lt;&gt;"",N151&lt;&gt;"")),"No unsupported-perturbation defect indicated","Admission integrity incomplete")))</f>
        <v/>
      </c>
    </row>
    <row r="152">
      <c r="L152" s="551" t="n"/>
      <c r="U152">
        <f>IF(OR(S152="",T152=""),"",IF(S152=T152,"No","Yes"))</f>
        <v/>
      </c>
      <c r="Y152">
        <f>IF(A152="","",IF(AND(O152="Rejected",X152="Yes"),"Potential unsupported-perturbation inflation",IF(AND(O152="Admitted",OR(M152&lt;&gt;"",N152&lt;&gt;"")),"No unsupported-perturbation defect indicated","Admission integrity incomplete")))</f>
        <v/>
      </c>
    </row>
    <row r="153">
      <c r="L153" s="551" t="n"/>
      <c r="U153">
        <f>IF(OR(S153="",T153=""),"",IF(S153=T153,"No","Yes"))</f>
        <v/>
      </c>
      <c r="Y153">
        <f>IF(A153="","",IF(AND(O153="Rejected",X153="Yes"),"Potential unsupported-perturbation inflation",IF(AND(O153="Admitted",OR(M153&lt;&gt;"",N153&lt;&gt;"")),"No unsupported-perturbation defect indicated","Admission integrity incomplete")))</f>
        <v/>
      </c>
    </row>
    <row r="154">
      <c r="L154" s="551" t="n"/>
      <c r="U154">
        <f>IF(OR(S154="",T154=""),"",IF(S154=T154,"No","Yes"))</f>
        <v/>
      </c>
      <c r="Y154">
        <f>IF(A154="","",IF(AND(O154="Rejected",X154="Yes"),"Potential unsupported-perturbation inflation",IF(AND(O154="Admitted",OR(M154&lt;&gt;"",N154&lt;&gt;"")),"No unsupported-perturbation defect indicated","Admission integrity incomplete")))</f>
        <v/>
      </c>
    </row>
    <row r="155">
      <c r="L155" s="551" t="n"/>
      <c r="U155">
        <f>IF(OR(S155="",T155=""),"",IF(S155=T155,"No","Yes"))</f>
        <v/>
      </c>
      <c r="Y155">
        <f>IF(A155="","",IF(AND(O155="Rejected",X155="Yes"),"Potential unsupported-perturbation inflation",IF(AND(O155="Admitted",OR(M155&lt;&gt;"",N155&lt;&gt;"")),"No unsupported-perturbation defect indicated","Admission integrity incomplete")))</f>
        <v/>
      </c>
    </row>
    <row r="156">
      <c r="L156" s="551" t="n"/>
      <c r="U156">
        <f>IF(OR(S156="",T156=""),"",IF(S156=T156,"No","Yes"))</f>
        <v/>
      </c>
      <c r="Y156">
        <f>IF(A156="","",IF(AND(O156="Rejected",X156="Yes"),"Potential unsupported-perturbation inflation",IF(AND(O156="Admitted",OR(M156&lt;&gt;"",N156&lt;&gt;"")),"No unsupported-perturbation defect indicated","Admission integrity incomplete")))</f>
        <v/>
      </c>
    </row>
    <row r="157">
      <c r="L157" s="551" t="n"/>
      <c r="U157">
        <f>IF(OR(S157="",T157=""),"",IF(S157=T157,"No","Yes"))</f>
        <v/>
      </c>
      <c r="Y157">
        <f>IF(A157="","",IF(AND(O157="Rejected",X157="Yes"),"Potential unsupported-perturbation inflation",IF(AND(O157="Admitted",OR(M157&lt;&gt;"",N157&lt;&gt;"")),"No unsupported-perturbation defect indicated","Admission integrity incomplete")))</f>
        <v/>
      </c>
    </row>
    <row r="158">
      <c r="L158" s="551" t="n"/>
      <c r="U158">
        <f>IF(OR(S158="",T158=""),"",IF(S158=T158,"No","Yes"))</f>
        <v/>
      </c>
      <c r="Y158">
        <f>IF(A158="","",IF(AND(O158="Rejected",X158="Yes"),"Potential unsupported-perturbation inflation",IF(AND(O158="Admitted",OR(M158&lt;&gt;"",N158&lt;&gt;"")),"No unsupported-perturbation defect indicated","Admission integrity incomplete")))</f>
        <v/>
      </c>
    </row>
    <row r="159">
      <c r="L159" s="551" t="n"/>
      <c r="U159">
        <f>IF(OR(S159="",T159=""),"",IF(S159=T159,"No","Yes"))</f>
        <v/>
      </c>
      <c r="Y159">
        <f>IF(A159="","",IF(AND(O159="Rejected",X159="Yes"),"Potential unsupported-perturbation inflation",IF(AND(O159="Admitted",OR(M159&lt;&gt;"",N159&lt;&gt;"")),"No unsupported-perturbation defect indicated","Admission integrity incomplete")))</f>
        <v/>
      </c>
    </row>
    <row r="160">
      <c r="L160" s="551" t="n"/>
      <c r="U160">
        <f>IF(OR(S160="",T160=""),"",IF(S160=T160,"No","Yes"))</f>
        <v/>
      </c>
      <c r="Y160">
        <f>IF(A160="","",IF(AND(O160="Rejected",X160="Yes"),"Potential unsupported-perturbation inflation",IF(AND(O160="Admitted",OR(M160&lt;&gt;"",N160&lt;&gt;"")),"No unsupported-perturbation defect indicated","Admission integrity incomplete")))</f>
        <v/>
      </c>
    </row>
    <row r="161">
      <c r="L161" s="551" t="n"/>
      <c r="U161">
        <f>IF(OR(S161="",T161=""),"",IF(S161=T161,"No","Yes"))</f>
        <v/>
      </c>
      <c r="Y161">
        <f>IF(A161="","",IF(AND(O161="Rejected",X161="Yes"),"Potential unsupported-perturbation inflation",IF(AND(O161="Admitted",OR(M161&lt;&gt;"",N161&lt;&gt;"")),"No unsupported-perturbation defect indicated","Admission integrity incomplete")))</f>
        <v/>
      </c>
    </row>
    <row r="162">
      <c r="L162" s="551" t="n"/>
      <c r="U162">
        <f>IF(OR(S162="",T162=""),"",IF(S162=T162,"No","Yes"))</f>
        <v/>
      </c>
      <c r="Y162">
        <f>IF(A162="","",IF(AND(O162="Rejected",X162="Yes"),"Potential unsupported-perturbation inflation",IF(AND(O162="Admitted",OR(M162&lt;&gt;"",N162&lt;&gt;"")),"No unsupported-perturbation defect indicated","Admission integrity incomplete")))</f>
        <v/>
      </c>
    </row>
    <row r="163">
      <c r="L163" s="551" t="n"/>
      <c r="U163">
        <f>IF(OR(S163="",T163=""),"",IF(S163=T163,"No","Yes"))</f>
        <v/>
      </c>
      <c r="Y163">
        <f>IF(A163="","",IF(AND(O163="Rejected",X163="Yes"),"Potential unsupported-perturbation inflation",IF(AND(O163="Admitted",OR(M163&lt;&gt;"",N163&lt;&gt;"")),"No unsupported-perturbation defect indicated","Admission integrity incomplete")))</f>
        <v/>
      </c>
    </row>
    <row r="164">
      <c r="L164" s="551" t="n"/>
      <c r="U164">
        <f>IF(OR(S164="",T164=""),"",IF(S164=T164,"No","Yes"))</f>
        <v/>
      </c>
      <c r="Y164">
        <f>IF(A164="","",IF(AND(O164="Rejected",X164="Yes"),"Potential unsupported-perturbation inflation",IF(AND(O164="Admitted",OR(M164&lt;&gt;"",N164&lt;&gt;"")),"No unsupported-perturbation defect indicated","Admission integrity incomplete")))</f>
        <v/>
      </c>
    </row>
    <row r="165">
      <c r="L165" s="551" t="n"/>
      <c r="U165">
        <f>IF(OR(S165="",T165=""),"",IF(S165=T165,"No","Yes"))</f>
        <v/>
      </c>
      <c r="Y165">
        <f>IF(A165="","",IF(AND(O165="Rejected",X165="Yes"),"Potential unsupported-perturbation inflation",IF(AND(O165="Admitted",OR(M165&lt;&gt;"",N165&lt;&gt;"")),"No unsupported-perturbation defect indicated","Admission integrity incomplete")))</f>
        <v/>
      </c>
    </row>
    <row r="166">
      <c r="L166" s="551" t="n"/>
      <c r="U166">
        <f>IF(OR(S166="",T166=""),"",IF(S166=T166,"No","Yes"))</f>
        <v/>
      </c>
      <c r="Y166">
        <f>IF(A166="","",IF(AND(O166="Rejected",X166="Yes"),"Potential unsupported-perturbation inflation",IF(AND(O166="Admitted",OR(M166&lt;&gt;"",N166&lt;&gt;"")),"No unsupported-perturbation defect indicated","Admission integrity incomplete")))</f>
        <v/>
      </c>
    </row>
    <row r="167">
      <c r="L167" s="551" t="n"/>
      <c r="U167">
        <f>IF(OR(S167="",T167=""),"",IF(S167=T167,"No","Yes"))</f>
        <v/>
      </c>
      <c r="Y167">
        <f>IF(A167="","",IF(AND(O167="Rejected",X167="Yes"),"Potential unsupported-perturbation inflation",IF(AND(O167="Admitted",OR(M167&lt;&gt;"",N167&lt;&gt;"")),"No unsupported-perturbation defect indicated","Admission integrity incomplete")))</f>
        <v/>
      </c>
    </row>
    <row r="168">
      <c r="L168" s="551" t="n"/>
      <c r="U168">
        <f>IF(OR(S168="",T168=""),"",IF(S168=T168,"No","Yes"))</f>
        <v/>
      </c>
      <c r="Y168">
        <f>IF(A168="","",IF(AND(O168="Rejected",X168="Yes"),"Potential unsupported-perturbation inflation",IF(AND(O168="Admitted",OR(M168&lt;&gt;"",N168&lt;&gt;"")),"No unsupported-perturbation defect indicated","Admission integrity incomplete")))</f>
        <v/>
      </c>
    </row>
    <row r="169">
      <c r="L169" s="551" t="n"/>
      <c r="U169">
        <f>IF(OR(S169="",T169=""),"",IF(S169=T169,"No","Yes"))</f>
        <v/>
      </c>
      <c r="Y169">
        <f>IF(A169="","",IF(AND(O169="Rejected",X169="Yes"),"Potential unsupported-perturbation inflation",IF(AND(O169="Admitted",OR(M169&lt;&gt;"",N169&lt;&gt;"")),"No unsupported-perturbation defect indicated","Admission integrity incomplete")))</f>
        <v/>
      </c>
    </row>
    <row r="170">
      <c r="L170" s="551" t="n"/>
      <c r="U170">
        <f>IF(OR(S170="",T170=""),"",IF(S170=T170,"No","Yes"))</f>
        <v/>
      </c>
      <c r="Y170">
        <f>IF(A170="","",IF(AND(O170="Rejected",X170="Yes"),"Potential unsupported-perturbation inflation",IF(AND(O170="Admitted",OR(M170&lt;&gt;"",N170&lt;&gt;"")),"No unsupported-perturbation defect indicated","Admission integrity incomplete")))</f>
        <v/>
      </c>
    </row>
    <row r="171">
      <c r="L171" s="551" t="n"/>
      <c r="U171">
        <f>IF(OR(S171="",T171=""),"",IF(S171=T171,"No","Yes"))</f>
        <v/>
      </c>
      <c r="Y171">
        <f>IF(A171="","",IF(AND(O171="Rejected",X171="Yes"),"Potential unsupported-perturbation inflation",IF(AND(O171="Admitted",OR(M171&lt;&gt;"",N171&lt;&gt;"")),"No unsupported-perturbation defect indicated","Admission integrity incomplete")))</f>
        <v/>
      </c>
    </row>
    <row r="172">
      <c r="L172" s="551" t="n"/>
      <c r="U172">
        <f>IF(OR(S172="",T172=""),"",IF(S172=T172,"No","Yes"))</f>
        <v/>
      </c>
      <c r="Y172">
        <f>IF(A172="","",IF(AND(O172="Rejected",X172="Yes"),"Potential unsupported-perturbation inflation",IF(AND(O172="Admitted",OR(M172&lt;&gt;"",N172&lt;&gt;"")),"No unsupported-perturbation defect indicated","Admission integrity incomplete")))</f>
        <v/>
      </c>
    </row>
    <row r="173">
      <c r="L173" s="551" t="n"/>
      <c r="U173">
        <f>IF(OR(S173="",T173=""),"",IF(S173=T173,"No","Yes"))</f>
        <v/>
      </c>
      <c r="Y173">
        <f>IF(A173="","",IF(AND(O173="Rejected",X173="Yes"),"Potential unsupported-perturbation inflation",IF(AND(O173="Admitted",OR(M173&lt;&gt;"",N173&lt;&gt;"")),"No unsupported-perturbation defect indicated","Admission integrity incomplete")))</f>
        <v/>
      </c>
    </row>
    <row r="174">
      <c r="L174" s="551" t="n"/>
      <c r="U174">
        <f>IF(OR(S174="",T174=""),"",IF(S174=T174,"No","Yes"))</f>
        <v/>
      </c>
      <c r="Y174">
        <f>IF(A174="","",IF(AND(O174="Rejected",X174="Yes"),"Potential unsupported-perturbation inflation",IF(AND(O174="Admitted",OR(M174&lt;&gt;"",N174&lt;&gt;"")),"No unsupported-perturbation defect indicated","Admission integrity incomplete")))</f>
        <v/>
      </c>
    </row>
    <row r="175">
      <c r="L175" s="551" t="n"/>
      <c r="U175">
        <f>IF(OR(S175="",T175=""),"",IF(S175=T175,"No","Yes"))</f>
        <v/>
      </c>
      <c r="Y175">
        <f>IF(A175="","",IF(AND(O175="Rejected",X175="Yes"),"Potential unsupported-perturbation inflation",IF(AND(O175="Admitted",OR(M175&lt;&gt;"",N175&lt;&gt;"")),"No unsupported-perturbation defect indicated","Admission integrity incomplete")))</f>
        <v/>
      </c>
    </row>
    <row r="176">
      <c r="L176" s="551" t="n"/>
      <c r="U176">
        <f>IF(OR(S176="",T176=""),"",IF(S176=T176,"No","Yes"))</f>
        <v/>
      </c>
      <c r="Y176">
        <f>IF(A176="","",IF(AND(O176="Rejected",X176="Yes"),"Potential unsupported-perturbation inflation",IF(AND(O176="Admitted",OR(M176&lt;&gt;"",N176&lt;&gt;"")),"No unsupported-perturbation defect indicated","Admission integrity incomplete")))</f>
        <v/>
      </c>
    </row>
    <row r="177">
      <c r="L177" s="551" t="n"/>
      <c r="U177">
        <f>IF(OR(S177="",T177=""),"",IF(S177=T177,"No","Yes"))</f>
        <v/>
      </c>
      <c r="Y177">
        <f>IF(A177="","",IF(AND(O177="Rejected",X177="Yes"),"Potential unsupported-perturbation inflation",IF(AND(O177="Admitted",OR(M177&lt;&gt;"",N177&lt;&gt;"")),"No unsupported-perturbation defect indicated","Admission integrity incomplete")))</f>
        <v/>
      </c>
    </row>
    <row r="178">
      <c r="L178" s="551" t="n"/>
      <c r="U178">
        <f>IF(OR(S178="",T178=""),"",IF(S178=T178,"No","Yes"))</f>
        <v/>
      </c>
      <c r="Y178">
        <f>IF(A178="","",IF(AND(O178="Rejected",X178="Yes"),"Potential unsupported-perturbation inflation",IF(AND(O178="Admitted",OR(M178&lt;&gt;"",N178&lt;&gt;"")),"No unsupported-perturbation defect indicated","Admission integrity incomplete")))</f>
        <v/>
      </c>
    </row>
    <row r="179">
      <c r="L179" s="551" t="n"/>
      <c r="U179">
        <f>IF(OR(S179="",T179=""),"",IF(S179=T179,"No","Yes"))</f>
        <v/>
      </c>
      <c r="Y179">
        <f>IF(A179="","",IF(AND(O179="Rejected",X179="Yes"),"Potential unsupported-perturbation inflation",IF(AND(O179="Admitted",OR(M179&lt;&gt;"",N179&lt;&gt;"")),"No unsupported-perturbation defect indicated","Admission integrity incomplete")))</f>
        <v/>
      </c>
    </row>
    <row r="180">
      <c r="L180" s="551" t="n"/>
      <c r="U180">
        <f>IF(OR(S180="",T180=""),"",IF(S180=T180,"No","Yes"))</f>
        <v/>
      </c>
      <c r="Y180">
        <f>IF(A180="","",IF(AND(O180="Rejected",X180="Yes"),"Potential unsupported-perturbation inflation",IF(AND(O180="Admitted",OR(M180&lt;&gt;"",N180&lt;&gt;"")),"No unsupported-perturbation defect indicated","Admission integrity incomplete")))</f>
        <v/>
      </c>
    </row>
    <row r="181">
      <c r="L181" s="551" t="n"/>
      <c r="U181">
        <f>IF(OR(S181="",T181=""),"",IF(S181=T181,"No","Yes"))</f>
        <v/>
      </c>
      <c r="Y181">
        <f>IF(A181="","",IF(AND(O181="Rejected",X181="Yes"),"Potential unsupported-perturbation inflation",IF(AND(O181="Admitted",OR(M181&lt;&gt;"",N181&lt;&gt;"")),"No unsupported-perturbation defect indicated","Admission integrity incomplete")))</f>
        <v/>
      </c>
    </row>
    <row r="182">
      <c r="L182" s="551" t="n"/>
      <c r="U182">
        <f>IF(OR(S182="",T182=""),"",IF(S182=T182,"No","Yes"))</f>
        <v/>
      </c>
      <c r="Y182">
        <f>IF(A182="","",IF(AND(O182="Rejected",X182="Yes"),"Potential unsupported-perturbation inflation",IF(AND(O182="Admitted",OR(M182&lt;&gt;"",N182&lt;&gt;"")),"No unsupported-perturbation defect indicated","Admission integrity incomplete")))</f>
        <v/>
      </c>
    </row>
    <row r="183">
      <c r="L183" s="551" t="n"/>
      <c r="U183">
        <f>IF(OR(S183="",T183=""),"",IF(S183=T183,"No","Yes"))</f>
        <v/>
      </c>
      <c r="Y183">
        <f>IF(A183="","",IF(AND(O183="Rejected",X183="Yes"),"Potential unsupported-perturbation inflation",IF(AND(O183="Admitted",OR(M183&lt;&gt;"",N183&lt;&gt;"")),"No unsupported-perturbation defect indicated","Admission integrity incomplete")))</f>
        <v/>
      </c>
    </row>
    <row r="184">
      <c r="L184" s="551" t="n"/>
      <c r="U184">
        <f>IF(OR(S184="",T184=""),"",IF(S184=T184,"No","Yes"))</f>
        <v/>
      </c>
      <c r="Y184">
        <f>IF(A184="","",IF(AND(O184="Rejected",X184="Yes"),"Potential unsupported-perturbation inflation",IF(AND(O184="Admitted",OR(M184&lt;&gt;"",N184&lt;&gt;"")),"No unsupported-perturbation defect indicated","Admission integrity incomplete")))</f>
        <v/>
      </c>
    </row>
    <row r="185">
      <c r="L185" s="551" t="n"/>
      <c r="U185">
        <f>IF(OR(S185="",T185=""),"",IF(S185=T185,"No","Yes"))</f>
        <v/>
      </c>
      <c r="Y185">
        <f>IF(A185="","",IF(AND(O185="Rejected",X185="Yes"),"Potential unsupported-perturbation inflation",IF(AND(O185="Admitted",OR(M185&lt;&gt;"",N185&lt;&gt;"")),"No unsupported-perturbation defect indicated","Admission integrity incomplete")))</f>
        <v/>
      </c>
    </row>
    <row r="186">
      <c r="L186" s="551" t="n"/>
      <c r="U186">
        <f>IF(OR(S186="",T186=""),"",IF(S186=T186,"No","Yes"))</f>
        <v/>
      </c>
      <c r="Y186">
        <f>IF(A186="","",IF(AND(O186="Rejected",X186="Yes"),"Potential unsupported-perturbation inflation",IF(AND(O186="Admitted",OR(M186&lt;&gt;"",N186&lt;&gt;"")),"No unsupported-perturbation defect indicated","Admission integrity incomplete")))</f>
        <v/>
      </c>
    </row>
    <row r="187">
      <c r="L187" s="551" t="n"/>
      <c r="U187">
        <f>IF(OR(S187="",T187=""),"",IF(S187=T187,"No","Yes"))</f>
        <v/>
      </c>
      <c r="Y187">
        <f>IF(A187="","",IF(AND(O187="Rejected",X187="Yes"),"Potential unsupported-perturbation inflation",IF(AND(O187="Admitted",OR(M187&lt;&gt;"",N187&lt;&gt;"")),"No unsupported-perturbation defect indicated","Admission integrity incomplete")))</f>
        <v/>
      </c>
    </row>
    <row r="188">
      <c r="L188" s="551" t="n"/>
      <c r="U188">
        <f>IF(OR(S188="",T188=""),"",IF(S188=T188,"No","Yes"))</f>
        <v/>
      </c>
      <c r="Y188">
        <f>IF(A188="","",IF(AND(O188="Rejected",X188="Yes"),"Potential unsupported-perturbation inflation",IF(AND(O188="Admitted",OR(M188&lt;&gt;"",N188&lt;&gt;"")),"No unsupported-perturbation defect indicated","Admission integrity incomplete")))</f>
        <v/>
      </c>
    </row>
    <row r="189">
      <c r="L189" s="551" t="n"/>
      <c r="U189">
        <f>IF(OR(S189="",T189=""),"",IF(S189=T189,"No","Yes"))</f>
        <v/>
      </c>
      <c r="Y189">
        <f>IF(A189="","",IF(AND(O189="Rejected",X189="Yes"),"Potential unsupported-perturbation inflation",IF(AND(O189="Admitted",OR(M189&lt;&gt;"",N189&lt;&gt;"")),"No unsupported-perturbation defect indicated","Admission integrity incomplete")))</f>
        <v/>
      </c>
    </row>
    <row r="190">
      <c r="L190" s="551" t="n"/>
      <c r="U190">
        <f>IF(OR(S190="",T190=""),"",IF(S190=T190,"No","Yes"))</f>
        <v/>
      </c>
      <c r="Y190">
        <f>IF(A190="","",IF(AND(O190="Rejected",X190="Yes"),"Potential unsupported-perturbation inflation",IF(AND(O190="Admitted",OR(M190&lt;&gt;"",N190&lt;&gt;"")),"No unsupported-perturbation defect indicated","Admission integrity incomplete")))</f>
        <v/>
      </c>
    </row>
    <row r="191">
      <c r="L191" s="551" t="n"/>
      <c r="U191">
        <f>IF(OR(S191="",T191=""),"",IF(S191=T191,"No","Yes"))</f>
        <v/>
      </c>
      <c r="Y191">
        <f>IF(A191="","",IF(AND(O191="Rejected",X191="Yes"),"Potential unsupported-perturbation inflation",IF(AND(O191="Admitted",OR(M191&lt;&gt;"",N191&lt;&gt;"")),"No unsupported-perturbation defect indicated","Admission integrity incomplete")))</f>
        <v/>
      </c>
    </row>
    <row r="192">
      <c r="L192" s="551" t="n"/>
      <c r="U192">
        <f>IF(OR(S192="",T192=""),"",IF(S192=T192,"No","Yes"))</f>
        <v/>
      </c>
      <c r="Y192">
        <f>IF(A192="","",IF(AND(O192="Rejected",X192="Yes"),"Potential unsupported-perturbation inflation",IF(AND(O192="Admitted",OR(M192&lt;&gt;"",N192&lt;&gt;"")),"No unsupported-perturbation defect indicated","Admission integrity incomplete")))</f>
        <v/>
      </c>
    </row>
    <row r="193">
      <c r="L193" s="551" t="n"/>
      <c r="U193">
        <f>IF(OR(S193="",T193=""),"",IF(S193=T193,"No","Yes"))</f>
        <v/>
      </c>
      <c r="Y193">
        <f>IF(A193="","",IF(AND(O193="Rejected",X193="Yes"),"Potential unsupported-perturbation inflation",IF(AND(O193="Admitted",OR(M193&lt;&gt;"",N193&lt;&gt;"")),"No unsupported-perturbation defect indicated","Admission integrity incomplete")))</f>
        <v/>
      </c>
    </row>
    <row r="194">
      <c r="L194" s="551" t="n"/>
      <c r="U194">
        <f>IF(OR(S194="",T194=""),"",IF(S194=T194,"No","Yes"))</f>
        <v/>
      </c>
      <c r="Y194">
        <f>IF(A194="","",IF(AND(O194="Rejected",X194="Yes"),"Potential unsupported-perturbation inflation",IF(AND(O194="Admitted",OR(M194&lt;&gt;"",N194&lt;&gt;"")),"No unsupported-perturbation defect indicated","Admission integrity incomplete")))</f>
        <v/>
      </c>
    </row>
    <row r="195">
      <c r="L195" s="551" t="n"/>
      <c r="U195">
        <f>IF(OR(S195="",T195=""),"",IF(S195=T195,"No","Yes"))</f>
        <v/>
      </c>
      <c r="Y195">
        <f>IF(A195="","",IF(AND(O195="Rejected",X195="Yes"),"Potential unsupported-perturbation inflation",IF(AND(O195="Admitted",OR(M195&lt;&gt;"",N195&lt;&gt;"")),"No unsupported-perturbation defect indicated","Admission integrity incomplete")))</f>
        <v/>
      </c>
    </row>
    <row r="196">
      <c r="L196" s="551" t="n"/>
      <c r="U196">
        <f>IF(OR(S196="",T196=""),"",IF(S196=T196,"No","Yes"))</f>
        <v/>
      </c>
      <c r="Y196">
        <f>IF(A196="","",IF(AND(O196="Rejected",X196="Yes"),"Potential unsupported-perturbation inflation",IF(AND(O196="Admitted",OR(M196&lt;&gt;"",N196&lt;&gt;"")),"No unsupported-perturbation defect indicated","Admission integrity incomplete")))</f>
        <v/>
      </c>
    </row>
    <row r="197">
      <c r="L197" s="551" t="n"/>
      <c r="U197">
        <f>IF(OR(S197="",T197=""),"",IF(S197=T197,"No","Yes"))</f>
        <v/>
      </c>
      <c r="Y197">
        <f>IF(A197="","",IF(AND(O197="Rejected",X197="Yes"),"Potential unsupported-perturbation inflation",IF(AND(O197="Admitted",OR(M197&lt;&gt;"",N197&lt;&gt;"")),"No unsupported-perturbation defect indicated","Admission integrity incomplete")))</f>
        <v/>
      </c>
    </row>
    <row r="198">
      <c r="L198" s="551" t="n"/>
      <c r="U198">
        <f>IF(OR(S198="",T198=""),"",IF(S198=T198,"No","Yes"))</f>
        <v/>
      </c>
      <c r="Y198">
        <f>IF(A198="","",IF(AND(O198="Rejected",X198="Yes"),"Potential unsupported-perturbation inflation",IF(AND(O198="Admitted",OR(M198&lt;&gt;"",N198&lt;&gt;"")),"No unsupported-perturbation defect indicated","Admission integrity incomplete")))</f>
        <v/>
      </c>
    </row>
    <row r="199">
      <c r="L199" s="551" t="n"/>
      <c r="U199">
        <f>IF(OR(S199="",T199=""),"",IF(S199=T199,"No","Yes"))</f>
        <v/>
      </c>
      <c r="Y199">
        <f>IF(A199="","",IF(AND(O199="Rejected",X199="Yes"),"Potential unsupported-perturbation inflation",IF(AND(O199="Admitted",OR(M199&lt;&gt;"",N199&lt;&gt;"")),"No unsupported-perturbation defect indicated","Admission integrity incomplete")))</f>
        <v/>
      </c>
    </row>
    <row r="200">
      <c r="L200" s="551" t="n"/>
      <c r="U200">
        <f>IF(OR(S200="",T200=""),"",IF(S200=T200,"No","Yes"))</f>
        <v/>
      </c>
      <c r="Y200">
        <f>IF(A200="","",IF(AND(O200="Rejected",X200="Yes"),"Potential unsupported-perturbation inflation",IF(AND(O200="Admitted",OR(M200&lt;&gt;"",N200&lt;&gt;"")),"No unsupported-perturbation defect indicated","Admission integrity incomplete")))</f>
        <v/>
      </c>
    </row>
    <row r="201">
      <c r="L201" s="551" t="n"/>
      <c r="U201">
        <f>IF(OR(S201="",T201=""),"",IF(S201=T201,"No","Yes"))</f>
        <v/>
      </c>
      <c r="Y201">
        <f>IF(A201="","",IF(AND(O201="Rejected",X201="Yes"),"Potential unsupported-perturbation inflation",IF(AND(O201="Admitted",OR(M201&lt;&gt;"",N201&lt;&gt;"")),"No unsupported-perturbation defect indicated","Admission integrity incomplete")))</f>
        <v/>
      </c>
    </row>
    <row r="202">
      <c r="L202" s="551" t="n"/>
      <c r="U202">
        <f>IF(OR(S202="",T202=""),"",IF(S202=T202,"No","Yes"))</f>
        <v/>
      </c>
      <c r="Y202">
        <f>IF(A202="","",IF(AND(O202="Rejected",X202="Yes"),"Potential unsupported-perturbation inflation",IF(AND(O202="Admitted",OR(M202&lt;&gt;"",N202&lt;&gt;"")),"No unsupported-perturbation defect indicated","Admission integrity incomplete")))</f>
        <v/>
      </c>
    </row>
    <row r="203">
      <c r="L203" s="551" t="n"/>
      <c r="U203">
        <f>IF(OR(S203="",T203=""),"",IF(S203=T203,"No","Yes"))</f>
        <v/>
      </c>
      <c r="Y203">
        <f>IF(A203="","",IF(AND(O203="Rejected",X203="Yes"),"Potential unsupported-perturbation inflation",IF(AND(O203="Admitted",OR(M203&lt;&gt;"",N203&lt;&gt;"")),"No unsupported-perturbation defect indicated","Admission integrity incomplete")))</f>
        <v/>
      </c>
    </row>
    <row r="204">
      <c r="L204" s="551" t="n"/>
      <c r="U204">
        <f>IF(OR(S204="",T204=""),"",IF(S204=T204,"No","Yes"))</f>
        <v/>
      </c>
      <c r="Y204">
        <f>IF(A204="","",IF(AND(O204="Rejected",X204="Yes"),"Potential unsupported-perturbation inflation",IF(AND(O204="Admitted",OR(M204&lt;&gt;"",N204&lt;&gt;"")),"No unsupported-perturbation defect indicated","Admission integrity incomplete")))</f>
        <v/>
      </c>
    </row>
    <row r="205">
      <c r="L205" s="551" t="n"/>
      <c r="U205">
        <f>IF(OR(S205="",T205=""),"",IF(S205=T205,"No","Yes"))</f>
        <v/>
      </c>
      <c r="Y205">
        <f>IF(A205="","",IF(AND(O205="Rejected",X205="Yes"),"Potential unsupported-perturbation inflation",IF(AND(O205="Admitted",OR(M205&lt;&gt;"",N205&lt;&gt;"")),"No unsupported-perturbation defect indicated","Admission integrity incomplete")))</f>
        <v/>
      </c>
    </row>
    <row r="206">
      <c r="L206" s="551" t="n"/>
      <c r="U206">
        <f>IF(OR(S206="",T206=""),"",IF(S206=T206,"No","Yes"))</f>
        <v/>
      </c>
      <c r="Y206">
        <f>IF(A206="","",IF(AND(O206="Rejected",X206="Yes"),"Potential unsupported-perturbation inflation",IF(AND(O206="Admitted",OR(M206&lt;&gt;"",N206&lt;&gt;"")),"No unsupported-perturbation defect indicated","Admission integrity incomplete")))</f>
        <v/>
      </c>
    </row>
    <row r="207">
      <c r="L207" s="551" t="n"/>
      <c r="U207">
        <f>IF(OR(S207="",T207=""),"",IF(S207=T207,"No","Yes"))</f>
        <v/>
      </c>
      <c r="Y207">
        <f>IF(A207="","",IF(AND(O207="Rejected",X207="Yes"),"Potential unsupported-perturbation inflation",IF(AND(O207="Admitted",OR(M207&lt;&gt;"",N207&lt;&gt;"")),"No unsupported-perturbation defect indicated","Admission integrity incomplete")))</f>
        <v/>
      </c>
    </row>
    <row r="208">
      <c r="L208" s="551" t="n"/>
      <c r="U208">
        <f>IF(OR(S208="",T208=""),"",IF(S208=T208,"No","Yes"))</f>
        <v/>
      </c>
      <c r="Y208">
        <f>IF(A208="","",IF(AND(O208="Rejected",X208="Yes"),"Potential unsupported-perturbation inflation",IF(AND(O208="Admitted",OR(M208&lt;&gt;"",N208&lt;&gt;"")),"No unsupported-perturbation defect indicated","Admission integrity incomplete")))</f>
        <v/>
      </c>
    </row>
    <row r="209">
      <c r="L209" s="551" t="n"/>
      <c r="U209">
        <f>IF(OR(S209="",T209=""),"",IF(S209=T209,"No","Yes"))</f>
        <v/>
      </c>
      <c r="Y209">
        <f>IF(A209="","",IF(AND(O209="Rejected",X209="Yes"),"Potential unsupported-perturbation inflation",IF(AND(O209="Admitted",OR(M209&lt;&gt;"",N209&lt;&gt;"")),"No unsupported-perturbation defect indicated","Admission integrity incomplete")))</f>
        <v/>
      </c>
    </row>
    <row r="210">
      <c r="L210" s="551" t="n"/>
      <c r="U210">
        <f>IF(OR(S210="",T210=""),"",IF(S210=T210,"No","Yes"))</f>
        <v/>
      </c>
      <c r="Y210">
        <f>IF(A210="","",IF(AND(O210="Rejected",X210="Yes"),"Potential unsupported-perturbation inflation",IF(AND(O210="Admitted",OR(M210&lt;&gt;"",N210&lt;&gt;"")),"No unsupported-perturbation defect indicated","Admission integrity incomplete")))</f>
        <v/>
      </c>
    </row>
    <row r="211">
      <c r="L211" s="551" t="n"/>
      <c r="U211">
        <f>IF(OR(S211="",T211=""),"",IF(S211=T211,"No","Yes"))</f>
        <v/>
      </c>
      <c r="Y211">
        <f>IF(A211="","",IF(AND(O211="Rejected",X211="Yes"),"Potential unsupported-perturbation inflation",IF(AND(O211="Admitted",OR(M211&lt;&gt;"",N211&lt;&gt;"")),"No unsupported-perturbation defect indicated","Admission integrity incomplete")))</f>
        <v/>
      </c>
    </row>
    <row r="212">
      <c r="L212" s="551" t="n"/>
      <c r="U212">
        <f>IF(OR(S212="",T212=""),"",IF(S212=T212,"No","Yes"))</f>
        <v/>
      </c>
      <c r="Y212">
        <f>IF(A212="","",IF(AND(O212="Rejected",X212="Yes"),"Potential unsupported-perturbation inflation",IF(AND(O212="Admitted",OR(M212&lt;&gt;"",N212&lt;&gt;"")),"No unsupported-perturbation defect indicated","Admission integrity incomplete")))</f>
        <v/>
      </c>
    </row>
    <row r="213">
      <c r="L213" s="551" t="n"/>
      <c r="U213">
        <f>IF(OR(S213="",T213=""),"",IF(S213=T213,"No","Yes"))</f>
        <v/>
      </c>
      <c r="Y213">
        <f>IF(A213="","",IF(AND(O213="Rejected",X213="Yes"),"Potential unsupported-perturbation inflation",IF(AND(O213="Admitted",OR(M213&lt;&gt;"",N213&lt;&gt;"")),"No unsupported-perturbation defect indicated","Admission integrity incomplete")))</f>
        <v/>
      </c>
    </row>
    <row r="214">
      <c r="L214" s="551" t="n"/>
      <c r="U214">
        <f>IF(OR(S214="",T214=""),"",IF(S214=T214,"No","Yes"))</f>
        <v/>
      </c>
      <c r="Y214">
        <f>IF(A214="","",IF(AND(O214="Rejected",X214="Yes"),"Potential unsupported-perturbation inflation",IF(AND(O214="Admitted",OR(M214&lt;&gt;"",N214&lt;&gt;"")),"No unsupported-perturbation defect indicated","Admission integrity incomplete")))</f>
        <v/>
      </c>
    </row>
    <row r="215">
      <c r="L215" s="551" t="n"/>
      <c r="U215">
        <f>IF(OR(S215="",T215=""),"",IF(S215=T215,"No","Yes"))</f>
        <v/>
      </c>
      <c r="Y215">
        <f>IF(A215="","",IF(AND(O215="Rejected",X215="Yes"),"Potential unsupported-perturbation inflation",IF(AND(O215="Admitted",OR(M215&lt;&gt;"",N215&lt;&gt;"")),"No unsupported-perturbation defect indicated","Admission integrity incomplete")))</f>
        <v/>
      </c>
    </row>
    <row r="216">
      <c r="L216" s="551" t="n"/>
      <c r="U216">
        <f>IF(OR(S216="",T216=""),"",IF(S216=T216,"No","Yes"))</f>
        <v/>
      </c>
      <c r="Y216">
        <f>IF(A216="","",IF(AND(O216="Rejected",X216="Yes"),"Potential unsupported-perturbation inflation",IF(AND(O216="Admitted",OR(M216&lt;&gt;"",N216&lt;&gt;"")),"No unsupported-perturbation defect indicated","Admission integrity incomplete")))</f>
        <v/>
      </c>
    </row>
    <row r="217">
      <c r="L217" s="551" t="n"/>
      <c r="U217">
        <f>IF(OR(S217="",T217=""),"",IF(S217=T217,"No","Yes"))</f>
        <v/>
      </c>
      <c r="Y217">
        <f>IF(A217="","",IF(AND(O217="Rejected",X217="Yes"),"Potential unsupported-perturbation inflation",IF(AND(O217="Admitted",OR(M217&lt;&gt;"",N217&lt;&gt;"")),"No unsupported-perturbation defect indicated","Admission integrity incomplete")))</f>
        <v/>
      </c>
    </row>
    <row r="218">
      <c r="L218" s="551" t="n"/>
      <c r="U218">
        <f>IF(OR(S218="",T218=""),"",IF(S218=T218,"No","Yes"))</f>
        <v/>
      </c>
      <c r="Y218">
        <f>IF(A218="","",IF(AND(O218="Rejected",X218="Yes"),"Potential unsupported-perturbation inflation",IF(AND(O218="Admitted",OR(M218&lt;&gt;"",N218&lt;&gt;"")),"No unsupported-perturbation defect indicated","Admission integrity incomplete")))</f>
        <v/>
      </c>
    </row>
    <row r="219">
      <c r="L219" s="551" t="n"/>
      <c r="U219">
        <f>IF(OR(S219="",T219=""),"",IF(S219=T219,"No","Yes"))</f>
        <v/>
      </c>
      <c r="Y219">
        <f>IF(A219="","",IF(AND(O219="Rejected",X219="Yes"),"Potential unsupported-perturbation inflation",IF(AND(O219="Admitted",OR(M219&lt;&gt;"",N219&lt;&gt;"")),"No unsupported-perturbation defect indicated","Admission integrity incomplete")))</f>
        <v/>
      </c>
    </row>
    <row r="220">
      <c r="L220" s="551" t="n"/>
      <c r="U220">
        <f>IF(OR(S220="",T220=""),"",IF(S220=T220,"No","Yes"))</f>
        <v/>
      </c>
      <c r="Y220">
        <f>IF(A220="","",IF(AND(O220="Rejected",X220="Yes"),"Potential unsupported-perturbation inflation",IF(AND(O220="Admitted",OR(M220&lt;&gt;"",N220&lt;&gt;"")),"No unsupported-perturbation defect indicated","Admission integrity incomplete")))</f>
        <v/>
      </c>
    </row>
    <row r="221">
      <c r="L221" s="551" t="n"/>
      <c r="U221">
        <f>IF(OR(S221="",T221=""),"",IF(S221=T221,"No","Yes"))</f>
        <v/>
      </c>
      <c r="Y221">
        <f>IF(A221="","",IF(AND(O221="Rejected",X221="Yes"),"Potential unsupported-perturbation inflation",IF(AND(O221="Admitted",OR(M221&lt;&gt;"",N221&lt;&gt;"")),"No unsupported-perturbation defect indicated","Admission integrity incomplete")))</f>
        <v/>
      </c>
    </row>
    <row r="222">
      <c r="L222" s="551" t="n"/>
      <c r="U222">
        <f>IF(OR(S222="",T222=""),"",IF(S222=T222,"No","Yes"))</f>
        <v/>
      </c>
      <c r="Y222">
        <f>IF(A222="","",IF(AND(O222="Rejected",X222="Yes"),"Potential unsupported-perturbation inflation",IF(AND(O222="Admitted",OR(M222&lt;&gt;"",N222&lt;&gt;"")),"No unsupported-perturbation defect indicated","Admission integrity incomplete")))</f>
        <v/>
      </c>
    </row>
    <row r="223">
      <c r="L223" s="551" t="n"/>
      <c r="U223">
        <f>IF(OR(S223="",T223=""),"",IF(S223=T223,"No","Yes"))</f>
        <v/>
      </c>
      <c r="Y223">
        <f>IF(A223="","",IF(AND(O223="Rejected",X223="Yes"),"Potential unsupported-perturbation inflation",IF(AND(O223="Admitted",OR(M223&lt;&gt;"",N223&lt;&gt;"")),"No unsupported-perturbation defect indicated","Admission integrity incomplete")))</f>
        <v/>
      </c>
    </row>
    <row r="224">
      <c r="L224" s="551" t="n"/>
      <c r="U224">
        <f>IF(OR(S224="",T224=""),"",IF(S224=T224,"No","Yes"))</f>
        <v/>
      </c>
      <c r="Y224">
        <f>IF(A224="","",IF(AND(O224="Rejected",X224="Yes"),"Potential unsupported-perturbation inflation",IF(AND(O224="Admitted",OR(M224&lt;&gt;"",N224&lt;&gt;"")),"No unsupported-perturbation defect indicated","Admission integrity incomplete")))</f>
        <v/>
      </c>
    </row>
    <row r="225">
      <c r="L225" s="551" t="n"/>
      <c r="U225">
        <f>IF(OR(S225="",T225=""),"",IF(S225=T225,"No","Yes"))</f>
        <v/>
      </c>
      <c r="Y225">
        <f>IF(A225="","",IF(AND(O225="Rejected",X225="Yes"),"Potential unsupported-perturbation inflation",IF(AND(O225="Admitted",OR(M225&lt;&gt;"",N225&lt;&gt;"")),"No unsupported-perturbation defect indicated","Admission integrity incomplete")))</f>
        <v/>
      </c>
    </row>
    <row r="226">
      <c r="L226" s="551" t="n"/>
      <c r="U226">
        <f>IF(OR(S226="",T226=""),"",IF(S226=T226,"No","Yes"))</f>
        <v/>
      </c>
      <c r="Y226">
        <f>IF(A226="","",IF(AND(O226="Rejected",X226="Yes"),"Potential unsupported-perturbation inflation",IF(AND(O226="Admitted",OR(M226&lt;&gt;"",N226&lt;&gt;"")),"No unsupported-perturbation defect indicated","Admission integrity incomplete")))</f>
        <v/>
      </c>
    </row>
    <row r="227">
      <c r="L227" s="551" t="n"/>
      <c r="U227">
        <f>IF(OR(S227="",T227=""),"",IF(S227=T227,"No","Yes"))</f>
        <v/>
      </c>
      <c r="Y227">
        <f>IF(A227="","",IF(AND(O227="Rejected",X227="Yes"),"Potential unsupported-perturbation inflation",IF(AND(O227="Admitted",OR(M227&lt;&gt;"",N227&lt;&gt;"")),"No unsupported-perturbation defect indicated","Admission integrity incomplete")))</f>
        <v/>
      </c>
    </row>
    <row r="228">
      <c r="L228" s="551" t="n"/>
      <c r="U228">
        <f>IF(OR(S228="",T228=""),"",IF(S228=T228,"No","Yes"))</f>
        <v/>
      </c>
      <c r="Y228">
        <f>IF(A228="","",IF(AND(O228="Rejected",X228="Yes"),"Potential unsupported-perturbation inflation",IF(AND(O228="Admitted",OR(M228&lt;&gt;"",N228&lt;&gt;"")),"No unsupported-perturbation defect indicated","Admission integrity incomplete")))</f>
        <v/>
      </c>
    </row>
    <row r="229">
      <c r="L229" s="551" t="n"/>
      <c r="U229">
        <f>IF(OR(S229="",T229=""),"",IF(S229=T229,"No","Yes"))</f>
        <v/>
      </c>
      <c r="Y229">
        <f>IF(A229="","",IF(AND(O229="Rejected",X229="Yes"),"Potential unsupported-perturbation inflation",IF(AND(O229="Admitted",OR(M229&lt;&gt;"",N229&lt;&gt;"")),"No unsupported-perturbation defect indicated","Admission integrity incomplete")))</f>
        <v/>
      </c>
    </row>
    <row r="230">
      <c r="L230" s="551" t="n"/>
      <c r="U230">
        <f>IF(OR(S230="",T230=""),"",IF(S230=T230,"No","Yes"))</f>
        <v/>
      </c>
      <c r="Y230">
        <f>IF(A230="","",IF(AND(O230="Rejected",X230="Yes"),"Potential unsupported-perturbation inflation",IF(AND(O230="Admitted",OR(M230&lt;&gt;"",N230&lt;&gt;"")),"No unsupported-perturbation defect indicated","Admission integrity incomplete")))</f>
        <v/>
      </c>
    </row>
    <row r="231">
      <c r="L231" s="551" t="n"/>
      <c r="U231">
        <f>IF(OR(S231="",T231=""),"",IF(S231=T231,"No","Yes"))</f>
        <v/>
      </c>
      <c r="Y231">
        <f>IF(A231="","",IF(AND(O231="Rejected",X231="Yes"),"Potential unsupported-perturbation inflation",IF(AND(O231="Admitted",OR(M231&lt;&gt;"",N231&lt;&gt;"")),"No unsupported-perturbation defect indicated","Admission integrity incomplete")))</f>
        <v/>
      </c>
    </row>
    <row r="232">
      <c r="L232" s="551" t="n"/>
      <c r="U232">
        <f>IF(OR(S232="",T232=""),"",IF(S232=T232,"No","Yes"))</f>
        <v/>
      </c>
      <c r="Y232">
        <f>IF(A232="","",IF(AND(O232="Rejected",X232="Yes"),"Potential unsupported-perturbation inflation",IF(AND(O232="Admitted",OR(M232&lt;&gt;"",N232&lt;&gt;"")),"No unsupported-perturbation defect indicated","Admission integrity incomplete")))</f>
        <v/>
      </c>
    </row>
    <row r="233">
      <c r="L233" s="551" t="n"/>
      <c r="U233">
        <f>IF(OR(S233="",T233=""),"",IF(S233=T233,"No","Yes"))</f>
        <v/>
      </c>
      <c r="Y233">
        <f>IF(A233="","",IF(AND(O233="Rejected",X233="Yes"),"Potential unsupported-perturbation inflation",IF(AND(O233="Admitted",OR(M233&lt;&gt;"",N233&lt;&gt;"")),"No unsupported-perturbation defect indicated","Admission integrity incomplete")))</f>
        <v/>
      </c>
    </row>
    <row r="234">
      <c r="L234" s="551" t="n"/>
      <c r="U234">
        <f>IF(OR(S234="",T234=""),"",IF(S234=T234,"No","Yes"))</f>
        <v/>
      </c>
      <c r="Y234">
        <f>IF(A234="","",IF(AND(O234="Rejected",X234="Yes"),"Potential unsupported-perturbation inflation",IF(AND(O234="Admitted",OR(M234&lt;&gt;"",N234&lt;&gt;"")),"No unsupported-perturbation defect indicated","Admission integrity incomplete")))</f>
        <v/>
      </c>
    </row>
    <row r="235">
      <c r="L235" s="551" t="n"/>
      <c r="U235">
        <f>IF(OR(S235="",T235=""),"",IF(S235=T235,"No","Yes"))</f>
        <v/>
      </c>
      <c r="Y235">
        <f>IF(A235="","",IF(AND(O235="Rejected",X235="Yes"),"Potential unsupported-perturbation inflation",IF(AND(O235="Admitted",OR(M235&lt;&gt;"",N235&lt;&gt;"")),"No unsupported-perturbation defect indicated","Admission integrity incomplete")))</f>
        <v/>
      </c>
    </row>
    <row r="236">
      <c r="L236" s="551" t="n"/>
      <c r="U236">
        <f>IF(OR(S236="",T236=""),"",IF(S236=T236,"No","Yes"))</f>
        <v/>
      </c>
      <c r="Y236">
        <f>IF(A236="","",IF(AND(O236="Rejected",X236="Yes"),"Potential unsupported-perturbation inflation",IF(AND(O236="Admitted",OR(M236&lt;&gt;"",N236&lt;&gt;"")),"No unsupported-perturbation defect indicated","Admission integrity incomplete")))</f>
        <v/>
      </c>
    </row>
    <row r="237">
      <c r="L237" s="551" t="n"/>
      <c r="U237">
        <f>IF(OR(S237="",T237=""),"",IF(S237=T237,"No","Yes"))</f>
        <v/>
      </c>
      <c r="Y237">
        <f>IF(A237="","",IF(AND(O237="Rejected",X237="Yes"),"Potential unsupported-perturbation inflation",IF(AND(O237="Admitted",OR(M237&lt;&gt;"",N237&lt;&gt;"")),"No unsupported-perturbation defect indicated","Admission integrity incomplete")))</f>
        <v/>
      </c>
    </row>
    <row r="238">
      <c r="L238" s="551" t="n"/>
      <c r="U238">
        <f>IF(OR(S238="",T238=""),"",IF(S238=T238,"No","Yes"))</f>
        <v/>
      </c>
      <c r="Y238">
        <f>IF(A238="","",IF(AND(O238="Rejected",X238="Yes"),"Potential unsupported-perturbation inflation",IF(AND(O238="Admitted",OR(M238&lt;&gt;"",N238&lt;&gt;"")),"No unsupported-perturbation defect indicated","Admission integrity incomplete")))</f>
        <v/>
      </c>
    </row>
    <row r="239">
      <c r="L239" s="551" t="n"/>
      <c r="U239">
        <f>IF(OR(S239="",T239=""),"",IF(S239=T239,"No","Yes"))</f>
        <v/>
      </c>
      <c r="Y239">
        <f>IF(A239="","",IF(AND(O239="Rejected",X239="Yes"),"Potential unsupported-perturbation inflation",IF(AND(O239="Admitted",OR(M239&lt;&gt;"",N239&lt;&gt;"")),"No unsupported-perturbation defect indicated","Admission integrity incomplete")))</f>
        <v/>
      </c>
    </row>
    <row r="240">
      <c r="L240" s="551" t="n"/>
      <c r="U240">
        <f>IF(OR(S240="",T240=""),"",IF(S240=T240,"No","Yes"))</f>
        <v/>
      </c>
      <c r="Y240">
        <f>IF(A240="","",IF(AND(O240="Rejected",X240="Yes"),"Potential unsupported-perturbation inflation",IF(AND(O240="Admitted",OR(M240&lt;&gt;"",N240&lt;&gt;"")),"No unsupported-perturbation defect indicated","Admission integrity incomplete")))</f>
        <v/>
      </c>
    </row>
    <row r="241">
      <c r="L241" s="551" t="n"/>
      <c r="U241">
        <f>IF(OR(S241="",T241=""),"",IF(S241=T241,"No","Yes"))</f>
        <v/>
      </c>
      <c r="Y241">
        <f>IF(A241="","",IF(AND(O241="Rejected",X241="Yes"),"Potential unsupported-perturbation inflation",IF(AND(O241="Admitted",OR(M241&lt;&gt;"",N241&lt;&gt;"")),"No unsupported-perturbation defect indicated","Admission integrity incomplete")))</f>
        <v/>
      </c>
    </row>
    <row r="242">
      <c r="L242" s="551" t="n"/>
      <c r="U242">
        <f>IF(OR(S242="",T242=""),"",IF(S242=T242,"No","Yes"))</f>
        <v/>
      </c>
      <c r="Y242">
        <f>IF(A242="","",IF(AND(O242="Rejected",X242="Yes"),"Potential unsupported-perturbation inflation",IF(AND(O242="Admitted",OR(M242&lt;&gt;"",N242&lt;&gt;"")),"No unsupported-perturbation defect indicated","Admission integrity incomplete")))</f>
        <v/>
      </c>
    </row>
    <row r="243">
      <c r="L243" s="551" t="n"/>
      <c r="U243">
        <f>IF(OR(S243="",T243=""),"",IF(S243=T243,"No","Yes"))</f>
        <v/>
      </c>
      <c r="Y243">
        <f>IF(A243="","",IF(AND(O243="Rejected",X243="Yes"),"Potential unsupported-perturbation inflation",IF(AND(O243="Admitted",OR(M243&lt;&gt;"",N243&lt;&gt;"")),"No unsupported-perturbation defect indicated","Admission integrity incomplete")))</f>
        <v/>
      </c>
    </row>
    <row r="244">
      <c r="L244" s="551" t="n"/>
      <c r="U244">
        <f>IF(OR(S244="",T244=""),"",IF(S244=T244,"No","Yes"))</f>
        <v/>
      </c>
      <c r="Y244">
        <f>IF(A244="","",IF(AND(O244="Rejected",X244="Yes"),"Potential unsupported-perturbation inflation",IF(AND(O244="Admitted",OR(M244&lt;&gt;"",N244&lt;&gt;"")),"No unsupported-perturbation defect indicated","Admission integrity incomplete")))</f>
        <v/>
      </c>
    </row>
    <row r="245">
      <c r="L245" s="551" t="n"/>
      <c r="U245">
        <f>IF(OR(S245="",T245=""),"",IF(S245=T245,"No","Yes"))</f>
        <v/>
      </c>
      <c r="Y245">
        <f>IF(A245="","",IF(AND(O245="Rejected",X245="Yes"),"Potential unsupported-perturbation inflation",IF(AND(O245="Admitted",OR(M245&lt;&gt;"",N245&lt;&gt;"")),"No unsupported-perturbation defect indicated","Admission integrity incomplete")))</f>
        <v/>
      </c>
    </row>
    <row r="246">
      <c r="L246" s="551" t="n"/>
      <c r="U246">
        <f>IF(OR(S246="",T246=""),"",IF(S246=T246,"No","Yes"))</f>
        <v/>
      </c>
      <c r="Y246">
        <f>IF(A246="","",IF(AND(O246="Rejected",X246="Yes"),"Potential unsupported-perturbation inflation",IF(AND(O246="Admitted",OR(M246&lt;&gt;"",N246&lt;&gt;"")),"No unsupported-perturbation defect indicated","Admission integrity incomplete")))</f>
        <v/>
      </c>
    </row>
    <row r="247">
      <c r="L247" s="551" t="n"/>
      <c r="U247">
        <f>IF(OR(S247="",T247=""),"",IF(S247=T247,"No","Yes"))</f>
        <v/>
      </c>
      <c r="Y247">
        <f>IF(A247="","",IF(AND(O247="Rejected",X247="Yes"),"Potential unsupported-perturbation inflation",IF(AND(O247="Admitted",OR(M247&lt;&gt;"",N247&lt;&gt;"")),"No unsupported-perturbation defect indicated","Admission integrity incomplete")))</f>
        <v/>
      </c>
    </row>
    <row r="248">
      <c r="L248" s="551" t="n"/>
      <c r="U248">
        <f>IF(OR(S248="",T248=""),"",IF(S248=T248,"No","Yes"))</f>
        <v/>
      </c>
      <c r="Y248">
        <f>IF(A248="","",IF(AND(O248="Rejected",X248="Yes"),"Potential unsupported-perturbation inflation",IF(AND(O248="Admitted",OR(M248&lt;&gt;"",N248&lt;&gt;"")),"No unsupported-perturbation defect indicated","Admission integrity incomplete")))</f>
        <v/>
      </c>
    </row>
    <row r="249">
      <c r="L249" s="551" t="n"/>
      <c r="U249">
        <f>IF(OR(S249="",T249=""),"",IF(S249=T249,"No","Yes"))</f>
        <v/>
      </c>
      <c r="Y249">
        <f>IF(A249="","",IF(AND(O249="Rejected",X249="Yes"),"Potential unsupported-perturbation inflation",IF(AND(O249="Admitted",OR(M249&lt;&gt;"",N249&lt;&gt;"")),"No unsupported-perturbation defect indicated","Admission integrity incomplete")))</f>
        <v/>
      </c>
    </row>
    <row r="250">
      <c r="L250" s="551" t="n"/>
      <c r="U250">
        <f>IF(OR(S250="",T250=""),"",IF(S250=T250,"No","Yes"))</f>
        <v/>
      </c>
      <c r="Y250">
        <f>IF(A250="","",IF(AND(O250="Rejected",X250="Yes"),"Potential unsupported-perturbation inflation",IF(AND(O250="Admitted",OR(M250&lt;&gt;"",N250&lt;&gt;"")),"No unsupported-perturbation defect indicated","Admission integrity incomplete")))</f>
        <v/>
      </c>
    </row>
  </sheetData>
  <mergeCells count="2">
    <mergeCell ref="A2:Y2"/>
    <mergeCell ref="A1:Y1"/>
  </mergeCells>
  <dataValidations count="18">
    <dataValidation sqref="F5:F100" showDropDown="0" showInputMessage="0" showErrorMessage="1" allowBlank="0" errorTitle="Category out of range" error="Enter an ordinal category from 0 to 4." type="whole" errorStyle="stop" operator="between">
      <formula1>0</formula1>
      <formula2>4</formula2>
    </dataValidation>
    <dataValidation sqref="G5:G100" showDropDown="0" showInputMessage="0" showErrorMessage="1" allowBlank="0" errorTitle="Category out of range" error="Enter an ordinal category from 0 to 4." type="whole" errorStyle="stop" operator="between">
      <formula1>0</formula1>
      <formula2>4</formula2>
    </dataValidation>
    <dataValidation sqref="J5:J100" showDropDown="0" showInputMessage="0" showErrorMessage="1" allowBlank="0" errorTitle="Invalid relation-materiality value" error="Select an exact controlled value from the Vocabulary sheet." type="list" errorStyle="stop">
      <formula1>INDIRECT("Vocabulary!$AP$5:$AP$7")</formula1>
    </dataValidation>
    <dataValidation sqref="O5:O100" showDropDown="0" showInputMessage="0" showErrorMessage="1" allowBlank="0" errorTitle="Invalid perturbation admission status" error="Select an exact controlled value from the Vocabulary sheet." type="list" errorStyle="stop">
      <formula1>INDIRECT("Vocabulary!$AL$5:$AL$9")</formula1>
    </dataValidation>
    <dataValidation sqref="R5:R100" showDropDown="0" showInputMessage="0" showErrorMessage="1" allowBlank="0" errorTitle="Invalid reversal-capability value" error="Select an exact controlled value from the Vocabulary sheet." type="list" errorStyle="stop">
      <formula1>INDIRECT("Vocabulary!$AP$5:$AP$7")</formula1>
    </dataValidation>
    <dataValidation sqref="S5:T100" showDropDown="0" showInputMessage="0" showErrorMessage="1" allowBlank="0" errorTitle="Invalid relation value" error="Select an exact controlled value from the Vocabulary sheet." type="list" errorStyle="stop">
      <formula1>INDIRECT("Vocabulary!$AM$5:$AM$9")</formula1>
    </dataValidation>
    <dataValidation sqref="V5:V100" showDropDown="0" showInputMessage="0" showErrorMessage="1" allowBlank="0" errorTitle="Invalid appeal status" error="Select an exact controlled value from the Vocabulary sheet." type="list" errorStyle="stop">
      <formula1>INDIRECT("Vocabulary!$AN$5:$AN$8")</formula1>
    </dataValidation>
    <dataValidation sqref="W5:W100" showDropDown="0" showInputMessage="0" showErrorMessage="1" allowBlank="0" errorTitle="Invalid perturbation record status" error="Select a controlled record status." type="list" errorStyle="stop">
      <formula1>"Illustrative,Draft,Frozen,Withdrawn"</formula1>
    </dataValidation>
    <dataValidation sqref="X5:X100" showDropDown="0" showInputMessage="0" showErrorMessage="1" allowBlank="0" errorTitle="Invalid duplicate/strategic flag" error="Select an exact controlled value from the Vocabulary sheet." type="list" errorStyle="stop">
      <formula1>INDIRECT("Vocabulary!$J$5:$J$6")</formula1>
    </dataValidation>
    <dataValidation sqref="F5:F250" showDropDown="0" showInputMessage="0" showErrorMessage="1" allowBlank="0" errorTitle="Category out of range" error="Enter an ordinal category from 0 to 4." type="whole" errorStyle="stop" operator="between">
      <formula1>0</formula1>
      <formula2>4</formula2>
    </dataValidation>
    <dataValidation sqref="G5:G250" showDropDown="0" showInputMessage="0" showErrorMessage="1" allowBlank="0" errorTitle="Category out of range" error="Enter an ordinal category from 0 to 4." type="whole" errorStyle="stop" operator="between">
      <formula1>0</formula1>
      <formula2>4</formula2>
    </dataValidation>
    <dataValidation sqref="J5:J250" showDropDown="0" showInputMessage="0" showErrorMessage="1" allowBlank="0" errorTitle="Invalid relation-materiality value" error="Select an exact controlled value from the Vocabulary sheet." type="list" errorStyle="stop">
      <formula1>INDIRECT("Vocabulary!$AP$5:$AP$7")</formula1>
    </dataValidation>
    <dataValidation sqref="O5:O250" showDropDown="0" showInputMessage="0" showErrorMessage="1" allowBlank="0" errorTitle="Invalid perturbation admission status" error="Select an exact controlled value from the Vocabulary sheet." type="list" errorStyle="stop">
      <formula1>INDIRECT("Vocabulary!$AL$5:$AL$9")</formula1>
    </dataValidation>
    <dataValidation sqref="R5:R250" showDropDown="0" showInputMessage="0" showErrorMessage="1" allowBlank="0" errorTitle="Invalid reversal-capability value" error="Select an exact controlled value from the Vocabulary sheet." type="list" errorStyle="stop">
      <formula1>INDIRECT("Vocabulary!$AP$5:$AP$7")</formula1>
    </dataValidation>
    <dataValidation sqref="S5:T250" showDropDown="0" showInputMessage="0" showErrorMessage="1" allowBlank="0" errorTitle="Invalid relation value" error="Select an exact controlled value from the Vocabulary sheet." type="list" errorStyle="stop">
      <formula1>INDIRECT("Vocabulary!$AM$5:$AM$9")</formula1>
    </dataValidation>
    <dataValidation sqref="V5:V250" showDropDown="0" showInputMessage="0" showErrorMessage="1" allowBlank="0" errorTitle="Invalid appeal status" error="Select an exact controlled value from the Vocabulary sheet." type="list" errorStyle="stop">
      <formula1>INDIRECT("Vocabulary!$AN$5:$AN$8")</formula1>
    </dataValidation>
    <dataValidation sqref="W5:W250" showDropDown="0" showInputMessage="0" showErrorMessage="1" allowBlank="0" errorTitle="Invalid perturbation record status" error="Select a controlled record status." type="list" errorStyle="stop">
      <formula1>"Illustrative,Draft,Frozen,Withdrawn"</formula1>
    </dataValidation>
    <dataValidation sqref="X5:X250" showDropDown="0" showInputMessage="0" showErrorMessage="1" allowBlank="0" errorTitle="Invalid duplicate or strategic flag" error="Select an exact controlled value from the Vocabulary sheet." type="list" errorStyle="stop">
      <formula1>INDIRECT("Vocabulary!$J$5:$J$6")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cols>
    <col width="26" customWidth="1" style="215" min="1" max="1"/>
    <col width="26" customWidth="1" style="215" min="2" max="2"/>
    <col width="26" customWidth="1" style="215" min="3" max="3"/>
    <col width="26" customWidth="1" style="215" min="4" max="4"/>
    <col width="26" customWidth="1" style="215" min="5" max="5"/>
    <col width="26" customWidth="1" style="215" min="6" max="6"/>
    <col width="26" customWidth="1" style="215" min="7" max="7"/>
    <col width="26" customWidth="1" style="215" min="8" max="8"/>
    <col width="26" customWidth="1" style="215" min="9" max="9"/>
    <col width="26" customWidth="1" style="215" min="10" max="10"/>
    <col width="26" customWidth="1" style="215" min="11" max="11"/>
    <col width="26" customWidth="1" style="215" min="12" max="12"/>
    <col width="26" customWidth="1" style="215" min="13" max="13"/>
    <col width="26" customWidth="1" style="215" min="14" max="14"/>
    <col width="26" customWidth="1" style="215" min="15" max="15"/>
    <col width="26" customWidth="1" style="215" min="16" max="16"/>
    <col width="26" customWidth="1" style="215" min="17" max="17"/>
    <col width="26" customWidth="1" style="215" min="18" max="18"/>
    <col width="26" customWidth="1" style="215" min="19" max="19"/>
    <col width="26" customWidth="1" style="215" min="20" max="20"/>
    <col width="26" customWidth="1" style="215" min="21" max="21"/>
    <col width="26" customWidth="1" style="215" min="22" max="22"/>
    <col width="26" customWidth="1" style="215" min="23" max="23"/>
    <col width="26" customWidth="1" style="215" min="24" max="24"/>
    <col width="26" customWidth="1" style="215" min="25" max="25"/>
    <col width="26" customWidth="1" style="215" min="26" max="26"/>
    <col width="26" customWidth="1" style="215" min="27" max="27"/>
    <col width="26" customWidth="1" style="215" min="28" max="28"/>
    <col width="26" customWidth="1" style="215" min="29" max="29"/>
    <col width="26" customWidth="1" style="215" min="30" max="30"/>
    <col width="26" customWidth="1" style="215" min="31" max="31"/>
    <col width="26" customWidth="1" style="215" min="32" max="32"/>
    <col width="26" customWidth="1" style="215" min="33" max="33"/>
    <col width="26" customWidth="1" style="215" min="34" max="34"/>
    <col width="26" customWidth="1" style="215" min="35" max="35"/>
    <col width="26" customWidth="1" style="215" min="36" max="36"/>
    <col width="26" customWidth="1" style="215" min="37" max="37"/>
    <col width="26" customWidth="1" style="215" min="38" max="38"/>
    <col width="26" customWidth="1" style="215" min="39" max="39"/>
    <col width="26" customWidth="1" style="215" min="40" max="40"/>
    <col width="26" customWidth="1" style="215" min="41" max="41"/>
    <col width="30" customWidth="1" style="215" min="42" max="42"/>
    <col width="30" customWidth="1" style="215" min="43" max="43"/>
    <col width="28" customWidth="1" style="215" min="44" max="44"/>
    <col width="28" customWidth="1" style="215" min="45" max="45"/>
  </cols>
  <sheetData>
    <row r="1" ht="28" customHeight="1" s="215">
      <c r="A1" s="536" t="inlineStr">
        <is>
          <t>Auditable Flourishing v6.2 Controlled Vocabulary and Configuration</t>
        </is>
      </c>
      <c r="B1" s="442" t="n"/>
      <c r="C1" s="442" t="n"/>
      <c r="D1" s="442" t="n"/>
      <c r="E1" s="442" t="n"/>
      <c r="F1" s="442" t="n"/>
      <c r="G1" s="442" t="n"/>
      <c r="H1" s="442" t="n"/>
      <c r="I1" s="442" t="n"/>
      <c r="J1" s="442" t="n"/>
      <c r="K1" s="442" t="n"/>
      <c r="L1" s="442" t="n"/>
      <c r="M1" s="442" t="n"/>
      <c r="N1" s="442" t="n"/>
      <c r="O1" s="442" t="n"/>
      <c r="P1" s="442" t="n"/>
      <c r="Q1" s="442" t="n"/>
      <c r="R1" s="442" t="n"/>
      <c r="S1" s="442" t="n"/>
      <c r="T1" s="442" t="n"/>
      <c r="U1" s="442" t="n"/>
      <c r="V1" s="442" t="n"/>
      <c r="W1" s="442" t="n"/>
      <c r="X1" s="442" t="n"/>
      <c r="Y1" s="442" t="n"/>
      <c r="Z1" s="442" t="n"/>
      <c r="AA1" s="442" t="n"/>
      <c r="AB1" s="442" t="n"/>
      <c r="AC1" s="442" t="n"/>
      <c r="AD1" s="442" t="n"/>
      <c r="AE1" s="442" t="n"/>
      <c r="AF1" s="442" t="n"/>
      <c r="AG1" s="442" t="n"/>
      <c r="AH1" s="442" t="n"/>
      <c r="AI1" s="442" t="n"/>
      <c r="AJ1" s="442" t="n"/>
      <c r="AK1" s="442" t="n"/>
      <c r="AL1" s="442" t="n"/>
      <c r="AM1" s="442" t="n"/>
      <c r="AN1" s="442" t="n"/>
      <c r="AO1" s="442" t="n"/>
      <c r="AP1" s="442" t="n"/>
      <c r="AQ1" s="442" t="n"/>
      <c r="AR1" s="442" t="n"/>
      <c r="AS1" s="442" t="n"/>
    </row>
    <row r="2">
      <c r="A2" s="555" t="inlineStr">
        <is>
          <t>This sheet is the controlling workbook vocabulary. List validations reference these ranges. Changing a controlled value requires a versioned schema migration and release-level review.</t>
        </is>
      </c>
      <c r="B2" s="442" t="n"/>
      <c r="C2" s="442" t="n"/>
      <c r="D2" s="442" t="n"/>
      <c r="E2" s="442" t="n"/>
      <c r="F2" s="442" t="n"/>
      <c r="G2" s="442" t="n"/>
      <c r="H2" s="442" t="n"/>
      <c r="I2" s="442" t="n"/>
      <c r="J2" s="442" t="n"/>
      <c r="K2" s="442" t="n"/>
      <c r="L2" s="442" t="n"/>
      <c r="M2" s="442" t="n"/>
      <c r="N2" s="442" t="n"/>
      <c r="O2" s="442" t="n"/>
      <c r="P2" s="442" t="n"/>
      <c r="Q2" s="442" t="n"/>
      <c r="R2" s="442" t="n"/>
      <c r="S2" s="442" t="n"/>
      <c r="T2" s="442" t="n"/>
      <c r="U2" s="442" t="n"/>
      <c r="V2" s="442" t="n"/>
      <c r="W2" s="442" t="n"/>
      <c r="X2" s="442" t="n"/>
      <c r="Y2" s="442" t="n"/>
      <c r="Z2" s="442" t="n"/>
      <c r="AA2" s="442" t="n"/>
      <c r="AB2" s="442" t="n"/>
      <c r="AC2" s="442" t="n"/>
      <c r="AD2" s="442" t="n"/>
      <c r="AE2" s="442" t="n"/>
      <c r="AF2" s="442" t="n"/>
      <c r="AG2" s="442" t="n"/>
      <c r="AH2" s="442" t="n"/>
      <c r="AI2" s="442" t="n"/>
      <c r="AJ2" s="442" t="n"/>
      <c r="AK2" s="442" t="n"/>
      <c r="AL2" s="442" t="n"/>
      <c r="AM2" s="442" t="n"/>
      <c r="AN2" s="442" t="n"/>
      <c r="AO2" s="442" t="n"/>
      <c r="AP2" s="442" t="n"/>
      <c r="AQ2" s="442" t="n"/>
      <c r="AR2" s="442" t="n"/>
      <c r="AS2" s="442" t="n"/>
    </row>
    <row r="3"/>
    <row r="4" ht="34" customHeight="1" s="215">
      <c r="A4" s="422" t="inlineStr">
        <is>
          <t>Configuration_Key</t>
        </is>
      </c>
      <c r="B4" s="422" t="inlineStr">
        <is>
          <t>Configuration_Value</t>
        </is>
      </c>
      <c r="C4" s="422" t="inlineStr">
        <is>
          <t>Stakes</t>
        </is>
      </c>
      <c r="D4" s="422" t="inlineStr">
        <is>
          <t>Rights_Impact</t>
        </is>
      </c>
      <c r="E4" s="422" t="inlineStr">
        <is>
          <t>Irreversibility</t>
        </is>
      </c>
      <c r="F4" s="422" t="inlineStr">
        <is>
          <t>Population_Scale</t>
        </is>
      </c>
      <c r="G4" s="422" t="inlineStr">
        <is>
          <t>Novelty</t>
        </is>
      </c>
      <c r="H4" s="422" t="inlineStr">
        <is>
          <t>Contestation</t>
        </is>
      </c>
      <c r="I4" s="422" t="inlineStr">
        <is>
          <t>Capacity</t>
        </is>
      </c>
      <c r="J4" s="422" t="inlineStr">
        <is>
          <t>Yes_No</t>
        </is>
      </c>
      <c r="K4" s="422" t="inlineStr">
        <is>
          <t>AF_Profile</t>
        </is>
      </c>
      <c r="L4" s="422" t="inlineStr">
        <is>
          <t>Candidate_Record_Status</t>
        </is>
      </c>
      <c r="M4" s="422" t="inlineStr">
        <is>
          <t>Stage_A_Criterion_State</t>
        </is>
      </c>
      <c r="N4" s="422" t="inlineStr">
        <is>
          <t>Stage_A_Public_Status</t>
        </is>
      </c>
      <c r="O4" s="422" t="inlineStr">
        <is>
          <t>Administrative_Disposition</t>
        </is>
      </c>
      <c r="P4" s="422" t="inlineStr">
        <is>
          <t>Burden_Feasibility</t>
        </is>
      </c>
      <c r="Q4" s="422" t="inlineStr">
        <is>
          <t>Verdict_Component</t>
        </is>
      </c>
      <c r="R4" s="422" t="inlineStr">
        <is>
          <t>Verdict_Status</t>
        </is>
      </c>
      <c r="S4" s="422" t="inlineStr">
        <is>
          <t>Data_Control</t>
        </is>
      </c>
      <c r="T4" s="422" t="inlineStr">
        <is>
          <t>Publication_Control</t>
        </is>
      </c>
      <c r="U4" s="422" t="inlineStr">
        <is>
          <t>Reviewer_Selection_Control</t>
        </is>
      </c>
      <c r="V4" s="422" t="inlineStr">
        <is>
          <t>Independence_Status</t>
        </is>
      </c>
      <c r="W4" s="422" t="inlineStr">
        <is>
          <t>Host_Interest</t>
        </is>
      </c>
      <c r="X4" s="422" t="inlineStr">
        <is>
          <t>Host_Precommitment</t>
        </is>
      </c>
      <c r="Y4" s="422" t="inlineStr">
        <is>
          <t>AI_Assistance_Policy</t>
        </is>
      </c>
      <c r="Z4" s="422" t="inlineStr">
        <is>
          <t>Scenario_Set_Status</t>
        </is>
      </c>
      <c r="AA4" s="422" t="inlineStr">
        <is>
          <t>Shared_Model_Rating_Status</t>
        </is>
      </c>
      <c r="AB4" s="422" t="inlineStr">
        <is>
          <t>Protected_Reporting_Channel</t>
        </is>
      </c>
      <c r="AC4" s="422" t="inlineStr">
        <is>
          <t>Confidentiality_Protection</t>
        </is>
      </c>
      <c r="AD4" s="422" t="inlineStr">
        <is>
          <t>Anti_Retaliation_Safeguard</t>
        </is>
      </c>
      <c r="AE4" s="422" t="inlineStr">
        <is>
          <t>Decision_Value_Comparator</t>
        </is>
      </c>
      <c r="AF4" s="422" t="inlineStr">
        <is>
          <t>Net_Value_Assessment</t>
        </is>
      </c>
      <c r="AG4" s="422" t="inlineStr">
        <is>
          <t>Continuation_Decision</t>
        </is>
      </c>
      <c r="AH4" s="422" t="inlineStr">
        <is>
          <t>Decision_Layer</t>
        </is>
      </c>
      <c r="AI4" s="422" t="inlineStr">
        <is>
          <t>Confidence</t>
        </is>
      </c>
      <c r="AJ4" s="422" t="inlineStr">
        <is>
          <t>Deposit_Status</t>
        </is>
      </c>
      <c r="AK4" s="422" t="inlineStr">
        <is>
          <t>Calibration_Status</t>
        </is>
      </c>
      <c r="AL4" s="422" t="inlineStr">
        <is>
          <t>Perturbation_Admission_Status</t>
        </is>
      </c>
      <c r="AM4" s="422" t="inlineStr">
        <is>
          <t>Relation</t>
        </is>
      </c>
      <c r="AN4" s="422" t="inlineStr">
        <is>
          <t>Appeal_Status</t>
        </is>
      </c>
      <c r="AO4" s="422" t="inlineStr">
        <is>
          <t>Study_Readiness_Status</t>
        </is>
      </c>
      <c r="AP4" s="425" t="inlineStr">
        <is>
          <t>Yes_No_Indeterminate</t>
        </is>
      </c>
      <c r="AQ4" s="426" t="inlineStr">
        <is>
          <t>AI_Assistance_Record</t>
        </is>
      </c>
      <c r="AR4" s="425" t="inlineStr">
        <is>
          <t>Reliability_Coefficient</t>
        </is>
      </c>
      <c r="AS4" s="426" t="inlineStr">
        <is>
          <t>Reliability_Weighting</t>
        </is>
      </c>
    </row>
    <row r="5">
      <c r="A5" s="423" t="inlineStr">
        <is>
          <t>Protocol_Version</t>
        </is>
      </c>
      <c r="B5" s="423" t="inlineStr">
        <is>
          <t>AF v6.2</t>
        </is>
      </c>
      <c r="C5" s="423" t="inlineStr">
        <is>
          <t>Low</t>
        </is>
      </c>
      <c r="D5" s="423" t="inlineStr">
        <is>
          <t>None identified</t>
        </is>
      </c>
      <c r="E5" s="423" t="inlineStr">
        <is>
          <t>Reversible</t>
        </is>
      </c>
      <c r="F5" s="423" t="inlineStr">
        <is>
          <t>Local/small</t>
        </is>
      </c>
      <c r="G5" s="423" t="inlineStr">
        <is>
          <t>Routine</t>
        </is>
      </c>
      <c r="H5" s="423" t="inlineStr">
        <is>
          <t>Low</t>
        </is>
      </c>
      <c r="I5" s="423" t="inlineStr">
        <is>
          <t>Adequate</t>
        </is>
      </c>
      <c r="J5" s="423" t="inlineStr">
        <is>
          <t>Yes</t>
        </is>
      </c>
      <c r="K5" s="423" t="inlineStr">
        <is>
          <t>Undetermined - incomplete routing</t>
        </is>
      </c>
      <c r="L5" s="423" t="inlineStr">
        <is>
          <t>Illustrative</t>
        </is>
      </c>
      <c r="M5" s="423" t="inlineStr">
        <is>
          <t>Adequate for scope</t>
        </is>
      </c>
      <c r="N5" s="423" t="inlineStr">
        <is>
          <t>Stage-A admissible - scoped</t>
        </is>
      </c>
      <c r="O5" s="423" t="inlineStr">
        <is>
          <t>None</t>
        </is>
      </c>
      <c r="P5" s="423" t="inlineStr">
        <is>
          <t>Feasible</t>
        </is>
      </c>
      <c r="Q5" s="423" t="inlineStr">
        <is>
          <t>AF eligibility</t>
        </is>
      </c>
      <c r="R5" s="423" t="inlineStr">
        <is>
          <t>Not assessed</t>
        </is>
      </c>
      <c r="S5" s="423" t="inlineStr">
        <is>
          <t>Independent host</t>
        </is>
      </c>
      <c r="T5" s="423" t="inlineStr">
        <is>
          <t>Independent unconditional</t>
        </is>
      </c>
      <c r="U5" s="423" t="inlineStr">
        <is>
          <t>Independent host</t>
        </is>
      </c>
      <c r="V5" s="423" t="inlineStr">
        <is>
          <t>Adequate</t>
        </is>
      </c>
      <c r="W5" s="423" t="inlineStr">
        <is>
          <t>Outcome-neutral; no preferred candidate outcome</t>
        </is>
      </c>
      <c r="X5" s="423" t="inlineStr">
        <is>
          <t>Preregistered and unconditional publication</t>
        </is>
      </c>
      <c r="Y5" s="423" t="inlineStr">
        <is>
          <t>No rating assistance</t>
        </is>
      </c>
      <c r="Z5" s="423" t="inlineStr">
        <is>
          <t>Present and frozen</t>
        </is>
      </c>
      <c r="AA5" s="423" t="inlineStr">
        <is>
          <t>No shared-model rating generation</t>
        </is>
      </c>
      <c r="AB5" s="423" t="inlineStr">
        <is>
          <t>Protected reporting channel available</t>
        </is>
      </c>
      <c r="AC5" s="423" t="inlineStr">
        <is>
          <t>Anonymous or confidential reporting available</t>
        </is>
      </c>
      <c r="AD5" s="423" t="inlineStr">
        <is>
          <t>Anti-retaliation safeguard documented</t>
        </is>
      </c>
      <c r="AE5" s="423" t="inlineStr">
        <is>
          <t>AF v6.2</t>
        </is>
      </c>
      <c r="AF5" s="423" t="inlineStr">
        <is>
          <t>Positive</t>
        </is>
      </c>
      <c r="AG5" s="423" t="inlineStr">
        <is>
          <t>Retain</t>
        </is>
      </c>
      <c r="AH5" s="423" t="inlineStr">
        <is>
          <t>Stage A criterion</t>
        </is>
      </c>
      <c r="AI5" s="423" t="inlineStr">
        <is>
          <t>High</t>
        </is>
      </c>
      <c r="AJ5" s="423" t="inlineStr">
        <is>
          <t>Illustrative</t>
        </is>
      </c>
      <c r="AK5" s="423" t="inlineStr">
        <is>
          <t>Uncalibrated</t>
        </is>
      </c>
      <c r="AL5" s="423" t="inlineStr">
        <is>
          <t>Proposed</t>
        </is>
      </c>
      <c r="AM5" s="423" t="inlineStr">
        <is>
          <t>A dominates B</t>
        </is>
      </c>
      <c r="AN5" s="423" t="inlineStr">
        <is>
          <t>Not appealed</t>
        </is>
      </c>
      <c r="AO5" s="423" t="inlineStr">
        <is>
          <t>Ready</t>
        </is>
      </c>
      <c r="AP5" s="427" t="inlineStr">
        <is>
          <t>Yes</t>
        </is>
      </c>
      <c r="AQ5" s="428" t="inlineStr">
        <is>
          <t>None</t>
        </is>
      </c>
      <c r="AR5" s="427" t="inlineStr">
        <is>
          <t>Gwet AC1</t>
        </is>
      </c>
      <c r="AS5" s="428" t="inlineStr">
        <is>
          <t>Unweighted</t>
        </is>
      </c>
    </row>
    <row r="6">
      <c r="A6" s="423" t="inlineStr">
        <is>
          <t>Constitutional_Legitimacy_Basis</t>
        </is>
      </c>
      <c r="B6" s="423" t="inlineStr">
        <is>
          <t>CL1 self-assessment; CL2 design materials only</t>
        </is>
      </c>
      <c r="C6" s="423" t="inlineStr">
        <is>
          <t>Moderate</t>
        </is>
      </c>
      <c r="D6" s="423" t="inlineStr">
        <is>
          <t>Limited reversible</t>
        </is>
      </c>
      <c r="E6" s="423" t="inlineStr">
        <is>
          <t>Partly reversible</t>
        </is>
      </c>
      <c r="F6" s="423" t="inlineStr">
        <is>
          <t>Organizational</t>
        </is>
      </c>
      <c r="G6" s="423" t="inlineStr">
        <is>
          <t>Adapted</t>
        </is>
      </c>
      <c r="H6" s="423" t="inlineStr">
        <is>
          <t>Moderate</t>
        </is>
      </c>
      <c r="I6" s="423" t="inlineStr">
        <is>
          <t>Constrained</t>
        </is>
      </c>
      <c r="J6" s="423" t="inlineStr">
        <is>
          <t>No</t>
        </is>
      </c>
      <c r="K6" s="423" t="inlineStr">
        <is>
          <t>Undetermined - unrecognized routing value</t>
        </is>
      </c>
      <c r="L6" s="423" t="inlineStr">
        <is>
          <t>Draft</t>
        </is>
      </c>
      <c r="M6" s="423" t="inlineStr">
        <is>
          <t>Adequate - control-dependent</t>
        </is>
      </c>
      <c r="N6" s="423" t="inlineStr">
        <is>
          <t>Stage-A admissible - scoped, control-dependent</t>
        </is>
      </c>
      <c r="O6" s="423" t="inlineStr">
        <is>
          <t>Out of scope</t>
        </is>
      </c>
      <c r="P6" s="423" t="inlineStr">
        <is>
          <t>Feasible with verified support</t>
        </is>
      </c>
      <c r="Q6" s="423" t="inlineStr">
        <is>
          <t>Legal conformity</t>
        </is>
      </c>
      <c r="R6" s="423" t="inlineStr">
        <is>
          <t>Indeterminate</t>
        </is>
      </c>
      <c r="S6" s="423" t="inlineStr">
        <is>
          <t>Joint with firewall</t>
        </is>
      </c>
      <c r="T6" s="423" t="inlineStr">
        <is>
          <t>Independent with security redaction only</t>
        </is>
      </c>
      <c r="U6" s="423" t="inlineStr">
        <is>
          <t>Joint with public rules</t>
        </is>
      </c>
      <c r="V6" s="423" t="inlineStr">
        <is>
          <t>Adequate with declared controls</t>
        </is>
      </c>
      <c r="W6" s="423" t="inlineStr">
        <is>
          <t>Declared interest with enforceable firewall</t>
        </is>
      </c>
      <c r="X6" s="423" t="inlineStr">
        <is>
          <t>Conditional precommitment with disclosed limits</t>
        </is>
      </c>
      <c r="Y6" s="423" t="inlineStr">
        <is>
          <t>Retrieval/formatting only</t>
        </is>
      </c>
      <c r="Z6" s="423" t="inlineStr">
        <is>
          <t>Missing</t>
        </is>
      </c>
      <c r="AA6" s="423" t="inlineStr">
        <is>
          <t>Retrieval/formatting only</t>
        </is>
      </c>
      <c r="AB6" s="423" t="inlineStr">
        <is>
          <t>No protected reporting channel</t>
        </is>
      </c>
      <c r="AC6" s="423" t="inlineStr">
        <is>
          <t>Not applicable with recorded rationale</t>
        </is>
      </c>
      <c r="AD6" s="423" t="inlineStr">
        <is>
          <t>No anti-retaliation safeguard</t>
        </is>
      </c>
      <c r="AE6" s="423" t="inlineStr">
        <is>
          <t>Structured checklist</t>
        </is>
      </c>
      <c r="AF6" s="423" t="inlineStr">
        <is>
          <t>Neutral</t>
        </is>
      </c>
      <c r="AG6" s="423" t="inlineStr">
        <is>
          <t>Revise</t>
        </is>
      </c>
      <c r="AH6" s="423" t="inlineStr">
        <is>
          <t>Stage A final</t>
        </is>
      </c>
      <c r="AI6" s="423" t="inlineStr">
        <is>
          <t>Moderate</t>
        </is>
      </c>
      <c r="AJ6" s="423" t="inlineStr">
        <is>
          <t>Accepted</t>
        </is>
      </c>
      <c r="AK6" s="423" t="inlineStr">
        <is>
          <t>Synthetic calibration only</t>
        </is>
      </c>
      <c r="AL6" s="423" t="inlineStr">
        <is>
          <t>Admitted</t>
        </is>
      </c>
      <c r="AM6" s="423" t="inlineStr">
        <is>
          <t>B dominates A</t>
        </is>
      </c>
      <c r="AN6" s="423" t="inlineStr">
        <is>
          <t>Appealed - pending</t>
        </is>
      </c>
      <c r="AO6" s="423" t="inlineStr">
        <is>
          <t>Not ready</t>
        </is>
      </c>
      <c r="AP6" s="427" t="inlineStr">
        <is>
          <t>No</t>
        </is>
      </c>
      <c r="AQ6" s="428" t="inlineStr">
        <is>
          <t>Retrieval/formatting only</t>
        </is>
      </c>
      <c r="AR6" s="427" t="inlineStr">
        <is>
          <t>Gwet AC2</t>
        </is>
      </c>
      <c r="AS6" s="428" t="inlineStr">
        <is>
          <t>Ordinal linear</t>
        </is>
      </c>
    </row>
    <row r="7">
      <c r="A7" s="423" t="inlineStr">
        <is>
          <t>Data_Row_Capacity</t>
        </is>
      </c>
      <c r="B7" s="423" t="inlineStr">
        <is>
          <t>250</t>
        </is>
      </c>
      <c r="C7" s="423" t="inlineStr">
        <is>
          <t>High</t>
        </is>
      </c>
      <c r="D7" s="423" t="inlineStr">
        <is>
          <t>Material</t>
        </is>
      </c>
      <c r="E7" s="423" t="inlineStr">
        <is>
          <t>Difficult to reverse</t>
        </is>
      </c>
      <c r="F7" s="423" t="inlineStr">
        <is>
          <t>Regional/sectoral</t>
        </is>
      </c>
      <c r="G7" s="423" t="inlineStr">
        <is>
          <t>Novel</t>
        </is>
      </c>
      <c r="H7" s="423" t="inlineStr">
        <is>
          <t>High</t>
        </is>
      </c>
      <c r="I7" s="423" t="inlineStr">
        <is>
          <t>Unknown</t>
        </is>
      </c>
      <c r="J7" s="423" t="n"/>
      <c r="K7" s="423" t="inlineStr">
        <is>
          <t>AF-Lite</t>
        </is>
      </c>
      <c r="L7" s="423" t="inlineStr">
        <is>
          <t>Frozen</t>
        </is>
      </c>
      <c r="M7" s="423" t="inlineStr">
        <is>
          <t>Indeterminate</t>
        </is>
      </c>
      <c r="N7" s="423" t="inlineStr">
        <is>
          <t>Stage-A non-admissible - patchable</t>
        </is>
      </c>
      <c r="O7" s="423" t="inlineStr">
        <is>
          <t>Withdrawn</t>
        </is>
      </c>
      <c r="P7" s="423" t="inlineStr">
        <is>
          <t>Not feasible</t>
        </is>
      </c>
      <c r="Q7" s="423" t="inlineStr">
        <is>
          <t>Moral adequacy</t>
        </is>
      </c>
      <c r="R7" s="423" t="inlineStr">
        <is>
          <t>Consultation incomplete</t>
        </is>
      </c>
      <c r="S7" s="423" t="inlineStr">
        <is>
          <t>Sponsor controlled - invalid</t>
        </is>
      </c>
      <c r="T7" s="423" t="inlineStr">
        <is>
          <t>Sponsor veto - invalid</t>
        </is>
      </c>
      <c r="U7" s="423" t="inlineStr">
        <is>
          <t>Sponsor/candidate controlled - invalid</t>
        </is>
      </c>
      <c r="V7" s="423" t="inlineStr">
        <is>
          <t>Inadequate</t>
        </is>
      </c>
      <c r="W7" s="423" t="inlineStr">
        <is>
          <t>Predetermined outcome - invalid</t>
        </is>
      </c>
      <c r="X7" s="423" t="inlineStr">
        <is>
          <t>No credible precommitment</t>
        </is>
      </c>
      <c r="Y7" s="423" t="inlineStr">
        <is>
          <t>Material assistance disclosed and separated</t>
        </is>
      </c>
      <c r="Z7" s="423" t="inlineStr">
        <is>
          <t>Changed after unblinding</t>
        </is>
      </c>
      <c r="AA7" s="423" t="inlineStr">
        <is>
          <t>Material shared-model generation disclosed</t>
        </is>
      </c>
      <c r="AB7" s="423" t="inlineStr">
        <is>
          <t>Indeterminate</t>
        </is>
      </c>
      <c r="AC7" s="423" t="inlineStr">
        <is>
          <t>No anonymity/confidentiality protection</t>
        </is>
      </c>
      <c r="AD7" s="423" t="inlineStr">
        <is>
          <t>Indeterminate</t>
        </is>
      </c>
      <c r="AE7" s="423" t="inlineStr">
        <is>
          <t>Domain standard of care</t>
        </is>
      </c>
      <c r="AF7" s="423" t="inlineStr">
        <is>
          <t>Negative</t>
        </is>
      </c>
      <c r="AG7" s="423" t="inlineStr">
        <is>
          <t>Restrict</t>
        </is>
      </c>
      <c r="AH7" s="423" t="inlineStr">
        <is>
          <t>Stage B dimension</t>
        </is>
      </c>
      <c r="AI7" s="423" t="inlineStr">
        <is>
          <t>Low</t>
        </is>
      </c>
      <c r="AJ7" s="423" t="inlineStr">
        <is>
          <t>Rejected</t>
        </is>
      </c>
      <c r="AK7" s="423" t="inlineStr">
        <is>
          <t>Pilot calibrated</t>
        </is>
      </c>
      <c r="AL7" s="423" t="inlineStr">
        <is>
          <t>Rejected</t>
        </is>
      </c>
      <c r="AM7" s="423" t="inlineStr">
        <is>
          <t>Crossing</t>
        </is>
      </c>
      <c r="AN7" s="423" t="inlineStr">
        <is>
          <t>Appeal sustained</t>
        </is>
      </c>
      <c r="AO7" s="423" t="inlineStr">
        <is>
          <t>Indeterminate</t>
        </is>
      </c>
      <c r="AP7" s="427" t="inlineStr">
        <is>
          <t>Indeterminate</t>
        </is>
      </c>
      <c r="AQ7" s="428" t="inlineStr">
        <is>
          <t>Material assistance disclosed and separated</t>
        </is>
      </c>
      <c r="AR7" s="427" t="inlineStr">
        <is>
          <t>Krippendorff alpha</t>
        </is>
      </c>
      <c r="AS7" s="428" t="inlineStr">
        <is>
          <t>Ordinal quadratic</t>
        </is>
      </c>
    </row>
    <row r="8">
      <c r="A8" s="423" t="n"/>
      <c r="B8" s="423" t="n"/>
      <c r="C8" s="423" t="inlineStr">
        <is>
          <t>Catastrophic/systemic</t>
        </is>
      </c>
      <c r="D8" s="423" t="inlineStr">
        <is>
          <t>Fundamental or uncertain</t>
        </is>
      </c>
      <c r="E8" s="423" t="inlineStr">
        <is>
          <t>Irreversible or unknown</t>
        </is>
      </c>
      <c r="F8" s="423" t="inlineStr">
        <is>
          <t>National/transnational/ecological</t>
        </is>
      </c>
      <c r="G8" s="423" t="inlineStr">
        <is>
          <t>Frontier or unknown</t>
        </is>
      </c>
      <c r="H8" s="423" t="inlineStr">
        <is>
          <t>Affected-party dispute or unknown</t>
        </is>
      </c>
      <c r="I8" s="423" t="n"/>
      <c r="J8" s="423" t="n"/>
      <c r="K8" s="423" t="inlineStr">
        <is>
          <t>AF-Standard</t>
        </is>
      </c>
      <c r="L8" s="423" t="inlineStr">
        <is>
          <t>Withdrawn</t>
        </is>
      </c>
      <c r="M8" s="423" t="inlineStr">
        <is>
          <t>Material defect - patchable</t>
        </is>
      </c>
      <c r="N8" s="423" t="inlineStr">
        <is>
          <t>Stage-A non-admissible - unpatchable for stated claim</t>
        </is>
      </c>
      <c r="O8" s="423" t="inlineStr">
        <is>
          <t>Not reviewed</t>
        </is>
      </c>
      <c r="P8" s="423" t="inlineStr">
        <is>
          <t>Indeterminate</t>
        </is>
      </c>
      <c r="Q8" s="423" t="inlineStr">
        <is>
          <t>Community legitimacy</t>
        </is>
      </c>
      <c r="R8" s="423" t="inlineStr">
        <is>
          <t>Not authorized</t>
        </is>
      </c>
      <c r="S8" s="423" t="inlineStr">
        <is>
          <t>Indeterminate</t>
        </is>
      </c>
      <c r="T8" s="423" t="inlineStr">
        <is>
          <t>Indeterminate</t>
        </is>
      </c>
      <c r="U8" s="423" t="inlineStr">
        <is>
          <t>Indeterminate</t>
        </is>
      </c>
      <c r="V8" s="423" t="inlineStr">
        <is>
          <t>Indeterminate</t>
        </is>
      </c>
      <c r="W8" s="423" t="inlineStr">
        <is>
          <t>Indeterminate</t>
        </is>
      </c>
      <c r="X8" s="423" t="inlineStr">
        <is>
          <t>Indeterminate</t>
        </is>
      </c>
      <c r="Y8" s="423" t="inlineStr">
        <is>
          <t>Material assistance undisclosed</t>
        </is>
      </c>
      <c r="Z8" s="423" t="inlineStr">
        <is>
          <t>Indeterminate</t>
        </is>
      </c>
      <c r="AA8" s="423" t="inlineStr">
        <is>
          <t>Material shared-model generation undisclosed</t>
        </is>
      </c>
      <c r="AB8" s="423" t="n"/>
      <c r="AC8" s="423" t="inlineStr">
        <is>
          <t>Indeterminate</t>
        </is>
      </c>
      <c r="AD8" s="423" t="n"/>
      <c r="AE8" s="423" t="inlineStr">
        <is>
          <t>Minimal documentation control</t>
        </is>
      </c>
      <c r="AF8" s="423" t="inlineStr">
        <is>
          <t>Indeterminate</t>
        </is>
      </c>
      <c r="AG8" s="423" t="inlineStr">
        <is>
          <t>Pause</t>
        </is>
      </c>
      <c r="AH8" s="423" t="inlineStr">
        <is>
          <t>Stage B final</t>
        </is>
      </c>
      <c r="AI8" s="423" t="inlineStr">
        <is>
          <t>Unresolved</t>
        </is>
      </c>
      <c r="AJ8" s="423" t="inlineStr">
        <is>
          <t>Superseded</t>
        </is>
      </c>
      <c r="AK8" s="423" t="inlineStr">
        <is>
          <t>Externally replicated</t>
        </is>
      </c>
      <c r="AL8" s="423" t="inlineStr">
        <is>
          <t>Withdrawn</t>
        </is>
      </c>
      <c r="AM8" s="423" t="inlineStr">
        <is>
          <t>Tie</t>
        </is>
      </c>
      <c r="AN8" s="423" t="inlineStr">
        <is>
          <t>Appeal rejected</t>
        </is>
      </c>
      <c r="AO8" s="423" t="n"/>
      <c r="AP8" s="427" t="n"/>
      <c r="AQ8" s="428" t="inlineStr">
        <is>
          <t>Material assistance generated draft rating - excluded from human reliability</t>
        </is>
      </c>
      <c r="AR8" s="427" t="inlineStr">
        <is>
          <t>Weighted kappa</t>
        </is>
      </c>
      <c r="AS8" s="428" t="inlineStr">
        <is>
          <t>Other preregistered</t>
        </is>
      </c>
    </row>
    <row r="9">
      <c r="A9" s="423" t="n"/>
      <c r="B9" s="423" t="n"/>
      <c r="C9" s="423" t="n"/>
      <c r="D9" s="423" t="n"/>
      <c r="E9" s="423" t="n"/>
      <c r="F9" s="423" t="n"/>
      <c r="G9" s="423" t="n"/>
      <c r="H9" s="423" t="n"/>
      <c r="I9" s="423" t="n"/>
      <c r="J9" s="423" t="n"/>
      <c r="K9" s="423" t="inlineStr">
        <is>
          <t>AF-High-Consequence</t>
        </is>
      </c>
      <c r="L9" s="423" t="inlineStr">
        <is>
          <t>Retired</t>
        </is>
      </c>
      <c r="M9" s="423" t="inlineStr">
        <is>
          <t>Material defect - unpatchable for stated claim</t>
        </is>
      </c>
      <c r="N9" s="423" t="inlineStr">
        <is>
          <t>Indeterminate - insufficient evidence</t>
        </is>
      </c>
      <c r="O9" s="423" t="n"/>
      <c r="P9" s="423" t="n"/>
      <c r="Q9" s="423" t="inlineStr">
        <is>
          <t>Deployment authorization</t>
        </is>
      </c>
      <c r="R9" s="423" t="inlineStr">
        <is>
          <t>Authorized by named competent authority</t>
        </is>
      </c>
      <c r="S9" s="423" t="n"/>
      <c r="T9" s="423" t="n"/>
      <c r="U9" s="423" t="n"/>
      <c r="V9" s="423" t="n"/>
      <c r="W9" s="423" t="n"/>
      <c r="X9" s="423" t="n"/>
      <c r="Y9" s="423" t="inlineStr">
        <is>
          <t>Indeterminate</t>
        </is>
      </c>
      <c r="Z9" s="423" t="n"/>
      <c r="AA9" s="423" t="inlineStr">
        <is>
          <t>Indeterminate</t>
        </is>
      </c>
      <c r="AB9" s="423" t="n"/>
      <c r="AC9" s="423" t="n"/>
      <c r="AD9" s="423" t="n"/>
      <c r="AE9" s="423" t="inlineStr">
        <is>
          <t>Audit-theatre decoy</t>
        </is>
      </c>
      <c r="AF9" s="423" t="n"/>
      <c r="AG9" s="423" t="inlineStr">
        <is>
          <t>Retire</t>
        </is>
      </c>
      <c r="AH9" s="423" t="inlineStr">
        <is>
          <t>Global impression probe</t>
        </is>
      </c>
      <c r="AI9" s="423" t="n"/>
      <c r="AJ9" s="423" t="inlineStr">
        <is>
          <t>Withdrawn</t>
        </is>
      </c>
      <c r="AK9" s="423" t="inlineStr">
        <is>
          <t>Retired</t>
        </is>
      </c>
      <c r="AL9" s="423" t="inlineStr">
        <is>
          <t>Superseded</t>
        </is>
      </c>
      <c r="AM9" s="423" t="inlineStr">
        <is>
          <t>Unresolved</t>
        </is>
      </c>
      <c r="AN9" s="423" t="n"/>
      <c r="AO9" s="423" t="n"/>
      <c r="AP9" s="427" t="n"/>
      <c r="AQ9" s="428" t="inlineStr">
        <is>
          <t>Indeterminate</t>
        </is>
      </c>
      <c r="AR9" s="427" t="inlineStr">
        <is>
          <t>Raw agreement</t>
        </is>
      </c>
      <c r="AS9" s="428" t="n"/>
    </row>
    <row r="10">
      <c r="A10" s="423" t="n"/>
      <c r="B10" s="423" t="n"/>
      <c r="C10" s="423" t="n"/>
      <c r="D10" s="423" t="n"/>
      <c r="E10" s="423" t="n"/>
      <c r="F10" s="423" t="n"/>
      <c r="G10" s="423" t="n"/>
      <c r="H10" s="423" t="n"/>
      <c r="I10" s="423" t="n"/>
      <c r="J10" s="423" t="n"/>
      <c r="K10" s="423" t="n"/>
      <c r="L10" s="423" t="n"/>
      <c r="M10" s="423" t="inlineStr">
        <is>
          <t>Not reviewed</t>
        </is>
      </c>
      <c r="N10" s="423" t="inlineStr">
        <is>
          <t>Protocol refusal to evaluate</t>
        </is>
      </c>
      <c r="O10" s="423" t="n"/>
      <c r="P10" s="423" t="n"/>
      <c r="Q10" s="423" t="n"/>
      <c r="R10" s="423" t="inlineStr">
        <is>
          <t>Conforms under named competent authority</t>
        </is>
      </c>
      <c r="S10" s="423" t="n"/>
      <c r="T10" s="423" t="n"/>
      <c r="U10" s="423" t="n"/>
      <c r="V10" s="423" t="n"/>
      <c r="W10" s="423" t="n"/>
      <c r="X10" s="423" t="n"/>
      <c r="Y10" s="423" t="n"/>
      <c r="Z10" s="423" t="n"/>
      <c r="AA10" s="423" t="n"/>
      <c r="AB10" s="423" t="n"/>
      <c r="AC10" s="423" t="n"/>
      <c r="AD10" s="423" t="n"/>
      <c r="AE10" s="423" t="inlineStr">
        <is>
          <t>Other preregistered</t>
        </is>
      </c>
      <c r="AF10" s="423" t="n"/>
      <c r="AG10" s="423" t="inlineStr">
        <is>
          <t>Indeterminate</t>
        </is>
      </c>
      <c r="AH10" s="423" t="n"/>
      <c r="AI10" s="423" t="n"/>
      <c r="AJ10" s="423" t="n"/>
      <c r="AK10" s="423" t="n"/>
      <c r="AL10" s="423" t="n"/>
      <c r="AM10" s="423" t="n"/>
      <c r="AN10" s="423" t="n"/>
      <c r="AO10" s="423" t="n"/>
      <c r="AP10" s="427" t="n"/>
      <c r="AQ10" s="428" t="n"/>
      <c r="AR10" s="427" t="n"/>
      <c r="AS10" s="428" t="n"/>
    </row>
    <row r="11">
      <c r="A11" s="423" t="n"/>
      <c r="B11" s="423" t="n"/>
      <c r="C11" s="423" t="n"/>
      <c r="D11" s="423" t="n"/>
      <c r="E11" s="423" t="n"/>
      <c r="F11" s="423" t="n"/>
      <c r="G11" s="423" t="n"/>
      <c r="H11" s="423" t="n"/>
      <c r="I11" s="423" t="n"/>
      <c r="J11" s="423" t="n"/>
      <c r="K11" s="423" t="n"/>
      <c r="L11" s="423" t="n"/>
      <c r="M11" s="423" t="n"/>
      <c r="N11" s="423" t="inlineStr">
        <is>
          <t>Out of scope</t>
        </is>
      </c>
      <c r="O11" s="423" t="n"/>
      <c r="P11" s="423" t="n"/>
      <c r="Q11" s="423" t="n"/>
      <c r="R11" s="423" t="inlineStr">
        <is>
          <t>Does not conform under named competent authority</t>
        </is>
      </c>
      <c r="S11" s="423" t="n"/>
      <c r="T11" s="423" t="n"/>
      <c r="U11" s="423" t="n"/>
      <c r="V11" s="423" t="n"/>
      <c r="W11" s="423" t="n"/>
      <c r="X11" s="423" t="n"/>
      <c r="Y11" s="423" t="n"/>
      <c r="Z11" s="423" t="n"/>
      <c r="AA11" s="423" t="n"/>
      <c r="AB11" s="423" t="n"/>
      <c r="AC11" s="423" t="n"/>
      <c r="AD11" s="423" t="n"/>
      <c r="AE11" s="423" t="n"/>
      <c r="AF11" s="423" t="n"/>
      <c r="AG11" s="423" t="n"/>
      <c r="AH11" s="423" t="n"/>
      <c r="AI11" s="423" t="n"/>
      <c r="AJ11" s="423" t="n"/>
      <c r="AK11" s="423" t="n"/>
      <c r="AL11" s="423" t="n"/>
      <c r="AM11" s="423" t="n"/>
      <c r="AN11" s="423" t="n"/>
      <c r="AO11" s="423" t="n"/>
      <c r="AP11" s="427" t="n"/>
      <c r="AQ11" s="428" t="n"/>
      <c r="AR11" s="427" t="n"/>
      <c r="AS11" s="428" t="n"/>
    </row>
    <row r="12">
      <c r="A12" s="424" t="n"/>
      <c r="B12" s="424" t="n"/>
      <c r="C12" s="424" t="n"/>
      <c r="D12" s="424" t="n"/>
      <c r="E12" s="424" t="n"/>
      <c r="F12" s="424" t="n"/>
      <c r="G12" s="424" t="n"/>
      <c r="H12" s="424" t="n"/>
      <c r="I12" s="424" t="n"/>
      <c r="J12" s="424" t="n"/>
      <c r="K12" s="424" t="n"/>
      <c r="L12" s="424" t="n"/>
      <c r="M12" s="424" t="n"/>
      <c r="N12" s="423" t="inlineStr">
        <is>
          <t>Withdrawn</t>
        </is>
      </c>
      <c r="O12" s="424" t="n"/>
      <c r="P12" s="424" t="n"/>
      <c r="Q12" s="424" t="n"/>
      <c r="R12" s="423" t="inlineStr">
        <is>
          <t>Stage-A admissible - scoped</t>
        </is>
      </c>
      <c r="S12" s="424" t="n"/>
      <c r="T12" s="424" t="n"/>
      <c r="U12" s="424" t="n"/>
      <c r="V12" s="424" t="n"/>
      <c r="W12" s="424" t="n"/>
      <c r="X12" s="424" t="n"/>
      <c r="Y12" s="424" t="n"/>
      <c r="Z12" s="424" t="n"/>
      <c r="AA12" s="424" t="n"/>
      <c r="AB12" s="424" t="n"/>
      <c r="AC12" s="424" t="n"/>
      <c r="AD12" s="424" t="n"/>
      <c r="AE12" s="424" t="n"/>
      <c r="AF12" s="424" t="n"/>
      <c r="AG12" s="424" t="n"/>
      <c r="AH12" s="424" t="n"/>
      <c r="AI12" s="424" t="n"/>
      <c r="AJ12" s="424" t="n"/>
      <c r="AK12" s="424" t="n"/>
      <c r="AL12" s="424" t="n"/>
      <c r="AM12" s="424" t="n"/>
      <c r="AN12" s="424" t="n"/>
      <c r="AO12" s="424" t="n"/>
      <c r="AP12" s="429" t="n"/>
      <c r="AQ12" s="430" t="n"/>
      <c r="AR12" s="429" t="n"/>
      <c r="AS12" s="430" t="n"/>
    </row>
    <row r="13">
      <c r="N13" s="424" t="inlineStr">
        <is>
          <t>Not reviewed</t>
        </is>
      </c>
      <c r="R13" s="423" t="inlineStr">
        <is>
          <t>Stage-A admissible - scoped, control-dependent</t>
        </is>
      </c>
    </row>
    <row r="14">
      <c r="R14" s="423" t="inlineStr">
        <is>
          <t>Stage-A non-admissible - patchable</t>
        </is>
      </c>
    </row>
    <row r="15">
      <c r="R15" s="424" t="inlineStr">
        <is>
          <t>Stage-A non-admissible - unpatchable for stated claim</t>
        </is>
      </c>
    </row>
  </sheetData>
  <mergeCells count="2">
    <mergeCell ref="A2:AS2"/>
    <mergeCell ref="A1:A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215" min="1" max="1"/>
    <col width="28" customWidth="1" style="215" min="2" max="2"/>
    <col width="24" customWidth="1" style="215" min="3" max="3"/>
    <col width="24" customWidth="1" style="215" min="4" max="4"/>
    <col width="24" customWidth="1" style="215" min="5" max="5"/>
    <col width="20" customWidth="1" style="215" min="6" max="6"/>
    <col width="26" customWidth="1" style="215" min="7" max="7"/>
    <col width="22" customWidth="1" style="215" min="8" max="8"/>
  </cols>
  <sheetData>
    <row r="1" ht="28" customHeight="1" s="215">
      <c r="A1" s="556" t="inlineStr">
        <is>
          <t>Auditable Flourishing v6.2 — Three-Axis Control Registry</t>
        </is>
      </c>
      <c r="B1" s="442" t="n"/>
      <c r="C1" s="442" t="n"/>
      <c r="D1" s="442" t="n"/>
      <c r="E1" s="442" t="n"/>
      <c r="F1" s="442" t="n"/>
      <c r="G1" s="442" t="n"/>
      <c r="H1" s="442" t="n"/>
    </row>
    <row r="2" ht="42" customHeight="1" s="215">
      <c r="A2" s="557" t="inlineStr">
        <is>
          <t>Record decision status, evidence state, and review state separately. Known material defects are non-erasable without a cited, reviewable correction.</t>
        </is>
      </c>
      <c r="B2" s="442" t="n"/>
      <c r="C2" s="442" t="n"/>
      <c r="D2" s="442" t="n"/>
      <c r="E2" s="442" t="n"/>
      <c r="F2" s="442" t="n"/>
      <c r="G2" s="442" t="n"/>
      <c r="H2" s="442" t="n"/>
    </row>
    <row r="4">
      <c r="A4" s="558" t="inlineStr">
        <is>
          <t>Case_ID</t>
        </is>
      </c>
      <c r="B4" s="558" t="inlineStr">
        <is>
          <t>Decision_Status</t>
        </is>
      </c>
      <c r="C4" s="558" t="inlineStr">
        <is>
          <t>Evidence_State</t>
        </is>
      </c>
      <c r="D4" s="558" t="inlineStr">
        <is>
          <t>Review_State</t>
        </is>
      </c>
      <c r="E4" s="558" t="inlineStr">
        <is>
          <t>Known_Defect_Flag</t>
        </is>
      </c>
      <c r="F4" s="558" t="inlineStr">
        <is>
          <t>Perturbation_ID</t>
        </is>
      </c>
      <c r="G4" s="558" t="inlineStr">
        <is>
          <t>Dissent_Disposition</t>
        </is>
      </c>
      <c r="H4" s="558" t="inlineStr">
        <is>
          <t>Appeal_Status</t>
        </is>
      </c>
    </row>
    <row r="5">
      <c r="A5" s="559" t="n"/>
      <c r="B5" s="559" t="n"/>
      <c r="C5" s="559" t="n"/>
      <c r="D5" s="559" t="n"/>
      <c r="E5" s="559" t="n"/>
      <c r="F5" s="559" t="n"/>
      <c r="G5" s="559" t="n"/>
      <c r="H5" s="559" t="n"/>
    </row>
    <row r="6">
      <c r="A6" s="559" t="n"/>
      <c r="B6" s="559" t="n"/>
      <c r="C6" s="559" t="n"/>
      <c r="D6" s="559" t="n"/>
      <c r="E6" s="559" t="n"/>
      <c r="F6" s="559" t="n"/>
      <c r="G6" s="559" t="n"/>
      <c r="H6" s="559" t="n"/>
    </row>
    <row r="7">
      <c r="A7" s="559" t="n"/>
      <c r="B7" s="559" t="n"/>
      <c r="C7" s="559" t="n"/>
      <c r="D7" s="559" t="n"/>
      <c r="E7" s="559" t="n"/>
      <c r="F7" s="559" t="n"/>
      <c r="G7" s="559" t="n"/>
      <c r="H7" s="559" t="n"/>
    </row>
    <row r="8">
      <c r="A8" s="559" t="n"/>
      <c r="B8" s="559" t="n"/>
      <c r="C8" s="559" t="n"/>
      <c r="D8" s="559" t="n"/>
      <c r="E8" s="559" t="n"/>
      <c r="F8" s="559" t="n"/>
      <c r="G8" s="559" t="n"/>
      <c r="H8" s="559" t="n"/>
    </row>
    <row r="9">
      <c r="A9" s="559" t="n"/>
      <c r="B9" s="559" t="n"/>
      <c r="C9" s="559" t="n"/>
      <c r="D9" s="559" t="n"/>
      <c r="E9" s="559" t="n"/>
      <c r="F9" s="559" t="n"/>
      <c r="G9" s="559" t="n"/>
      <c r="H9" s="559" t="n"/>
    </row>
    <row r="10">
      <c r="A10" s="559" t="n"/>
      <c r="B10" s="559" t="n"/>
      <c r="C10" s="559" t="n"/>
      <c r="D10" s="559" t="n"/>
      <c r="E10" s="559" t="n"/>
      <c r="F10" s="559" t="n"/>
      <c r="G10" s="559" t="n"/>
      <c r="H10" s="559" t="n"/>
    </row>
    <row r="11">
      <c r="A11" s="559" t="n"/>
      <c r="B11" s="559" t="n"/>
      <c r="C11" s="559" t="n"/>
      <c r="D11" s="559" t="n"/>
      <c r="E11" s="559" t="n"/>
      <c r="F11" s="559" t="n"/>
      <c r="G11" s="559" t="n"/>
      <c r="H11" s="559" t="n"/>
    </row>
    <row r="12">
      <c r="A12" s="559" t="n"/>
      <c r="B12" s="559" t="n"/>
      <c r="C12" s="559" t="n"/>
      <c r="D12" s="559" t="n"/>
      <c r="E12" s="559" t="n"/>
      <c r="F12" s="559" t="n"/>
      <c r="G12" s="559" t="n"/>
      <c r="H12" s="559" t="n"/>
    </row>
    <row r="13">
      <c r="A13" s="559" t="n"/>
      <c r="B13" s="559" t="n"/>
      <c r="C13" s="559" t="n"/>
      <c r="D13" s="559" t="n"/>
      <c r="E13" s="559" t="n"/>
      <c r="F13" s="559" t="n"/>
      <c r="G13" s="559" t="n"/>
      <c r="H13" s="559" t="n"/>
    </row>
    <row r="14">
      <c r="A14" s="559" t="n"/>
      <c r="B14" s="559" t="n"/>
      <c r="C14" s="559" t="n"/>
      <c r="D14" s="559" t="n"/>
      <c r="E14" s="559" t="n"/>
      <c r="F14" s="559" t="n"/>
      <c r="G14" s="559" t="n"/>
      <c r="H14" s="559" t="n"/>
    </row>
    <row r="15">
      <c r="A15" s="559" t="n"/>
      <c r="B15" s="559" t="n"/>
      <c r="C15" s="559" t="n"/>
      <c r="D15" s="559" t="n"/>
      <c r="E15" s="559" t="n"/>
      <c r="F15" s="559" t="n"/>
      <c r="G15" s="559" t="n"/>
      <c r="H15" s="559" t="n"/>
    </row>
    <row r="16">
      <c r="A16" s="559" t="n"/>
      <c r="B16" s="559" t="n"/>
      <c r="C16" s="559" t="n"/>
      <c r="D16" s="559" t="n"/>
      <c r="E16" s="559" t="n"/>
      <c r="F16" s="559" t="n"/>
      <c r="G16" s="559" t="n"/>
      <c r="H16" s="559" t="n"/>
    </row>
    <row r="17">
      <c r="A17" s="559" t="n"/>
      <c r="B17" s="559" t="n"/>
      <c r="C17" s="559" t="n"/>
      <c r="D17" s="559" t="n"/>
      <c r="E17" s="559" t="n"/>
      <c r="F17" s="559" t="n"/>
      <c r="G17" s="559" t="n"/>
      <c r="H17" s="559" t="n"/>
    </row>
    <row r="18">
      <c r="A18" s="559" t="n"/>
      <c r="B18" s="559" t="n"/>
      <c r="C18" s="559" t="n"/>
      <c r="D18" s="559" t="n"/>
      <c r="E18" s="559" t="n"/>
      <c r="F18" s="559" t="n"/>
      <c r="G18" s="559" t="n"/>
      <c r="H18" s="559" t="n"/>
    </row>
    <row r="19">
      <c r="A19" s="559" t="n"/>
      <c r="B19" s="559" t="n"/>
      <c r="C19" s="559" t="n"/>
      <c r="D19" s="559" t="n"/>
      <c r="E19" s="559" t="n"/>
      <c r="F19" s="559" t="n"/>
      <c r="G19" s="559" t="n"/>
      <c r="H19" s="559" t="n"/>
    </row>
    <row r="20">
      <c r="A20" s="559" t="n"/>
      <c r="B20" s="559" t="n"/>
      <c r="C20" s="559" t="n"/>
      <c r="D20" s="559" t="n"/>
      <c r="E20" s="559" t="n"/>
      <c r="F20" s="559" t="n"/>
      <c r="G20" s="559" t="n"/>
      <c r="H20" s="559" t="n"/>
    </row>
    <row r="21">
      <c r="A21" s="559" t="n"/>
      <c r="B21" s="559" t="n"/>
      <c r="C21" s="559" t="n"/>
      <c r="D21" s="559" t="n"/>
      <c r="E21" s="559" t="n"/>
      <c r="F21" s="559" t="n"/>
      <c r="G21" s="559" t="n"/>
      <c r="H21" s="559" t="n"/>
    </row>
    <row r="22">
      <c r="A22" s="559" t="n"/>
      <c r="B22" s="559" t="n"/>
      <c r="C22" s="559" t="n"/>
      <c r="D22" s="559" t="n"/>
      <c r="E22" s="559" t="n"/>
      <c r="F22" s="559" t="n"/>
      <c r="G22" s="559" t="n"/>
      <c r="H22" s="559" t="n"/>
    </row>
    <row r="23">
      <c r="A23" s="559" t="n"/>
      <c r="B23" s="559" t="n"/>
      <c r="C23" s="559" t="n"/>
      <c r="D23" s="559" t="n"/>
      <c r="E23" s="559" t="n"/>
      <c r="F23" s="559" t="n"/>
      <c r="G23" s="559" t="n"/>
      <c r="H23" s="559" t="n"/>
    </row>
    <row r="24">
      <c r="A24" s="559" t="n"/>
      <c r="B24" s="559" t="n"/>
      <c r="C24" s="559" t="n"/>
      <c r="D24" s="559" t="n"/>
      <c r="E24" s="559" t="n"/>
      <c r="F24" s="559" t="n"/>
      <c r="G24" s="559" t="n"/>
      <c r="H24" s="559" t="n"/>
    </row>
    <row r="25">
      <c r="A25" s="559" t="n"/>
      <c r="B25" s="559" t="n"/>
      <c r="C25" s="559" t="n"/>
      <c r="D25" s="559" t="n"/>
      <c r="E25" s="559" t="n"/>
      <c r="F25" s="559" t="n"/>
      <c r="G25" s="559" t="n"/>
      <c r="H25" s="559" t="n"/>
    </row>
    <row r="26">
      <c r="A26" s="559" t="n"/>
      <c r="B26" s="559" t="n"/>
      <c r="C26" s="559" t="n"/>
      <c r="D26" s="559" t="n"/>
      <c r="E26" s="559" t="n"/>
      <c r="F26" s="559" t="n"/>
      <c r="G26" s="559" t="n"/>
      <c r="H26" s="559" t="n"/>
    </row>
    <row r="27">
      <c r="A27" s="559" t="n"/>
      <c r="B27" s="559" t="n"/>
      <c r="C27" s="559" t="n"/>
      <c r="D27" s="559" t="n"/>
      <c r="E27" s="559" t="n"/>
      <c r="F27" s="559" t="n"/>
      <c r="G27" s="559" t="n"/>
      <c r="H27" s="559" t="n"/>
    </row>
    <row r="28">
      <c r="A28" s="559" t="n"/>
      <c r="B28" s="559" t="n"/>
      <c r="C28" s="559" t="n"/>
      <c r="D28" s="559" t="n"/>
      <c r="E28" s="559" t="n"/>
      <c r="F28" s="559" t="n"/>
      <c r="G28" s="559" t="n"/>
      <c r="H28" s="559" t="n"/>
    </row>
    <row r="29">
      <c r="A29" s="559" t="n"/>
      <c r="B29" s="559" t="n"/>
      <c r="C29" s="559" t="n"/>
      <c r="D29" s="559" t="n"/>
      <c r="E29" s="559" t="n"/>
      <c r="F29" s="559" t="n"/>
      <c r="G29" s="559" t="n"/>
      <c r="H29" s="559" t="n"/>
    </row>
    <row r="30">
      <c r="A30" s="559" t="n"/>
      <c r="B30" s="559" t="n"/>
      <c r="C30" s="559" t="n"/>
      <c r="D30" s="559" t="n"/>
      <c r="E30" s="559" t="n"/>
      <c r="F30" s="559" t="n"/>
      <c r="G30" s="559" t="n"/>
      <c r="H30" s="559" t="n"/>
    </row>
    <row r="31">
      <c r="A31" s="559" t="n"/>
      <c r="B31" s="559" t="n"/>
      <c r="C31" s="559" t="n"/>
      <c r="D31" s="559" t="n"/>
      <c r="E31" s="559" t="n"/>
      <c r="F31" s="559" t="n"/>
      <c r="G31" s="559" t="n"/>
      <c r="H31" s="559" t="n"/>
    </row>
    <row r="32">
      <c r="A32" s="559" t="n"/>
      <c r="B32" s="559" t="n"/>
      <c r="C32" s="559" t="n"/>
      <c r="D32" s="559" t="n"/>
      <c r="E32" s="559" t="n"/>
      <c r="F32" s="559" t="n"/>
      <c r="G32" s="559" t="n"/>
      <c r="H32" s="559" t="n"/>
    </row>
    <row r="33">
      <c r="A33" s="559" t="n"/>
      <c r="B33" s="559" t="n"/>
      <c r="C33" s="559" t="n"/>
      <c r="D33" s="559" t="n"/>
      <c r="E33" s="559" t="n"/>
      <c r="F33" s="559" t="n"/>
      <c r="G33" s="559" t="n"/>
      <c r="H33" s="559" t="n"/>
    </row>
    <row r="34">
      <c r="A34" s="559" t="n"/>
      <c r="B34" s="559" t="n"/>
      <c r="C34" s="559" t="n"/>
      <c r="D34" s="559" t="n"/>
      <c r="E34" s="559" t="n"/>
      <c r="F34" s="559" t="n"/>
      <c r="G34" s="559" t="n"/>
      <c r="H34" s="559" t="n"/>
    </row>
    <row r="35">
      <c r="A35" s="559" t="n"/>
      <c r="B35" s="559" t="n"/>
      <c r="C35" s="559" t="n"/>
      <c r="D35" s="559" t="n"/>
      <c r="E35" s="559" t="n"/>
      <c r="F35" s="559" t="n"/>
      <c r="G35" s="559" t="n"/>
      <c r="H35" s="559" t="n"/>
    </row>
    <row r="36">
      <c r="A36" s="559" t="n"/>
      <c r="B36" s="559" t="n"/>
      <c r="C36" s="559" t="n"/>
      <c r="D36" s="559" t="n"/>
      <c r="E36" s="559" t="n"/>
      <c r="F36" s="559" t="n"/>
      <c r="G36" s="559" t="n"/>
      <c r="H36" s="559" t="n"/>
    </row>
    <row r="37">
      <c r="A37" s="559" t="n"/>
      <c r="B37" s="559" t="n"/>
      <c r="C37" s="559" t="n"/>
      <c r="D37" s="559" t="n"/>
      <c r="E37" s="559" t="n"/>
      <c r="F37" s="559" t="n"/>
      <c r="G37" s="559" t="n"/>
      <c r="H37" s="559" t="n"/>
    </row>
    <row r="38">
      <c r="A38" s="559" t="n"/>
      <c r="B38" s="559" t="n"/>
      <c r="C38" s="559" t="n"/>
      <c r="D38" s="559" t="n"/>
      <c r="E38" s="559" t="n"/>
      <c r="F38" s="559" t="n"/>
      <c r="G38" s="559" t="n"/>
      <c r="H38" s="559" t="n"/>
    </row>
    <row r="39">
      <c r="A39" s="559" t="n"/>
      <c r="B39" s="559" t="n"/>
      <c r="C39" s="559" t="n"/>
      <c r="D39" s="559" t="n"/>
      <c r="E39" s="559" t="n"/>
      <c r="F39" s="559" t="n"/>
      <c r="G39" s="559" t="n"/>
      <c r="H39" s="559" t="n"/>
    </row>
    <row r="40">
      <c r="A40" s="559" t="n"/>
      <c r="B40" s="559" t="n"/>
      <c r="C40" s="559" t="n"/>
      <c r="D40" s="559" t="n"/>
      <c r="E40" s="559" t="n"/>
      <c r="F40" s="559" t="n"/>
      <c r="G40" s="559" t="n"/>
      <c r="H40" s="559" t="n"/>
    </row>
    <row r="41">
      <c r="A41" s="559" t="n"/>
      <c r="B41" s="559" t="n"/>
      <c r="C41" s="559" t="n"/>
      <c r="D41" s="559" t="n"/>
      <c r="E41" s="559" t="n"/>
      <c r="F41" s="559" t="n"/>
      <c r="G41" s="559" t="n"/>
      <c r="H41" s="559" t="n"/>
    </row>
    <row r="42">
      <c r="A42" s="559" t="n"/>
      <c r="B42" s="559" t="n"/>
      <c r="C42" s="559" t="n"/>
      <c r="D42" s="559" t="n"/>
      <c r="E42" s="559" t="n"/>
      <c r="F42" s="559" t="n"/>
      <c r="G42" s="559" t="n"/>
      <c r="H42" s="559" t="n"/>
    </row>
    <row r="43">
      <c r="A43" s="559" t="n"/>
      <c r="B43" s="559" t="n"/>
      <c r="C43" s="559" t="n"/>
      <c r="D43" s="559" t="n"/>
      <c r="E43" s="559" t="n"/>
      <c r="F43" s="559" t="n"/>
      <c r="G43" s="559" t="n"/>
      <c r="H43" s="559" t="n"/>
    </row>
    <row r="44">
      <c r="A44" s="559" t="n"/>
      <c r="B44" s="559" t="n"/>
      <c r="C44" s="559" t="n"/>
      <c r="D44" s="559" t="n"/>
      <c r="E44" s="559" t="n"/>
      <c r="F44" s="559" t="n"/>
      <c r="G44" s="559" t="n"/>
      <c r="H44" s="559" t="n"/>
    </row>
    <row r="45">
      <c r="A45" s="559" t="n"/>
      <c r="B45" s="559" t="n"/>
      <c r="C45" s="559" t="n"/>
      <c r="D45" s="559" t="n"/>
      <c r="E45" s="559" t="n"/>
      <c r="F45" s="559" t="n"/>
      <c r="G45" s="559" t="n"/>
      <c r="H45" s="559" t="n"/>
    </row>
    <row r="46">
      <c r="A46" s="559" t="n"/>
      <c r="B46" s="559" t="n"/>
      <c r="C46" s="559" t="n"/>
      <c r="D46" s="559" t="n"/>
      <c r="E46" s="559" t="n"/>
      <c r="F46" s="559" t="n"/>
      <c r="G46" s="559" t="n"/>
      <c r="H46" s="559" t="n"/>
    </row>
    <row r="47">
      <c r="A47" s="559" t="n"/>
      <c r="B47" s="559" t="n"/>
      <c r="C47" s="559" t="n"/>
      <c r="D47" s="559" t="n"/>
      <c r="E47" s="559" t="n"/>
      <c r="F47" s="559" t="n"/>
      <c r="G47" s="559" t="n"/>
      <c r="H47" s="559" t="n"/>
    </row>
    <row r="48">
      <c r="A48" s="559" t="n"/>
      <c r="B48" s="559" t="n"/>
      <c r="C48" s="559" t="n"/>
      <c r="D48" s="559" t="n"/>
      <c r="E48" s="559" t="n"/>
      <c r="F48" s="559" t="n"/>
      <c r="G48" s="559" t="n"/>
      <c r="H48" s="559" t="n"/>
    </row>
    <row r="49">
      <c r="A49" s="559" t="n"/>
      <c r="B49" s="559" t="n"/>
      <c r="C49" s="559" t="n"/>
      <c r="D49" s="559" t="n"/>
      <c r="E49" s="559" t="n"/>
      <c r="F49" s="559" t="n"/>
      <c r="G49" s="559" t="n"/>
      <c r="H49" s="559" t="n"/>
    </row>
    <row r="50">
      <c r="A50" s="559" t="n"/>
      <c r="B50" s="559" t="n"/>
      <c r="C50" s="559" t="n"/>
      <c r="D50" s="559" t="n"/>
      <c r="E50" s="559" t="n"/>
      <c r="F50" s="559" t="n"/>
      <c r="G50" s="559" t="n"/>
      <c r="H50" s="559" t="n"/>
    </row>
    <row r="51">
      <c r="A51" s="559" t="n"/>
      <c r="B51" s="559" t="n"/>
      <c r="C51" s="559" t="n"/>
      <c r="D51" s="559" t="n"/>
      <c r="E51" s="559" t="n"/>
      <c r="F51" s="559" t="n"/>
      <c r="G51" s="559" t="n"/>
      <c r="H51" s="559" t="n"/>
    </row>
    <row r="52">
      <c r="A52" s="559" t="n"/>
      <c r="B52" s="559" t="n"/>
      <c r="C52" s="559" t="n"/>
      <c r="D52" s="559" t="n"/>
      <c r="E52" s="559" t="n"/>
      <c r="F52" s="559" t="n"/>
      <c r="G52" s="559" t="n"/>
      <c r="H52" s="559" t="n"/>
    </row>
    <row r="53">
      <c r="A53" s="559" t="n"/>
      <c r="B53" s="559" t="n"/>
      <c r="C53" s="559" t="n"/>
      <c r="D53" s="559" t="n"/>
      <c r="E53" s="559" t="n"/>
      <c r="F53" s="559" t="n"/>
      <c r="G53" s="559" t="n"/>
      <c r="H53" s="559" t="n"/>
    </row>
    <row r="54">
      <c r="A54" s="559" t="n"/>
      <c r="B54" s="559" t="n"/>
      <c r="C54" s="559" t="n"/>
      <c r="D54" s="559" t="n"/>
      <c r="E54" s="559" t="n"/>
      <c r="F54" s="559" t="n"/>
      <c r="G54" s="559" t="n"/>
      <c r="H54" s="559" t="n"/>
    </row>
    <row r="55">
      <c r="A55" s="559" t="n"/>
      <c r="B55" s="559" t="n"/>
      <c r="C55" s="559" t="n"/>
      <c r="D55" s="559" t="n"/>
      <c r="E55" s="559" t="n"/>
      <c r="F55" s="559" t="n"/>
      <c r="G55" s="559" t="n"/>
      <c r="H55" s="559" t="n"/>
    </row>
    <row r="56">
      <c r="A56" s="559" t="n"/>
      <c r="B56" s="559" t="n"/>
      <c r="C56" s="559" t="n"/>
      <c r="D56" s="559" t="n"/>
      <c r="E56" s="559" t="n"/>
      <c r="F56" s="559" t="n"/>
      <c r="G56" s="559" t="n"/>
      <c r="H56" s="559" t="n"/>
    </row>
    <row r="57">
      <c r="A57" s="559" t="n"/>
      <c r="B57" s="559" t="n"/>
      <c r="C57" s="559" t="n"/>
      <c r="D57" s="559" t="n"/>
      <c r="E57" s="559" t="n"/>
      <c r="F57" s="559" t="n"/>
      <c r="G57" s="559" t="n"/>
      <c r="H57" s="559" t="n"/>
    </row>
    <row r="58">
      <c r="A58" s="559" t="n"/>
      <c r="B58" s="559" t="n"/>
      <c r="C58" s="559" t="n"/>
      <c r="D58" s="559" t="n"/>
      <c r="E58" s="559" t="n"/>
      <c r="F58" s="559" t="n"/>
      <c r="G58" s="559" t="n"/>
      <c r="H58" s="559" t="n"/>
    </row>
    <row r="59">
      <c r="A59" s="559" t="n"/>
      <c r="B59" s="559" t="n"/>
      <c r="C59" s="559" t="n"/>
      <c r="D59" s="559" t="n"/>
      <c r="E59" s="559" t="n"/>
      <c r="F59" s="559" t="n"/>
      <c r="G59" s="559" t="n"/>
      <c r="H59" s="559" t="n"/>
    </row>
    <row r="60">
      <c r="A60" s="559" t="n"/>
      <c r="B60" s="559" t="n"/>
      <c r="C60" s="559" t="n"/>
      <c r="D60" s="559" t="n"/>
      <c r="E60" s="559" t="n"/>
      <c r="F60" s="559" t="n"/>
      <c r="G60" s="559" t="n"/>
      <c r="H60" s="559" t="n"/>
    </row>
    <row r="61">
      <c r="A61" s="559" t="n"/>
      <c r="B61" s="559" t="n"/>
      <c r="C61" s="559" t="n"/>
      <c r="D61" s="559" t="n"/>
      <c r="E61" s="559" t="n"/>
      <c r="F61" s="559" t="n"/>
      <c r="G61" s="559" t="n"/>
      <c r="H61" s="559" t="n"/>
    </row>
    <row r="62">
      <c r="A62" s="559" t="n"/>
      <c r="B62" s="559" t="n"/>
      <c r="C62" s="559" t="n"/>
      <c r="D62" s="559" t="n"/>
      <c r="E62" s="559" t="n"/>
      <c r="F62" s="559" t="n"/>
      <c r="G62" s="559" t="n"/>
      <c r="H62" s="559" t="n"/>
    </row>
    <row r="63">
      <c r="A63" s="559" t="n"/>
      <c r="B63" s="559" t="n"/>
      <c r="C63" s="559" t="n"/>
      <c r="D63" s="559" t="n"/>
      <c r="E63" s="559" t="n"/>
      <c r="F63" s="559" t="n"/>
      <c r="G63" s="559" t="n"/>
      <c r="H63" s="559" t="n"/>
    </row>
    <row r="64">
      <c r="A64" s="559" t="n"/>
      <c r="B64" s="559" t="n"/>
      <c r="C64" s="559" t="n"/>
      <c r="D64" s="559" t="n"/>
      <c r="E64" s="559" t="n"/>
      <c r="F64" s="559" t="n"/>
      <c r="G64" s="559" t="n"/>
      <c r="H64" s="559" t="n"/>
    </row>
    <row r="65">
      <c r="A65" s="559" t="n"/>
      <c r="B65" s="559" t="n"/>
      <c r="C65" s="559" t="n"/>
      <c r="D65" s="559" t="n"/>
      <c r="E65" s="559" t="n"/>
      <c r="F65" s="559" t="n"/>
      <c r="G65" s="559" t="n"/>
      <c r="H65" s="559" t="n"/>
    </row>
    <row r="66">
      <c r="A66" s="559" t="n"/>
      <c r="B66" s="559" t="n"/>
      <c r="C66" s="559" t="n"/>
      <c r="D66" s="559" t="n"/>
      <c r="E66" s="559" t="n"/>
      <c r="F66" s="559" t="n"/>
      <c r="G66" s="559" t="n"/>
      <c r="H66" s="559" t="n"/>
    </row>
    <row r="67">
      <c r="A67" s="559" t="n"/>
      <c r="B67" s="559" t="n"/>
      <c r="C67" s="559" t="n"/>
      <c r="D67" s="559" t="n"/>
      <c r="E67" s="559" t="n"/>
      <c r="F67" s="559" t="n"/>
      <c r="G67" s="559" t="n"/>
      <c r="H67" s="559" t="n"/>
    </row>
    <row r="68">
      <c r="A68" s="559" t="n"/>
      <c r="B68" s="559" t="n"/>
      <c r="C68" s="559" t="n"/>
      <c r="D68" s="559" t="n"/>
      <c r="E68" s="559" t="n"/>
      <c r="F68" s="559" t="n"/>
      <c r="G68" s="559" t="n"/>
      <c r="H68" s="559" t="n"/>
    </row>
    <row r="69">
      <c r="A69" s="559" t="n"/>
      <c r="B69" s="559" t="n"/>
      <c r="C69" s="559" t="n"/>
      <c r="D69" s="559" t="n"/>
      <c r="E69" s="559" t="n"/>
      <c r="F69" s="559" t="n"/>
      <c r="G69" s="559" t="n"/>
      <c r="H69" s="559" t="n"/>
    </row>
    <row r="70">
      <c r="A70" s="559" t="n"/>
      <c r="B70" s="559" t="n"/>
      <c r="C70" s="559" t="n"/>
      <c r="D70" s="559" t="n"/>
      <c r="E70" s="559" t="n"/>
      <c r="F70" s="559" t="n"/>
      <c r="G70" s="559" t="n"/>
      <c r="H70" s="559" t="n"/>
    </row>
    <row r="71">
      <c r="A71" s="559" t="n"/>
      <c r="B71" s="559" t="n"/>
      <c r="C71" s="559" t="n"/>
      <c r="D71" s="559" t="n"/>
      <c r="E71" s="559" t="n"/>
      <c r="F71" s="559" t="n"/>
      <c r="G71" s="559" t="n"/>
      <c r="H71" s="559" t="n"/>
    </row>
    <row r="72">
      <c r="A72" s="559" t="n"/>
      <c r="B72" s="559" t="n"/>
      <c r="C72" s="559" t="n"/>
      <c r="D72" s="559" t="n"/>
      <c r="E72" s="559" t="n"/>
      <c r="F72" s="559" t="n"/>
      <c r="G72" s="559" t="n"/>
      <c r="H72" s="559" t="n"/>
    </row>
    <row r="73">
      <c r="A73" s="559" t="n"/>
      <c r="B73" s="559" t="n"/>
      <c r="C73" s="559" t="n"/>
      <c r="D73" s="559" t="n"/>
      <c r="E73" s="559" t="n"/>
      <c r="F73" s="559" t="n"/>
      <c r="G73" s="559" t="n"/>
      <c r="H73" s="559" t="n"/>
    </row>
    <row r="74">
      <c r="A74" s="559" t="n"/>
      <c r="B74" s="559" t="n"/>
      <c r="C74" s="559" t="n"/>
      <c r="D74" s="559" t="n"/>
      <c r="E74" s="559" t="n"/>
      <c r="F74" s="559" t="n"/>
      <c r="G74" s="559" t="n"/>
      <c r="H74" s="559" t="n"/>
    </row>
    <row r="75">
      <c r="A75" s="559" t="n"/>
      <c r="B75" s="559" t="n"/>
      <c r="C75" s="559" t="n"/>
      <c r="D75" s="559" t="n"/>
      <c r="E75" s="559" t="n"/>
      <c r="F75" s="559" t="n"/>
      <c r="G75" s="559" t="n"/>
      <c r="H75" s="559" t="n"/>
    </row>
    <row r="76">
      <c r="A76" s="559" t="n"/>
      <c r="B76" s="559" t="n"/>
      <c r="C76" s="559" t="n"/>
      <c r="D76" s="559" t="n"/>
      <c r="E76" s="559" t="n"/>
      <c r="F76" s="559" t="n"/>
      <c r="G76" s="559" t="n"/>
      <c r="H76" s="559" t="n"/>
    </row>
    <row r="77">
      <c r="A77" s="559" t="n"/>
      <c r="B77" s="559" t="n"/>
      <c r="C77" s="559" t="n"/>
      <c r="D77" s="559" t="n"/>
      <c r="E77" s="559" t="n"/>
      <c r="F77" s="559" t="n"/>
      <c r="G77" s="559" t="n"/>
      <c r="H77" s="559" t="n"/>
    </row>
    <row r="78">
      <c r="A78" s="559" t="n"/>
      <c r="B78" s="559" t="n"/>
      <c r="C78" s="559" t="n"/>
      <c r="D78" s="559" t="n"/>
      <c r="E78" s="559" t="n"/>
      <c r="F78" s="559" t="n"/>
      <c r="G78" s="559" t="n"/>
      <c r="H78" s="559" t="n"/>
    </row>
    <row r="79">
      <c r="A79" s="559" t="n"/>
      <c r="B79" s="559" t="n"/>
      <c r="C79" s="559" t="n"/>
      <c r="D79" s="559" t="n"/>
      <c r="E79" s="559" t="n"/>
      <c r="F79" s="559" t="n"/>
      <c r="G79" s="559" t="n"/>
      <c r="H79" s="559" t="n"/>
    </row>
    <row r="80">
      <c r="A80" s="559" t="n"/>
      <c r="B80" s="559" t="n"/>
      <c r="C80" s="559" t="n"/>
      <c r="D80" s="559" t="n"/>
      <c r="E80" s="559" t="n"/>
      <c r="F80" s="559" t="n"/>
      <c r="G80" s="559" t="n"/>
      <c r="H80" s="559" t="n"/>
    </row>
    <row r="81">
      <c r="A81" s="559" t="n"/>
      <c r="B81" s="559" t="n"/>
      <c r="C81" s="559" t="n"/>
      <c r="D81" s="559" t="n"/>
      <c r="E81" s="559" t="n"/>
      <c r="F81" s="559" t="n"/>
      <c r="G81" s="559" t="n"/>
      <c r="H81" s="559" t="n"/>
    </row>
    <row r="82">
      <c r="A82" s="559" t="n"/>
      <c r="B82" s="559" t="n"/>
      <c r="C82" s="559" t="n"/>
      <c r="D82" s="559" t="n"/>
      <c r="E82" s="559" t="n"/>
      <c r="F82" s="559" t="n"/>
      <c r="G82" s="559" t="n"/>
      <c r="H82" s="559" t="n"/>
    </row>
    <row r="83">
      <c r="A83" s="559" t="n"/>
      <c r="B83" s="559" t="n"/>
      <c r="C83" s="559" t="n"/>
      <c r="D83" s="559" t="n"/>
      <c r="E83" s="559" t="n"/>
      <c r="F83" s="559" t="n"/>
      <c r="G83" s="559" t="n"/>
      <c r="H83" s="559" t="n"/>
    </row>
    <row r="84">
      <c r="A84" s="559" t="n"/>
      <c r="B84" s="559" t="n"/>
      <c r="C84" s="559" t="n"/>
      <c r="D84" s="559" t="n"/>
      <c r="E84" s="559" t="n"/>
      <c r="F84" s="559" t="n"/>
      <c r="G84" s="559" t="n"/>
      <c r="H84" s="559" t="n"/>
    </row>
    <row r="85">
      <c r="A85" s="559" t="n"/>
      <c r="B85" s="559" t="n"/>
      <c r="C85" s="559" t="n"/>
      <c r="D85" s="559" t="n"/>
      <c r="E85" s="559" t="n"/>
      <c r="F85" s="559" t="n"/>
      <c r="G85" s="559" t="n"/>
      <c r="H85" s="559" t="n"/>
    </row>
    <row r="86">
      <c r="A86" s="559" t="n"/>
      <c r="B86" s="559" t="n"/>
      <c r="C86" s="559" t="n"/>
      <c r="D86" s="559" t="n"/>
      <c r="E86" s="559" t="n"/>
      <c r="F86" s="559" t="n"/>
      <c r="G86" s="559" t="n"/>
      <c r="H86" s="559" t="n"/>
    </row>
    <row r="87">
      <c r="A87" s="559" t="n"/>
      <c r="B87" s="559" t="n"/>
      <c r="C87" s="559" t="n"/>
      <c r="D87" s="559" t="n"/>
      <c r="E87" s="559" t="n"/>
      <c r="F87" s="559" t="n"/>
      <c r="G87" s="559" t="n"/>
      <c r="H87" s="559" t="n"/>
    </row>
    <row r="88">
      <c r="A88" s="559" t="n"/>
      <c r="B88" s="559" t="n"/>
      <c r="C88" s="559" t="n"/>
      <c r="D88" s="559" t="n"/>
      <c r="E88" s="559" t="n"/>
      <c r="F88" s="559" t="n"/>
      <c r="G88" s="559" t="n"/>
      <c r="H88" s="559" t="n"/>
    </row>
    <row r="89">
      <c r="A89" s="559" t="n"/>
      <c r="B89" s="559" t="n"/>
      <c r="C89" s="559" t="n"/>
      <c r="D89" s="559" t="n"/>
      <c r="E89" s="559" t="n"/>
      <c r="F89" s="559" t="n"/>
      <c r="G89" s="559" t="n"/>
      <c r="H89" s="559" t="n"/>
    </row>
    <row r="90">
      <c r="A90" s="559" t="n"/>
      <c r="B90" s="559" t="n"/>
      <c r="C90" s="559" t="n"/>
      <c r="D90" s="559" t="n"/>
      <c r="E90" s="559" t="n"/>
      <c r="F90" s="559" t="n"/>
      <c r="G90" s="559" t="n"/>
      <c r="H90" s="559" t="n"/>
    </row>
    <row r="91">
      <c r="A91" s="559" t="n"/>
      <c r="B91" s="559" t="n"/>
      <c r="C91" s="559" t="n"/>
      <c r="D91" s="559" t="n"/>
      <c r="E91" s="559" t="n"/>
      <c r="F91" s="559" t="n"/>
      <c r="G91" s="559" t="n"/>
      <c r="H91" s="559" t="n"/>
    </row>
    <row r="92">
      <c r="A92" s="559" t="n"/>
      <c r="B92" s="559" t="n"/>
      <c r="C92" s="559" t="n"/>
      <c r="D92" s="559" t="n"/>
      <c r="E92" s="559" t="n"/>
      <c r="F92" s="559" t="n"/>
      <c r="G92" s="559" t="n"/>
      <c r="H92" s="559" t="n"/>
    </row>
    <row r="93">
      <c r="A93" s="559" t="n"/>
      <c r="B93" s="559" t="n"/>
      <c r="C93" s="559" t="n"/>
      <c r="D93" s="559" t="n"/>
      <c r="E93" s="559" t="n"/>
      <c r="F93" s="559" t="n"/>
      <c r="G93" s="559" t="n"/>
      <c r="H93" s="559" t="n"/>
    </row>
    <row r="94">
      <c r="A94" s="559" t="n"/>
      <c r="B94" s="559" t="n"/>
      <c r="C94" s="559" t="n"/>
      <c r="D94" s="559" t="n"/>
      <c r="E94" s="559" t="n"/>
      <c r="F94" s="559" t="n"/>
      <c r="G94" s="559" t="n"/>
      <c r="H94" s="559" t="n"/>
    </row>
    <row r="95">
      <c r="A95" s="559" t="n"/>
      <c r="B95" s="559" t="n"/>
      <c r="C95" s="559" t="n"/>
      <c r="D95" s="559" t="n"/>
      <c r="E95" s="559" t="n"/>
      <c r="F95" s="559" t="n"/>
      <c r="G95" s="559" t="n"/>
      <c r="H95" s="559" t="n"/>
    </row>
    <row r="96">
      <c r="A96" s="559" t="n"/>
      <c r="B96" s="559" t="n"/>
      <c r="C96" s="559" t="n"/>
      <c r="D96" s="559" t="n"/>
      <c r="E96" s="559" t="n"/>
      <c r="F96" s="559" t="n"/>
      <c r="G96" s="559" t="n"/>
      <c r="H96" s="559" t="n"/>
    </row>
    <row r="97">
      <c r="A97" s="559" t="n"/>
      <c r="B97" s="559" t="n"/>
      <c r="C97" s="559" t="n"/>
      <c r="D97" s="559" t="n"/>
      <c r="E97" s="559" t="n"/>
      <c r="F97" s="559" t="n"/>
      <c r="G97" s="559" t="n"/>
      <c r="H97" s="559" t="n"/>
    </row>
    <row r="98">
      <c r="A98" s="559" t="n"/>
      <c r="B98" s="559" t="n"/>
      <c r="C98" s="559" t="n"/>
      <c r="D98" s="559" t="n"/>
      <c r="E98" s="559" t="n"/>
      <c r="F98" s="559" t="n"/>
      <c r="G98" s="559" t="n"/>
      <c r="H98" s="559" t="n"/>
    </row>
    <row r="99">
      <c r="A99" s="559" t="n"/>
      <c r="B99" s="559" t="n"/>
      <c r="C99" s="559" t="n"/>
      <c r="D99" s="559" t="n"/>
      <c r="E99" s="559" t="n"/>
      <c r="F99" s="559" t="n"/>
      <c r="G99" s="559" t="n"/>
      <c r="H99" s="559" t="n"/>
    </row>
    <row r="100">
      <c r="A100" s="559" t="n"/>
      <c r="B100" s="559" t="n"/>
      <c r="C100" s="559" t="n"/>
      <c r="D100" s="559" t="n"/>
      <c r="E100" s="559" t="n"/>
      <c r="F100" s="559" t="n"/>
      <c r="G100" s="559" t="n"/>
      <c r="H100" s="559" t="n"/>
    </row>
    <row r="101">
      <c r="A101" s="559" t="n"/>
      <c r="B101" s="559" t="n"/>
      <c r="C101" s="559" t="n"/>
      <c r="D101" s="559" t="n"/>
      <c r="E101" s="559" t="n"/>
      <c r="F101" s="559" t="n"/>
      <c r="G101" s="559" t="n"/>
      <c r="H101" s="559" t="n"/>
    </row>
    <row r="102">
      <c r="A102" s="559" t="n"/>
      <c r="B102" s="559" t="n"/>
      <c r="C102" s="559" t="n"/>
      <c r="D102" s="559" t="n"/>
      <c r="E102" s="559" t="n"/>
      <c r="F102" s="559" t="n"/>
      <c r="G102" s="559" t="n"/>
      <c r="H102" s="559" t="n"/>
    </row>
    <row r="103">
      <c r="A103" s="559" t="n"/>
      <c r="B103" s="559" t="n"/>
      <c r="C103" s="559" t="n"/>
      <c r="D103" s="559" t="n"/>
      <c r="E103" s="559" t="n"/>
      <c r="F103" s="559" t="n"/>
      <c r="G103" s="559" t="n"/>
      <c r="H103" s="559" t="n"/>
    </row>
    <row r="104">
      <c r="A104" s="559" t="n"/>
      <c r="B104" s="559" t="n"/>
      <c r="C104" s="559" t="n"/>
      <c r="D104" s="559" t="n"/>
      <c r="E104" s="559" t="n"/>
      <c r="F104" s="559" t="n"/>
      <c r="G104" s="559" t="n"/>
      <c r="H104" s="559" t="n"/>
    </row>
    <row r="105">
      <c r="A105" s="559" t="n"/>
      <c r="B105" s="559" t="n"/>
      <c r="C105" s="559" t="n"/>
      <c r="D105" s="559" t="n"/>
      <c r="E105" s="559" t="n"/>
      <c r="F105" s="559" t="n"/>
      <c r="G105" s="559" t="n"/>
      <c r="H105" s="559" t="n"/>
    </row>
    <row r="106">
      <c r="A106" s="559" t="n"/>
      <c r="B106" s="559" t="n"/>
      <c r="C106" s="559" t="n"/>
      <c r="D106" s="559" t="n"/>
      <c r="E106" s="559" t="n"/>
      <c r="F106" s="559" t="n"/>
      <c r="G106" s="559" t="n"/>
      <c r="H106" s="559" t="n"/>
    </row>
    <row r="107">
      <c r="A107" s="559" t="n"/>
      <c r="B107" s="559" t="n"/>
      <c r="C107" s="559" t="n"/>
      <c r="D107" s="559" t="n"/>
      <c r="E107" s="559" t="n"/>
      <c r="F107" s="559" t="n"/>
      <c r="G107" s="559" t="n"/>
      <c r="H107" s="559" t="n"/>
    </row>
    <row r="108">
      <c r="A108" s="559" t="n"/>
      <c r="B108" s="559" t="n"/>
      <c r="C108" s="559" t="n"/>
      <c r="D108" s="559" t="n"/>
      <c r="E108" s="559" t="n"/>
      <c r="F108" s="559" t="n"/>
      <c r="G108" s="559" t="n"/>
      <c r="H108" s="559" t="n"/>
    </row>
    <row r="109">
      <c r="A109" s="559" t="n"/>
      <c r="B109" s="559" t="n"/>
      <c r="C109" s="559" t="n"/>
      <c r="D109" s="559" t="n"/>
      <c r="E109" s="559" t="n"/>
      <c r="F109" s="559" t="n"/>
      <c r="G109" s="559" t="n"/>
      <c r="H109" s="559" t="n"/>
    </row>
    <row r="110">
      <c r="A110" s="559" t="n"/>
      <c r="B110" s="559" t="n"/>
      <c r="C110" s="559" t="n"/>
      <c r="D110" s="559" t="n"/>
      <c r="E110" s="559" t="n"/>
      <c r="F110" s="559" t="n"/>
      <c r="G110" s="559" t="n"/>
      <c r="H110" s="559" t="n"/>
    </row>
    <row r="111">
      <c r="A111" s="559" t="n"/>
      <c r="B111" s="559" t="n"/>
      <c r="C111" s="559" t="n"/>
      <c r="D111" s="559" t="n"/>
      <c r="E111" s="559" t="n"/>
      <c r="F111" s="559" t="n"/>
      <c r="G111" s="559" t="n"/>
      <c r="H111" s="559" t="n"/>
    </row>
    <row r="112">
      <c r="A112" s="559" t="n"/>
      <c r="B112" s="559" t="n"/>
      <c r="C112" s="559" t="n"/>
      <c r="D112" s="559" t="n"/>
      <c r="E112" s="559" t="n"/>
      <c r="F112" s="559" t="n"/>
      <c r="G112" s="559" t="n"/>
      <c r="H112" s="559" t="n"/>
    </row>
    <row r="113">
      <c r="A113" s="559" t="n"/>
      <c r="B113" s="559" t="n"/>
      <c r="C113" s="559" t="n"/>
      <c r="D113" s="559" t="n"/>
      <c r="E113" s="559" t="n"/>
      <c r="F113" s="559" t="n"/>
      <c r="G113" s="559" t="n"/>
      <c r="H113" s="559" t="n"/>
    </row>
    <row r="114">
      <c r="A114" s="559" t="n"/>
      <c r="B114" s="559" t="n"/>
      <c r="C114" s="559" t="n"/>
      <c r="D114" s="559" t="n"/>
      <c r="E114" s="559" t="n"/>
      <c r="F114" s="559" t="n"/>
      <c r="G114" s="559" t="n"/>
      <c r="H114" s="559" t="n"/>
    </row>
    <row r="115">
      <c r="A115" s="559" t="n"/>
      <c r="B115" s="559" t="n"/>
      <c r="C115" s="559" t="n"/>
      <c r="D115" s="559" t="n"/>
      <c r="E115" s="559" t="n"/>
      <c r="F115" s="559" t="n"/>
      <c r="G115" s="559" t="n"/>
      <c r="H115" s="559" t="n"/>
    </row>
    <row r="116">
      <c r="A116" s="559" t="n"/>
      <c r="B116" s="559" t="n"/>
      <c r="C116" s="559" t="n"/>
      <c r="D116" s="559" t="n"/>
      <c r="E116" s="559" t="n"/>
      <c r="F116" s="559" t="n"/>
      <c r="G116" s="559" t="n"/>
      <c r="H116" s="559" t="n"/>
    </row>
    <row r="117">
      <c r="A117" s="559" t="n"/>
      <c r="B117" s="559" t="n"/>
      <c r="C117" s="559" t="n"/>
      <c r="D117" s="559" t="n"/>
      <c r="E117" s="559" t="n"/>
      <c r="F117" s="559" t="n"/>
      <c r="G117" s="559" t="n"/>
      <c r="H117" s="559" t="n"/>
    </row>
    <row r="118">
      <c r="A118" s="559" t="n"/>
      <c r="B118" s="559" t="n"/>
      <c r="C118" s="559" t="n"/>
      <c r="D118" s="559" t="n"/>
      <c r="E118" s="559" t="n"/>
      <c r="F118" s="559" t="n"/>
      <c r="G118" s="559" t="n"/>
      <c r="H118" s="559" t="n"/>
    </row>
    <row r="119">
      <c r="A119" s="559" t="n"/>
      <c r="B119" s="559" t="n"/>
      <c r="C119" s="559" t="n"/>
      <c r="D119" s="559" t="n"/>
      <c r="E119" s="559" t="n"/>
      <c r="F119" s="559" t="n"/>
      <c r="G119" s="559" t="n"/>
      <c r="H119" s="559" t="n"/>
    </row>
    <row r="120">
      <c r="A120" s="559" t="n"/>
      <c r="B120" s="559" t="n"/>
      <c r="C120" s="559" t="n"/>
      <c r="D120" s="559" t="n"/>
      <c r="E120" s="559" t="n"/>
      <c r="F120" s="559" t="n"/>
      <c r="G120" s="559" t="n"/>
      <c r="H120" s="559" t="n"/>
    </row>
    <row r="121">
      <c r="A121" s="559" t="n"/>
      <c r="B121" s="559" t="n"/>
      <c r="C121" s="559" t="n"/>
      <c r="D121" s="559" t="n"/>
      <c r="E121" s="559" t="n"/>
      <c r="F121" s="559" t="n"/>
      <c r="G121" s="559" t="n"/>
      <c r="H121" s="559" t="n"/>
    </row>
    <row r="122">
      <c r="A122" s="559" t="n"/>
      <c r="B122" s="559" t="n"/>
      <c r="C122" s="559" t="n"/>
      <c r="D122" s="559" t="n"/>
      <c r="E122" s="559" t="n"/>
      <c r="F122" s="559" t="n"/>
      <c r="G122" s="559" t="n"/>
      <c r="H122" s="559" t="n"/>
    </row>
    <row r="123">
      <c r="A123" s="559" t="n"/>
      <c r="B123" s="559" t="n"/>
      <c r="C123" s="559" t="n"/>
      <c r="D123" s="559" t="n"/>
      <c r="E123" s="559" t="n"/>
      <c r="F123" s="559" t="n"/>
      <c r="G123" s="559" t="n"/>
      <c r="H123" s="559" t="n"/>
    </row>
    <row r="124">
      <c r="A124" s="559" t="n"/>
      <c r="B124" s="559" t="n"/>
      <c r="C124" s="559" t="n"/>
      <c r="D124" s="559" t="n"/>
      <c r="E124" s="559" t="n"/>
      <c r="F124" s="559" t="n"/>
      <c r="G124" s="559" t="n"/>
      <c r="H124" s="559" t="n"/>
    </row>
    <row r="125">
      <c r="A125" s="559" t="n"/>
      <c r="B125" s="559" t="n"/>
      <c r="C125" s="559" t="n"/>
      <c r="D125" s="559" t="n"/>
      <c r="E125" s="559" t="n"/>
      <c r="F125" s="559" t="n"/>
      <c r="G125" s="559" t="n"/>
      <c r="H125" s="559" t="n"/>
    </row>
    <row r="126">
      <c r="A126" s="559" t="n"/>
      <c r="B126" s="559" t="n"/>
      <c r="C126" s="559" t="n"/>
      <c r="D126" s="559" t="n"/>
      <c r="E126" s="559" t="n"/>
      <c r="F126" s="559" t="n"/>
      <c r="G126" s="559" t="n"/>
      <c r="H126" s="559" t="n"/>
    </row>
    <row r="127">
      <c r="A127" s="559" t="n"/>
      <c r="B127" s="559" t="n"/>
      <c r="C127" s="559" t="n"/>
      <c r="D127" s="559" t="n"/>
      <c r="E127" s="559" t="n"/>
      <c r="F127" s="559" t="n"/>
      <c r="G127" s="559" t="n"/>
      <c r="H127" s="559" t="n"/>
    </row>
    <row r="128">
      <c r="A128" s="559" t="n"/>
      <c r="B128" s="559" t="n"/>
      <c r="C128" s="559" t="n"/>
      <c r="D128" s="559" t="n"/>
      <c r="E128" s="559" t="n"/>
      <c r="F128" s="559" t="n"/>
      <c r="G128" s="559" t="n"/>
      <c r="H128" s="559" t="n"/>
    </row>
    <row r="129">
      <c r="A129" s="559" t="n"/>
      <c r="B129" s="559" t="n"/>
      <c r="C129" s="559" t="n"/>
      <c r="D129" s="559" t="n"/>
      <c r="E129" s="559" t="n"/>
      <c r="F129" s="559" t="n"/>
      <c r="G129" s="559" t="n"/>
      <c r="H129" s="559" t="n"/>
    </row>
    <row r="130">
      <c r="A130" s="559" t="n"/>
      <c r="B130" s="559" t="n"/>
      <c r="C130" s="559" t="n"/>
      <c r="D130" s="559" t="n"/>
      <c r="E130" s="559" t="n"/>
      <c r="F130" s="559" t="n"/>
      <c r="G130" s="559" t="n"/>
      <c r="H130" s="559" t="n"/>
    </row>
    <row r="131">
      <c r="A131" s="559" t="n"/>
      <c r="B131" s="559" t="n"/>
      <c r="C131" s="559" t="n"/>
      <c r="D131" s="559" t="n"/>
      <c r="E131" s="559" t="n"/>
      <c r="F131" s="559" t="n"/>
      <c r="G131" s="559" t="n"/>
      <c r="H131" s="559" t="n"/>
    </row>
    <row r="132">
      <c r="A132" s="559" t="n"/>
      <c r="B132" s="559" t="n"/>
      <c r="C132" s="559" t="n"/>
      <c r="D132" s="559" t="n"/>
      <c r="E132" s="559" t="n"/>
      <c r="F132" s="559" t="n"/>
      <c r="G132" s="559" t="n"/>
      <c r="H132" s="559" t="n"/>
    </row>
    <row r="133">
      <c r="A133" s="559" t="n"/>
      <c r="B133" s="559" t="n"/>
      <c r="C133" s="559" t="n"/>
      <c r="D133" s="559" t="n"/>
      <c r="E133" s="559" t="n"/>
      <c r="F133" s="559" t="n"/>
      <c r="G133" s="559" t="n"/>
      <c r="H133" s="559" t="n"/>
    </row>
    <row r="134">
      <c r="A134" s="559" t="n"/>
      <c r="B134" s="559" t="n"/>
      <c r="C134" s="559" t="n"/>
      <c r="D134" s="559" t="n"/>
      <c r="E134" s="559" t="n"/>
      <c r="F134" s="559" t="n"/>
      <c r="G134" s="559" t="n"/>
      <c r="H134" s="559" t="n"/>
    </row>
    <row r="135">
      <c r="A135" s="559" t="n"/>
      <c r="B135" s="559" t="n"/>
      <c r="C135" s="559" t="n"/>
      <c r="D135" s="559" t="n"/>
      <c r="E135" s="559" t="n"/>
      <c r="F135" s="559" t="n"/>
      <c r="G135" s="559" t="n"/>
      <c r="H135" s="559" t="n"/>
    </row>
    <row r="136">
      <c r="A136" s="559" t="n"/>
      <c r="B136" s="559" t="n"/>
      <c r="C136" s="559" t="n"/>
      <c r="D136" s="559" t="n"/>
      <c r="E136" s="559" t="n"/>
      <c r="F136" s="559" t="n"/>
      <c r="G136" s="559" t="n"/>
      <c r="H136" s="559" t="n"/>
    </row>
    <row r="137">
      <c r="A137" s="559" t="n"/>
      <c r="B137" s="559" t="n"/>
      <c r="C137" s="559" t="n"/>
      <c r="D137" s="559" t="n"/>
      <c r="E137" s="559" t="n"/>
      <c r="F137" s="559" t="n"/>
      <c r="G137" s="559" t="n"/>
      <c r="H137" s="559" t="n"/>
    </row>
    <row r="138">
      <c r="A138" s="559" t="n"/>
      <c r="B138" s="559" t="n"/>
      <c r="C138" s="559" t="n"/>
      <c r="D138" s="559" t="n"/>
      <c r="E138" s="559" t="n"/>
      <c r="F138" s="559" t="n"/>
      <c r="G138" s="559" t="n"/>
      <c r="H138" s="559" t="n"/>
    </row>
    <row r="139">
      <c r="A139" s="559" t="n"/>
      <c r="B139" s="559" t="n"/>
      <c r="C139" s="559" t="n"/>
      <c r="D139" s="559" t="n"/>
      <c r="E139" s="559" t="n"/>
      <c r="F139" s="559" t="n"/>
      <c r="G139" s="559" t="n"/>
      <c r="H139" s="559" t="n"/>
    </row>
    <row r="140">
      <c r="A140" s="559" t="n"/>
      <c r="B140" s="559" t="n"/>
      <c r="C140" s="559" t="n"/>
      <c r="D140" s="559" t="n"/>
      <c r="E140" s="559" t="n"/>
      <c r="F140" s="559" t="n"/>
      <c r="G140" s="559" t="n"/>
      <c r="H140" s="559" t="n"/>
    </row>
    <row r="141">
      <c r="A141" s="559" t="n"/>
      <c r="B141" s="559" t="n"/>
      <c r="C141" s="559" t="n"/>
      <c r="D141" s="559" t="n"/>
      <c r="E141" s="559" t="n"/>
      <c r="F141" s="559" t="n"/>
      <c r="G141" s="559" t="n"/>
      <c r="H141" s="559" t="n"/>
    </row>
    <row r="142">
      <c r="A142" s="559" t="n"/>
      <c r="B142" s="559" t="n"/>
      <c r="C142" s="559" t="n"/>
      <c r="D142" s="559" t="n"/>
      <c r="E142" s="559" t="n"/>
      <c r="F142" s="559" t="n"/>
      <c r="G142" s="559" t="n"/>
      <c r="H142" s="559" t="n"/>
    </row>
    <row r="143">
      <c r="A143" s="559" t="n"/>
      <c r="B143" s="559" t="n"/>
      <c r="C143" s="559" t="n"/>
      <c r="D143" s="559" t="n"/>
      <c r="E143" s="559" t="n"/>
      <c r="F143" s="559" t="n"/>
      <c r="G143" s="559" t="n"/>
      <c r="H143" s="559" t="n"/>
    </row>
    <row r="144">
      <c r="A144" s="559" t="n"/>
      <c r="B144" s="559" t="n"/>
      <c r="C144" s="559" t="n"/>
      <c r="D144" s="559" t="n"/>
      <c r="E144" s="559" t="n"/>
      <c r="F144" s="559" t="n"/>
      <c r="G144" s="559" t="n"/>
      <c r="H144" s="559" t="n"/>
    </row>
    <row r="145">
      <c r="A145" s="559" t="n"/>
      <c r="B145" s="559" t="n"/>
      <c r="C145" s="559" t="n"/>
      <c r="D145" s="559" t="n"/>
      <c r="E145" s="559" t="n"/>
      <c r="F145" s="559" t="n"/>
      <c r="G145" s="559" t="n"/>
      <c r="H145" s="559" t="n"/>
    </row>
    <row r="146">
      <c r="A146" s="559" t="n"/>
      <c r="B146" s="559" t="n"/>
      <c r="C146" s="559" t="n"/>
      <c r="D146" s="559" t="n"/>
      <c r="E146" s="559" t="n"/>
      <c r="F146" s="559" t="n"/>
      <c r="G146" s="559" t="n"/>
      <c r="H146" s="559" t="n"/>
    </row>
    <row r="147">
      <c r="A147" s="559" t="n"/>
      <c r="B147" s="559" t="n"/>
      <c r="C147" s="559" t="n"/>
      <c r="D147" s="559" t="n"/>
      <c r="E147" s="559" t="n"/>
      <c r="F147" s="559" t="n"/>
      <c r="G147" s="559" t="n"/>
      <c r="H147" s="559" t="n"/>
    </row>
    <row r="148">
      <c r="A148" s="559" t="n"/>
      <c r="B148" s="559" t="n"/>
      <c r="C148" s="559" t="n"/>
      <c r="D148" s="559" t="n"/>
      <c r="E148" s="559" t="n"/>
      <c r="F148" s="559" t="n"/>
      <c r="G148" s="559" t="n"/>
      <c r="H148" s="559" t="n"/>
    </row>
    <row r="149">
      <c r="A149" s="559" t="n"/>
      <c r="B149" s="559" t="n"/>
      <c r="C149" s="559" t="n"/>
      <c r="D149" s="559" t="n"/>
      <c r="E149" s="559" t="n"/>
      <c r="F149" s="559" t="n"/>
      <c r="G149" s="559" t="n"/>
      <c r="H149" s="559" t="n"/>
    </row>
    <row r="150">
      <c r="A150" s="559" t="n"/>
      <c r="B150" s="559" t="n"/>
      <c r="C150" s="559" t="n"/>
      <c r="D150" s="559" t="n"/>
      <c r="E150" s="559" t="n"/>
      <c r="F150" s="559" t="n"/>
      <c r="G150" s="559" t="n"/>
      <c r="H150" s="559" t="n"/>
    </row>
    <row r="151">
      <c r="A151" s="559" t="n"/>
      <c r="B151" s="559" t="n"/>
      <c r="C151" s="559" t="n"/>
      <c r="D151" s="559" t="n"/>
      <c r="E151" s="559" t="n"/>
      <c r="F151" s="559" t="n"/>
      <c r="G151" s="559" t="n"/>
      <c r="H151" s="559" t="n"/>
    </row>
    <row r="152">
      <c r="A152" s="559" t="n"/>
      <c r="B152" s="559" t="n"/>
      <c r="C152" s="559" t="n"/>
      <c r="D152" s="559" t="n"/>
      <c r="E152" s="559" t="n"/>
      <c r="F152" s="559" t="n"/>
      <c r="G152" s="559" t="n"/>
      <c r="H152" s="559" t="n"/>
    </row>
    <row r="153">
      <c r="A153" s="559" t="n"/>
      <c r="B153" s="559" t="n"/>
      <c r="C153" s="559" t="n"/>
      <c r="D153" s="559" t="n"/>
      <c r="E153" s="559" t="n"/>
      <c r="F153" s="559" t="n"/>
      <c r="G153" s="559" t="n"/>
      <c r="H153" s="559" t="n"/>
    </row>
    <row r="154">
      <c r="A154" s="559" t="n"/>
      <c r="B154" s="559" t="n"/>
      <c r="C154" s="559" t="n"/>
      <c r="D154" s="559" t="n"/>
      <c r="E154" s="559" t="n"/>
      <c r="F154" s="559" t="n"/>
      <c r="G154" s="559" t="n"/>
      <c r="H154" s="559" t="n"/>
    </row>
    <row r="155">
      <c r="A155" s="559" t="n"/>
      <c r="B155" s="559" t="n"/>
      <c r="C155" s="559" t="n"/>
      <c r="D155" s="559" t="n"/>
      <c r="E155" s="559" t="n"/>
      <c r="F155" s="559" t="n"/>
      <c r="G155" s="559" t="n"/>
      <c r="H155" s="559" t="n"/>
    </row>
    <row r="156">
      <c r="A156" s="559" t="n"/>
      <c r="B156" s="559" t="n"/>
      <c r="C156" s="559" t="n"/>
      <c r="D156" s="559" t="n"/>
      <c r="E156" s="559" t="n"/>
      <c r="F156" s="559" t="n"/>
      <c r="G156" s="559" t="n"/>
      <c r="H156" s="559" t="n"/>
    </row>
    <row r="157">
      <c r="A157" s="559" t="n"/>
      <c r="B157" s="559" t="n"/>
      <c r="C157" s="559" t="n"/>
      <c r="D157" s="559" t="n"/>
      <c r="E157" s="559" t="n"/>
      <c r="F157" s="559" t="n"/>
      <c r="G157" s="559" t="n"/>
      <c r="H157" s="559" t="n"/>
    </row>
    <row r="158">
      <c r="A158" s="559" t="n"/>
      <c r="B158" s="559" t="n"/>
      <c r="C158" s="559" t="n"/>
      <c r="D158" s="559" t="n"/>
      <c r="E158" s="559" t="n"/>
      <c r="F158" s="559" t="n"/>
      <c r="G158" s="559" t="n"/>
      <c r="H158" s="559" t="n"/>
    </row>
    <row r="159">
      <c r="A159" s="559" t="n"/>
      <c r="B159" s="559" t="n"/>
      <c r="C159" s="559" t="n"/>
      <c r="D159" s="559" t="n"/>
      <c r="E159" s="559" t="n"/>
      <c r="F159" s="559" t="n"/>
      <c r="G159" s="559" t="n"/>
      <c r="H159" s="559" t="n"/>
    </row>
    <row r="160">
      <c r="A160" s="559" t="n"/>
      <c r="B160" s="559" t="n"/>
      <c r="C160" s="559" t="n"/>
      <c r="D160" s="559" t="n"/>
      <c r="E160" s="559" t="n"/>
      <c r="F160" s="559" t="n"/>
      <c r="G160" s="559" t="n"/>
      <c r="H160" s="559" t="n"/>
    </row>
    <row r="161">
      <c r="A161" s="559" t="n"/>
      <c r="B161" s="559" t="n"/>
      <c r="C161" s="559" t="n"/>
      <c r="D161" s="559" t="n"/>
      <c r="E161" s="559" t="n"/>
      <c r="F161" s="559" t="n"/>
      <c r="G161" s="559" t="n"/>
      <c r="H161" s="559" t="n"/>
    </row>
    <row r="162">
      <c r="A162" s="559" t="n"/>
      <c r="B162" s="559" t="n"/>
      <c r="C162" s="559" t="n"/>
      <c r="D162" s="559" t="n"/>
      <c r="E162" s="559" t="n"/>
      <c r="F162" s="559" t="n"/>
      <c r="G162" s="559" t="n"/>
      <c r="H162" s="559" t="n"/>
    </row>
    <row r="163">
      <c r="A163" s="559" t="n"/>
      <c r="B163" s="559" t="n"/>
      <c r="C163" s="559" t="n"/>
      <c r="D163" s="559" t="n"/>
      <c r="E163" s="559" t="n"/>
      <c r="F163" s="559" t="n"/>
      <c r="G163" s="559" t="n"/>
      <c r="H163" s="559" t="n"/>
    </row>
    <row r="164">
      <c r="A164" s="559" t="n"/>
      <c r="B164" s="559" t="n"/>
      <c r="C164" s="559" t="n"/>
      <c r="D164" s="559" t="n"/>
      <c r="E164" s="559" t="n"/>
      <c r="F164" s="559" t="n"/>
      <c r="G164" s="559" t="n"/>
      <c r="H164" s="559" t="n"/>
    </row>
    <row r="165">
      <c r="A165" s="559" t="n"/>
      <c r="B165" s="559" t="n"/>
      <c r="C165" s="559" t="n"/>
      <c r="D165" s="559" t="n"/>
      <c r="E165" s="559" t="n"/>
      <c r="F165" s="559" t="n"/>
      <c r="G165" s="559" t="n"/>
      <c r="H165" s="559" t="n"/>
    </row>
    <row r="166">
      <c r="A166" s="559" t="n"/>
      <c r="B166" s="559" t="n"/>
      <c r="C166" s="559" t="n"/>
      <c r="D166" s="559" t="n"/>
      <c r="E166" s="559" t="n"/>
      <c r="F166" s="559" t="n"/>
      <c r="G166" s="559" t="n"/>
      <c r="H166" s="559" t="n"/>
    </row>
    <row r="167">
      <c r="A167" s="559" t="n"/>
      <c r="B167" s="559" t="n"/>
      <c r="C167" s="559" t="n"/>
      <c r="D167" s="559" t="n"/>
      <c r="E167" s="559" t="n"/>
      <c r="F167" s="559" t="n"/>
      <c r="G167" s="559" t="n"/>
      <c r="H167" s="559" t="n"/>
    </row>
    <row r="168">
      <c r="A168" s="559" t="n"/>
      <c r="B168" s="559" t="n"/>
      <c r="C168" s="559" t="n"/>
      <c r="D168" s="559" t="n"/>
      <c r="E168" s="559" t="n"/>
      <c r="F168" s="559" t="n"/>
      <c r="G168" s="559" t="n"/>
      <c r="H168" s="559" t="n"/>
    </row>
    <row r="169">
      <c r="A169" s="559" t="n"/>
      <c r="B169" s="559" t="n"/>
      <c r="C169" s="559" t="n"/>
      <c r="D169" s="559" t="n"/>
      <c r="E169" s="559" t="n"/>
      <c r="F169" s="559" t="n"/>
      <c r="G169" s="559" t="n"/>
      <c r="H169" s="559" t="n"/>
    </row>
    <row r="170">
      <c r="A170" s="559" t="n"/>
      <c r="B170" s="559" t="n"/>
      <c r="C170" s="559" t="n"/>
      <c r="D170" s="559" t="n"/>
      <c r="E170" s="559" t="n"/>
      <c r="F170" s="559" t="n"/>
      <c r="G170" s="559" t="n"/>
      <c r="H170" s="559" t="n"/>
    </row>
    <row r="171">
      <c r="A171" s="559" t="n"/>
      <c r="B171" s="559" t="n"/>
      <c r="C171" s="559" t="n"/>
      <c r="D171" s="559" t="n"/>
      <c r="E171" s="559" t="n"/>
      <c r="F171" s="559" t="n"/>
      <c r="G171" s="559" t="n"/>
      <c r="H171" s="559" t="n"/>
    </row>
    <row r="172">
      <c r="A172" s="559" t="n"/>
      <c r="B172" s="559" t="n"/>
      <c r="C172" s="559" t="n"/>
      <c r="D172" s="559" t="n"/>
      <c r="E172" s="559" t="n"/>
      <c r="F172" s="559" t="n"/>
      <c r="G172" s="559" t="n"/>
      <c r="H172" s="559" t="n"/>
    </row>
    <row r="173">
      <c r="A173" s="559" t="n"/>
      <c r="B173" s="559" t="n"/>
      <c r="C173" s="559" t="n"/>
      <c r="D173" s="559" t="n"/>
      <c r="E173" s="559" t="n"/>
      <c r="F173" s="559" t="n"/>
      <c r="G173" s="559" t="n"/>
      <c r="H173" s="559" t="n"/>
    </row>
    <row r="174">
      <c r="A174" s="559" t="n"/>
      <c r="B174" s="559" t="n"/>
      <c r="C174" s="559" t="n"/>
      <c r="D174" s="559" t="n"/>
      <c r="E174" s="559" t="n"/>
      <c r="F174" s="559" t="n"/>
      <c r="G174" s="559" t="n"/>
      <c r="H174" s="559" t="n"/>
    </row>
    <row r="175">
      <c r="A175" s="559" t="n"/>
      <c r="B175" s="559" t="n"/>
      <c r="C175" s="559" t="n"/>
      <c r="D175" s="559" t="n"/>
      <c r="E175" s="559" t="n"/>
      <c r="F175" s="559" t="n"/>
      <c r="G175" s="559" t="n"/>
      <c r="H175" s="559" t="n"/>
    </row>
    <row r="176">
      <c r="A176" s="559" t="n"/>
      <c r="B176" s="559" t="n"/>
      <c r="C176" s="559" t="n"/>
      <c r="D176" s="559" t="n"/>
      <c r="E176" s="559" t="n"/>
      <c r="F176" s="559" t="n"/>
      <c r="G176" s="559" t="n"/>
      <c r="H176" s="559" t="n"/>
    </row>
    <row r="177">
      <c r="A177" s="559" t="n"/>
      <c r="B177" s="559" t="n"/>
      <c r="C177" s="559" t="n"/>
      <c r="D177" s="559" t="n"/>
      <c r="E177" s="559" t="n"/>
      <c r="F177" s="559" t="n"/>
      <c r="G177" s="559" t="n"/>
      <c r="H177" s="559" t="n"/>
    </row>
    <row r="178">
      <c r="A178" s="559" t="n"/>
      <c r="B178" s="559" t="n"/>
      <c r="C178" s="559" t="n"/>
      <c r="D178" s="559" t="n"/>
      <c r="E178" s="559" t="n"/>
      <c r="F178" s="559" t="n"/>
      <c r="G178" s="559" t="n"/>
      <c r="H178" s="559" t="n"/>
    </row>
    <row r="179">
      <c r="A179" s="559" t="n"/>
      <c r="B179" s="559" t="n"/>
      <c r="C179" s="559" t="n"/>
      <c r="D179" s="559" t="n"/>
      <c r="E179" s="559" t="n"/>
      <c r="F179" s="559" t="n"/>
      <c r="G179" s="559" t="n"/>
      <c r="H179" s="559" t="n"/>
    </row>
    <row r="180">
      <c r="A180" s="559" t="n"/>
      <c r="B180" s="559" t="n"/>
      <c r="C180" s="559" t="n"/>
      <c r="D180" s="559" t="n"/>
      <c r="E180" s="559" t="n"/>
      <c r="F180" s="559" t="n"/>
      <c r="G180" s="559" t="n"/>
      <c r="H180" s="559" t="n"/>
    </row>
    <row r="181">
      <c r="A181" s="559" t="n"/>
      <c r="B181" s="559" t="n"/>
      <c r="C181" s="559" t="n"/>
      <c r="D181" s="559" t="n"/>
      <c r="E181" s="559" t="n"/>
      <c r="F181" s="559" t="n"/>
      <c r="G181" s="559" t="n"/>
      <c r="H181" s="559" t="n"/>
    </row>
    <row r="182">
      <c r="A182" s="559" t="n"/>
      <c r="B182" s="559" t="n"/>
      <c r="C182" s="559" t="n"/>
      <c r="D182" s="559" t="n"/>
      <c r="E182" s="559" t="n"/>
      <c r="F182" s="559" t="n"/>
      <c r="G182" s="559" t="n"/>
      <c r="H182" s="559" t="n"/>
    </row>
    <row r="183">
      <c r="A183" s="559" t="n"/>
      <c r="B183" s="559" t="n"/>
      <c r="C183" s="559" t="n"/>
      <c r="D183" s="559" t="n"/>
      <c r="E183" s="559" t="n"/>
      <c r="F183" s="559" t="n"/>
      <c r="G183" s="559" t="n"/>
      <c r="H183" s="559" t="n"/>
    </row>
    <row r="184">
      <c r="A184" s="559" t="n"/>
      <c r="B184" s="559" t="n"/>
      <c r="C184" s="559" t="n"/>
      <c r="D184" s="559" t="n"/>
      <c r="E184" s="559" t="n"/>
      <c r="F184" s="559" t="n"/>
      <c r="G184" s="559" t="n"/>
      <c r="H184" s="559" t="n"/>
    </row>
    <row r="185">
      <c r="A185" s="559" t="n"/>
      <c r="B185" s="559" t="n"/>
      <c r="C185" s="559" t="n"/>
      <c r="D185" s="559" t="n"/>
      <c r="E185" s="559" t="n"/>
      <c r="F185" s="559" t="n"/>
      <c r="G185" s="559" t="n"/>
      <c r="H185" s="559" t="n"/>
    </row>
    <row r="186">
      <c r="A186" s="559" t="n"/>
      <c r="B186" s="559" t="n"/>
      <c r="C186" s="559" t="n"/>
      <c r="D186" s="559" t="n"/>
      <c r="E186" s="559" t="n"/>
      <c r="F186" s="559" t="n"/>
      <c r="G186" s="559" t="n"/>
      <c r="H186" s="559" t="n"/>
    </row>
    <row r="187">
      <c r="A187" s="559" t="n"/>
      <c r="B187" s="559" t="n"/>
      <c r="C187" s="559" t="n"/>
      <c r="D187" s="559" t="n"/>
      <c r="E187" s="559" t="n"/>
      <c r="F187" s="559" t="n"/>
      <c r="G187" s="559" t="n"/>
      <c r="H187" s="559" t="n"/>
    </row>
    <row r="188">
      <c r="A188" s="559" t="n"/>
      <c r="B188" s="559" t="n"/>
      <c r="C188" s="559" t="n"/>
      <c r="D188" s="559" t="n"/>
      <c r="E188" s="559" t="n"/>
      <c r="F188" s="559" t="n"/>
      <c r="G188" s="559" t="n"/>
      <c r="H188" s="559" t="n"/>
    </row>
    <row r="189">
      <c r="A189" s="559" t="n"/>
      <c r="B189" s="559" t="n"/>
      <c r="C189" s="559" t="n"/>
      <c r="D189" s="559" t="n"/>
      <c r="E189" s="559" t="n"/>
      <c r="F189" s="559" t="n"/>
      <c r="G189" s="559" t="n"/>
      <c r="H189" s="559" t="n"/>
    </row>
    <row r="190">
      <c r="A190" s="559" t="n"/>
      <c r="B190" s="559" t="n"/>
      <c r="C190" s="559" t="n"/>
      <c r="D190" s="559" t="n"/>
      <c r="E190" s="559" t="n"/>
      <c r="F190" s="559" t="n"/>
      <c r="G190" s="559" t="n"/>
      <c r="H190" s="559" t="n"/>
    </row>
    <row r="191">
      <c r="A191" s="559" t="n"/>
      <c r="B191" s="559" t="n"/>
      <c r="C191" s="559" t="n"/>
      <c r="D191" s="559" t="n"/>
      <c r="E191" s="559" t="n"/>
      <c r="F191" s="559" t="n"/>
      <c r="G191" s="559" t="n"/>
      <c r="H191" s="559" t="n"/>
    </row>
    <row r="192">
      <c r="A192" s="559" t="n"/>
      <c r="B192" s="559" t="n"/>
      <c r="C192" s="559" t="n"/>
      <c r="D192" s="559" t="n"/>
      <c r="E192" s="559" t="n"/>
      <c r="F192" s="559" t="n"/>
      <c r="G192" s="559" t="n"/>
      <c r="H192" s="559" t="n"/>
    </row>
    <row r="193">
      <c r="A193" s="559" t="n"/>
      <c r="B193" s="559" t="n"/>
      <c r="C193" s="559" t="n"/>
      <c r="D193" s="559" t="n"/>
      <c r="E193" s="559" t="n"/>
      <c r="F193" s="559" t="n"/>
      <c r="G193" s="559" t="n"/>
      <c r="H193" s="559" t="n"/>
    </row>
    <row r="194">
      <c r="A194" s="559" t="n"/>
      <c r="B194" s="559" t="n"/>
      <c r="C194" s="559" t="n"/>
      <c r="D194" s="559" t="n"/>
      <c r="E194" s="559" t="n"/>
      <c r="F194" s="559" t="n"/>
      <c r="G194" s="559" t="n"/>
      <c r="H194" s="559" t="n"/>
    </row>
    <row r="195">
      <c r="A195" s="559" t="n"/>
      <c r="B195" s="559" t="n"/>
      <c r="C195" s="559" t="n"/>
      <c r="D195" s="559" t="n"/>
      <c r="E195" s="559" t="n"/>
      <c r="F195" s="559" t="n"/>
      <c r="G195" s="559" t="n"/>
      <c r="H195" s="559" t="n"/>
    </row>
    <row r="196">
      <c r="A196" s="559" t="n"/>
      <c r="B196" s="559" t="n"/>
      <c r="C196" s="559" t="n"/>
      <c r="D196" s="559" t="n"/>
      <c r="E196" s="559" t="n"/>
      <c r="F196" s="559" t="n"/>
      <c r="G196" s="559" t="n"/>
      <c r="H196" s="559" t="n"/>
    </row>
    <row r="197">
      <c r="A197" s="559" t="n"/>
      <c r="B197" s="559" t="n"/>
      <c r="C197" s="559" t="n"/>
      <c r="D197" s="559" t="n"/>
      <c r="E197" s="559" t="n"/>
      <c r="F197" s="559" t="n"/>
      <c r="G197" s="559" t="n"/>
      <c r="H197" s="559" t="n"/>
    </row>
    <row r="198">
      <c r="A198" s="559" t="n"/>
      <c r="B198" s="559" t="n"/>
      <c r="C198" s="559" t="n"/>
      <c r="D198" s="559" t="n"/>
      <c r="E198" s="559" t="n"/>
      <c r="F198" s="559" t="n"/>
      <c r="G198" s="559" t="n"/>
      <c r="H198" s="559" t="n"/>
    </row>
    <row r="199">
      <c r="A199" s="559" t="n"/>
      <c r="B199" s="559" t="n"/>
      <c r="C199" s="559" t="n"/>
      <c r="D199" s="559" t="n"/>
      <c r="E199" s="559" t="n"/>
      <c r="F199" s="559" t="n"/>
      <c r="G199" s="559" t="n"/>
      <c r="H199" s="559" t="n"/>
    </row>
    <row r="200">
      <c r="A200" s="559" t="n"/>
      <c r="B200" s="559" t="n"/>
      <c r="C200" s="559" t="n"/>
      <c r="D200" s="559" t="n"/>
      <c r="E200" s="559" t="n"/>
      <c r="F200" s="559" t="n"/>
      <c r="G200" s="559" t="n"/>
      <c r="H200" s="559" t="n"/>
    </row>
    <row r="201">
      <c r="A201" s="559" t="n"/>
      <c r="B201" s="559" t="n"/>
      <c r="C201" s="559" t="n"/>
      <c r="D201" s="559" t="n"/>
      <c r="E201" s="559" t="n"/>
      <c r="F201" s="559" t="n"/>
      <c r="G201" s="559" t="n"/>
      <c r="H201" s="559" t="n"/>
    </row>
    <row r="202">
      <c r="A202" s="559" t="n"/>
      <c r="B202" s="559" t="n"/>
      <c r="C202" s="559" t="n"/>
      <c r="D202" s="559" t="n"/>
      <c r="E202" s="559" t="n"/>
      <c r="F202" s="559" t="n"/>
      <c r="G202" s="559" t="n"/>
      <c r="H202" s="559" t="n"/>
    </row>
    <row r="203">
      <c r="A203" s="559" t="n"/>
      <c r="B203" s="559" t="n"/>
      <c r="C203" s="559" t="n"/>
      <c r="D203" s="559" t="n"/>
      <c r="E203" s="559" t="n"/>
      <c r="F203" s="559" t="n"/>
      <c r="G203" s="559" t="n"/>
      <c r="H203" s="559" t="n"/>
    </row>
    <row r="204">
      <c r="A204" s="559" t="n"/>
      <c r="B204" s="559" t="n"/>
      <c r="C204" s="559" t="n"/>
      <c r="D204" s="559" t="n"/>
      <c r="E204" s="559" t="n"/>
      <c r="F204" s="559" t="n"/>
      <c r="G204" s="559" t="n"/>
      <c r="H204" s="559" t="n"/>
    </row>
  </sheetData>
  <autoFilter ref="A4:H204"/>
  <mergeCells count="2">
    <mergeCell ref="A2:H2"/>
    <mergeCell ref="A1:H1"/>
  </mergeCells>
  <conditionalFormatting sqref="E5:E204">
    <cfRule type="expression" priority="1" dxfId="37">
      <formula>$E5="UNPATCHABLE"</formula>
    </cfRule>
  </conditionalFormatting>
  <dataValidations count="6">
    <dataValidation sqref="B5:B204" showDropDown="0" showInputMessage="0" showErrorMessage="1" allowBlank="1" errorTitle="Invalid controlled value" error="Select a value from the controlled vocabulary." type="list">
      <formula1>"PROTOCOL_REFUSAL,UNPATCHABLE_DEFECT,PATCHABLE_DEFECT,INDETERMINATE,CONTROL_DEPENDENT,ADMISSIBLE,NON_MATERIAL"</formula1>
    </dataValidation>
    <dataValidation sqref="C5:C204" showDropDown="0" showInputMessage="0" showErrorMessage="1" allowBlank="1" errorTitle="Invalid controlled value" error="Select a value from the controlled vocabulary." type="list">
      <formula1>"ESTABLISHED,UNRESOLVED,CONFLICTING,STALE,OUTSIDE_VALIDITY_DOMAIN,NOT_APPLICABLE"</formula1>
    </dataValidation>
    <dataValidation sqref="D5:D204" showDropDown="0" showInputMessage="0" showErrorMessage="1" allowBlank="1" errorTitle="Invalid controlled value" error="Select a value from the controlled vocabulary." type="list">
      <formula1>"UNREVIEWED,INDEPENDENTLY_REVIEWED,ADJUDICATED,APPEALED,CLOSED"</formula1>
    </dataValidation>
    <dataValidation sqref="E5:E204" showDropDown="0" showInputMessage="0" showErrorMessage="1" allowBlank="1" errorTitle="Invalid controlled value" error="Select a value from the controlled vocabulary." type="list">
      <formula1>"NONE,PATCHABLE,UNPATCHABLE,KNOWN_OTHER"</formula1>
    </dataValidation>
    <dataValidation sqref="G5:G204" showDropDown="0" showInputMessage="0" showErrorMessage="1" allowBlank="1" errorTitle="Invalid controlled value" error="Select a value from the controlled vocabulary." type="list">
      <formula1>"NOT_PROPOSED,ADMITTED,REJECTED_DUPLICATE,REJECTED_IMMATERIAL,REJECTED_UNSUPPORTED,REJECTED_STRATEGIC_TIMING,UPHELD_ON_APPEAL,REVERSED_ON_APPEAL"</formula1>
    </dataValidation>
    <dataValidation sqref="H5:H204" showDropDown="0" showInputMessage="0" showErrorMessage="1" allowBlank="1" errorTitle="Invalid controlled value" error="Select a value from the controlled vocabulary." type="list">
      <formula1>"NOT_FILED,PENDING,UPHELD,REVERSED,PARTIALLY_REMANDED,CLOSED"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15" min="1" max="1"/>
    <col width="20" customWidth="1" style="215" min="2" max="2"/>
    <col width="18" customWidth="1" style="215" min="3" max="3"/>
    <col width="22" customWidth="1" style="215" min="4" max="4"/>
    <col width="28" customWidth="1" style="215" min="5" max="5"/>
    <col width="30" customWidth="1" style="215" min="6" max="6"/>
    <col width="20" customWidth="1" style="215" min="7" max="7"/>
    <col width="58" customWidth="1" style="215" min="8" max="8"/>
  </cols>
  <sheetData>
    <row r="1">
      <c r="A1" s="560" t="inlineStr">
        <is>
          <t>AF v6.2 — Mixed-State Precedence and Non-Erasure Test Vectors</t>
        </is>
      </c>
      <c r="B1" s="442" t="n"/>
      <c r="C1" s="442" t="n"/>
      <c r="D1" s="442" t="n"/>
      <c r="E1" s="442" t="n"/>
      <c r="F1" s="442" t="n"/>
      <c r="G1" s="442" t="n"/>
      <c r="H1" s="442" t="n"/>
    </row>
    <row r="3">
      <c r="A3" s="558" t="inlineStr">
        <is>
          <t>Test_ID</t>
        </is>
      </c>
      <c r="B3" s="558" t="inlineStr">
        <is>
          <t>Prerequisite_State</t>
        </is>
      </c>
      <c r="C3" s="558" t="inlineStr">
        <is>
          <t>Known_Defect</t>
        </is>
      </c>
      <c r="D3" s="558" t="inlineStr">
        <is>
          <t>Other_Evidence_State</t>
        </is>
      </c>
      <c r="E3" s="558" t="inlineStr">
        <is>
          <t>Expected_Decision_Status</t>
        </is>
      </c>
      <c r="F3" s="558" t="inlineStr">
        <is>
          <t>Expected_Evidence_Flag</t>
        </is>
      </c>
      <c r="G3" s="558" t="inlineStr">
        <is>
          <t>Non_Erasure_Result</t>
        </is>
      </c>
      <c r="H3" s="558" t="inlineStr">
        <is>
          <t>Rationale</t>
        </is>
      </c>
    </row>
    <row r="4">
      <c r="A4" s="559" t="inlineStr">
        <is>
          <t>AF62-T01</t>
        </is>
      </c>
      <c r="B4" s="559" t="inlineStr">
        <is>
          <t>MISSING</t>
        </is>
      </c>
      <c r="C4" s="559" t="inlineStr">
        <is>
          <t>UNPATCHABLE</t>
        </is>
      </c>
      <c r="D4" s="559" t="inlineStr">
        <is>
          <t>UNRESOLVED</t>
        </is>
      </c>
      <c r="E4" s="559" t="inlineStr">
        <is>
          <t>PROTOCOL_REFUSAL</t>
        </is>
      </c>
      <c r="F4" s="559" t="inlineStr">
        <is>
          <t>KNOWN_UNPATCHABLE_RETAINED</t>
        </is>
      </c>
      <c r="G4" s="559" t="inlineStr">
        <is>
          <t>PASS</t>
        </is>
      </c>
      <c r="H4" s="559" t="inlineStr">
        <is>
          <t>Procedural refusal controls the public status; the known unpatchable defect remains in the audit record.</t>
        </is>
      </c>
    </row>
    <row r="5">
      <c r="A5" s="559" t="inlineStr">
        <is>
          <t>AF62-T02</t>
        </is>
      </c>
      <c r="B5" s="559" t="inlineStr">
        <is>
          <t>SATISFIED</t>
        </is>
      </c>
      <c r="C5" s="559" t="inlineStr">
        <is>
          <t>UNPATCHABLE</t>
        </is>
      </c>
      <c r="D5" s="559" t="inlineStr">
        <is>
          <t>UNRESOLVED</t>
        </is>
      </c>
      <c r="E5" s="559" t="inlineStr">
        <is>
          <t>UNPATCHABLE_DEFECT</t>
        </is>
      </c>
      <c r="F5" s="559" t="inlineStr">
        <is>
          <t>OTHER_CRITERION_UNRESOLVED</t>
        </is>
      </c>
      <c r="G5" s="559" t="inlineStr">
        <is>
          <t>PASS</t>
        </is>
      </c>
      <c r="H5" s="559" t="inlineStr">
        <is>
          <t>Indeterminacy elsewhere does not mask an established unpatchable defect.</t>
        </is>
      </c>
    </row>
    <row r="6">
      <c r="A6" s="559" t="inlineStr">
        <is>
          <t>AF62-T03</t>
        </is>
      </c>
      <c r="B6" s="559" t="inlineStr">
        <is>
          <t>SATISFIED</t>
        </is>
      </c>
      <c r="C6" s="559" t="inlineStr">
        <is>
          <t>PATCHABLE</t>
        </is>
      </c>
      <c r="D6" s="559" t="inlineStr">
        <is>
          <t>CONFLICTING</t>
        </is>
      </c>
      <c r="E6" s="559" t="inlineStr">
        <is>
          <t>PATCHABLE_DEFECT</t>
        </is>
      </c>
      <c r="F6" s="559" t="inlineStr">
        <is>
          <t>CONFLICT_RETAINED</t>
        </is>
      </c>
      <c r="G6" s="559" t="inlineStr">
        <is>
          <t>PASS</t>
        </is>
      </c>
      <c r="H6" s="559" t="inlineStr">
        <is>
          <t>A known patchable defect controls while conflicting evidence remains visible.</t>
        </is>
      </c>
    </row>
    <row r="7">
      <c r="A7" s="559" t="inlineStr">
        <is>
          <t>AF62-T04</t>
        </is>
      </c>
      <c r="B7" s="559" t="inlineStr">
        <is>
          <t>SATISFIED</t>
        </is>
      </c>
      <c r="C7" s="559" t="inlineStr">
        <is>
          <t>NONE</t>
        </is>
      </c>
      <c r="D7" s="559" t="inlineStr">
        <is>
          <t>UNRESOLVED</t>
        </is>
      </c>
      <c r="E7" s="559" t="inlineStr">
        <is>
          <t>INDETERMINATE</t>
        </is>
      </c>
      <c r="F7" s="559" t="inlineStr">
        <is>
          <t>UNRESOLVED</t>
        </is>
      </c>
      <c r="G7" s="559" t="inlineStr">
        <is>
          <t>PASS</t>
        </is>
      </c>
      <c r="H7" s="559" t="inlineStr">
        <is>
          <t>No known defect; material evidence is insufficient.</t>
        </is>
      </c>
    </row>
    <row r="8">
      <c r="A8" s="559" t="inlineStr">
        <is>
          <t>AF62-T05</t>
        </is>
      </c>
      <c r="B8" s="559" t="inlineStr">
        <is>
          <t>SATISFIED</t>
        </is>
      </c>
      <c r="C8" s="559" t="inlineStr">
        <is>
          <t>NONE</t>
        </is>
      </c>
      <c r="D8" s="559" t="inlineStr">
        <is>
          <t>ESTABLISHED</t>
        </is>
      </c>
      <c r="E8" s="559" t="inlineStr">
        <is>
          <t>CONTROL_DEPENDENT</t>
        </is>
      </c>
      <c r="F8" s="559" t="inlineStr">
        <is>
          <t>CONTROL_REQUIRED</t>
        </is>
      </c>
      <c r="G8" s="559" t="inlineStr">
        <is>
          <t>PASS</t>
        </is>
      </c>
      <c r="H8" s="559" t="inlineStr">
        <is>
          <t>Admissibility depends on an owned, testable control.</t>
        </is>
      </c>
    </row>
    <row r="9">
      <c r="A9" s="559" t="inlineStr">
        <is>
          <t>AF62-T06</t>
        </is>
      </c>
      <c r="B9" s="559" t="inlineStr">
        <is>
          <t>SATISFIED</t>
        </is>
      </c>
      <c r="C9" s="559" t="inlineStr">
        <is>
          <t>NONE</t>
        </is>
      </c>
      <c r="D9" s="559" t="inlineStr">
        <is>
          <t>ESTABLISHED</t>
        </is>
      </c>
      <c r="E9" s="559" t="inlineStr">
        <is>
          <t>ADMISSIBLE</t>
        </is>
      </c>
      <c r="F9" s="559" t="inlineStr">
        <is>
          <t>ESTABLISHED</t>
        </is>
      </c>
      <c r="G9" s="559" t="inlineStr">
        <is>
          <t>PASS</t>
        </is>
      </c>
      <c r="H9" s="559" t="inlineStr">
        <is>
          <t>All prerequisites and material criteria are satisfied within scope.</t>
        </is>
      </c>
    </row>
    <row r="10">
      <c r="A10" s="559" t="inlineStr">
        <is>
          <t>AF62-T07</t>
        </is>
      </c>
      <c r="B10" s="559" t="inlineStr">
        <is>
          <t>SATISFIED</t>
        </is>
      </c>
      <c r="C10" s="559" t="inlineStr">
        <is>
          <t>UNPATCHABLE</t>
        </is>
      </c>
      <c r="D10" s="559" t="inlineStr">
        <is>
          <t>ESTABLISHED</t>
        </is>
      </c>
      <c r="E10" s="559" t="inlineStr">
        <is>
          <t>UNPATCHABLE_DEFECT</t>
        </is>
      </c>
      <c r="F10" s="559" t="inlineStr">
        <is>
          <t>SUPPORTED_DISSENT_ADMITTED</t>
        </is>
      </c>
      <c r="G10" s="559" t="inlineStr">
        <is>
          <t>PASS</t>
        </is>
      </c>
      <c r="H10" s="559" t="inlineStr">
        <is>
          <t>Supported dissent changes the preferred relation but cannot be suppressed.</t>
        </is>
      </c>
    </row>
    <row r="11">
      <c r="A11" s="559" t="inlineStr">
        <is>
          <t>AF62-T08</t>
        </is>
      </c>
      <c r="B11" s="559" t="inlineStr">
        <is>
          <t>SATISFIED</t>
        </is>
      </c>
      <c r="C11" s="559" t="inlineStr">
        <is>
          <t>NONE</t>
        </is>
      </c>
      <c r="D11" s="559" t="inlineStr">
        <is>
          <t>ESTABLISHED</t>
        </is>
      </c>
      <c r="E11" s="559" t="inlineStr">
        <is>
          <t>ADMISSIBLE</t>
        </is>
      </c>
      <c r="F11" s="559" t="inlineStr">
        <is>
          <t>DUPLICATE_PROPOSAL_REJECTED</t>
        </is>
      </c>
      <c r="G11" s="559" t="inlineStr">
        <is>
          <t>PASS</t>
        </is>
      </c>
      <c r="H11" s="559" t="inlineStr">
        <is>
          <t>Duplicate replay proposal is rejected and counted under anti-inflation control.</t>
        </is>
      </c>
    </row>
  </sheetData>
  <autoFilter ref="A3:H11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Auditable Flourishing</dc:title>
  <dcterms:created xmlns:dcterms="http://purl.org/dc/terms/" xmlns:xsi="http://www.w3.org/2001/XMLSchema-instance" xsi:type="dcterms:W3CDTF">2026-08-14T08:11:08Z</dcterms:created>
  <dcterms:modified xmlns:dcterms="http://purl.org/dc/terms/" xmlns:xsi="http://www.w3.org/2001/XMLSchema-instance" xsi:type="dcterms:W3CDTF">2026-08-14T08:11:08Z</dcterms:modified>
</cp:coreProperties>
</file>